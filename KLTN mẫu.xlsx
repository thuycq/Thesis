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q\Desktop\KLTN_Project\"/>
    </mc:Choice>
  </mc:AlternateContent>
  <xr:revisionPtr revIDLastSave="0" documentId="13_ncr:1_{A6D45569-03CB-44C8-B67D-97F03172F7FA}" xr6:coauthVersionLast="47" xr6:coauthVersionMax="47" xr10:uidLastSave="{00000000-0000-0000-0000-000000000000}"/>
  <bookViews>
    <workbookView xWindow="-110" yWindow="-110" windowWidth="19420" windowHeight="11500" xr2:uid="{00000000-000D-0000-FFFF-FFFF00000000}"/>
  </bookViews>
  <sheets>
    <sheet name="Phân công" sheetId="1" r:id="rId1"/>
    <sheet name="Sheet5" sheetId="2" r:id="rId2"/>
    <sheet name="Số bài mỗi hội đồng" sheetId="3" state="hidden" r:id="rId3"/>
    <sheet name="Thù lao" sheetId="4" r:id="rId4"/>
    <sheet name="Bài nộp" sheetId="5" state="hidden" r:id="rId5"/>
    <sheet name="Sheet1" sheetId="6" state="hidden" r:id="rId6"/>
  </sheets>
  <definedNames>
    <definedName name="_xlnm._FilterDatabase" localSheetId="0" hidden="1">'Phân công'!$A$1:$K$259</definedName>
    <definedName name="_xlnm._FilterDatabase" localSheetId="3" hidden="1">'Thù lao'!$AL$2:$AL$23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pv3uZ/Yybc5tUpUpbZnoMHXtd8yDGTGkUHUMGmc9ik="/>
    </ext>
  </extLst>
</workbook>
</file>

<file path=xl/calcChain.xml><?xml version="1.0" encoding="utf-8"?>
<calcChain xmlns="http://schemas.openxmlformats.org/spreadsheetml/2006/main">
  <c r="C138" i="6" l="1"/>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BF18" i="4" s="1"/>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W13" i="4"/>
  <c r="AV13" i="4"/>
  <c r="AU13" i="4"/>
  <c r="AT13" i="4"/>
  <c r="AS13" i="4"/>
  <c r="AR13" i="4"/>
  <c r="AQ13" i="4"/>
  <c r="AP13" i="4"/>
  <c r="BJ13" i="4" s="1"/>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W12" i="4"/>
  <c r="AV12" i="4"/>
  <c r="AU12" i="4"/>
  <c r="AT12" i="4"/>
  <c r="AS12" i="4"/>
  <c r="AR12" i="4"/>
  <c r="AQ12" i="4"/>
  <c r="AP12" i="4"/>
  <c r="BJ12" i="4" s="1"/>
  <c r="AO12" i="4"/>
  <c r="AN12" i="4"/>
  <c r="AM12" i="4"/>
  <c r="AL12" i="4"/>
  <c r="AK12" i="4"/>
  <c r="AJ12" i="4"/>
  <c r="AI12" i="4"/>
  <c r="AH12" i="4"/>
  <c r="AG12" i="4"/>
  <c r="AF12" i="4"/>
  <c r="AE12" i="4"/>
  <c r="AD12" i="4"/>
  <c r="AC12" i="4"/>
  <c r="AB12" i="4"/>
  <c r="AA12" i="4"/>
  <c r="Z12" i="4"/>
  <c r="Y12" i="4"/>
  <c r="X12" i="4"/>
  <c r="W12" i="4"/>
  <c r="V12" i="4"/>
  <c r="U12" i="4"/>
  <c r="T12" i="4"/>
  <c r="S12" i="4"/>
  <c r="R12" i="4"/>
  <c r="BG12" i="4" s="1"/>
  <c r="Q12" i="4"/>
  <c r="P12" i="4"/>
  <c r="O12" i="4"/>
  <c r="N12" i="4"/>
  <c r="M12" i="4"/>
  <c r="L12" i="4"/>
  <c r="K12" i="4"/>
  <c r="J12" i="4"/>
  <c r="I12" i="4"/>
  <c r="H12" i="4"/>
  <c r="G12" i="4"/>
  <c r="F12" i="4"/>
  <c r="E12" i="4"/>
  <c r="D12" i="4"/>
  <c r="C12" i="4"/>
  <c r="B12"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AW10" i="4"/>
  <c r="AV10" i="4"/>
  <c r="AU10" i="4"/>
  <c r="AT10" i="4"/>
  <c r="AS10" i="4"/>
  <c r="AR10" i="4"/>
  <c r="AQ10" i="4"/>
  <c r="AP10" i="4"/>
  <c r="BJ10" i="4" s="1"/>
  <c r="AO10" i="4"/>
  <c r="AN10" i="4"/>
  <c r="AM10" i="4"/>
  <c r="AL10" i="4"/>
  <c r="AK10" i="4"/>
  <c r="AJ10" i="4"/>
  <c r="AI10" i="4"/>
  <c r="AH10" i="4"/>
  <c r="AG10" i="4"/>
  <c r="AF10" i="4"/>
  <c r="AE10" i="4"/>
  <c r="AD10" i="4"/>
  <c r="AC10" i="4"/>
  <c r="AB10" i="4"/>
  <c r="AA10" i="4"/>
  <c r="Z10" i="4"/>
  <c r="Y10" i="4"/>
  <c r="X10" i="4"/>
  <c r="W10" i="4"/>
  <c r="V10" i="4"/>
  <c r="U10" i="4"/>
  <c r="T10" i="4"/>
  <c r="S10" i="4"/>
  <c r="R10" i="4"/>
  <c r="BG10" i="4" s="1"/>
  <c r="Q10" i="4"/>
  <c r="P10" i="4"/>
  <c r="O10" i="4"/>
  <c r="N10" i="4"/>
  <c r="M10" i="4"/>
  <c r="L10" i="4"/>
  <c r="K10" i="4"/>
  <c r="J10" i="4"/>
  <c r="I10" i="4"/>
  <c r="H10" i="4"/>
  <c r="G10" i="4"/>
  <c r="F10" i="4"/>
  <c r="E10" i="4"/>
  <c r="D10" i="4"/>
  <c r="C10" i="4"/>
  <c r="B10"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W4" i="4"/>
  <c r="AV4" i="4"/>
  <c r="AU4" i="4"/>
  <c r="AU23" i="4" s="1"/>
  <c r="AT4" i="4"/>
  <c r="AT23" i="4" s="1"/>
  <c r="AS4" i="4"/>
  <c r="AS23" i="4" s="1"/>
  <c r="AR4" i="4"/>
  <c r="AQ4" i="4"/>
  <c r="AP4" i="4"/>
  <c r="AP23" i="4" s="1"/>
  <c r="AO4" i="4"/>
  <c r="AN4" i="4"/>
  <c r="AN23" i="4" s="1"/>
  <c r="AM4" i="4"/>
  <c r="AL4" i="4"/>
  <c r="AL23" i="4" s="1"/>
  <c r="AK4" i="4"/>
  <c r="AJ4" i="4"/>
  <c r="AJ23" i="4" s="1"/>
  <c r="AI4" i="4"/>
  <c r="AH4" i="4"/>
  <c r="AH23" i="4" s="1"/>
  <c r="AG4" i="4"/>
  <c r="AG23" i="4" s="1"/>
  <c r="AF4" i="4"/>
  <c r="AF23" i="4" s="1"/>
  <c r="AE4" i="4"/>
  <c r="AD4" i="4"/>
  <c r="AD23" i="4" s="1"/>
  <c r="AC4" i="4"/>
  <c r="AB4" i="4"/>
  <c r="AB23" i="4" s="1"/>
  <c r="AA4" i="4"/>
  <c r="Z4" i="4"/>
  <c r="Z23" i="4" s="1"/>
  <c r="Y4" i="4"/>
  <c r="X4" i="4"/>
  <c r="X23" i="4" s="1"/>
  <c r="W4" i="4"/>
  <c r="V4" i="4"/>
  <c r="V23" i="4" s="1"/>
  <c r="U4" i="4"/>
  <c r="U23" i="4" s="1"/>
  <c r="T4" i="4"/>
  <c r="T23" i="4" s="1"/>
  <c r="S4" i="4"/>
  <c r="R4" i="4"/>
  <c r="R23" i="4" s="1"/>
  <c r="Q4" i="4"/>
  <c r="P4" i="4"/>
  <c r="P23" i="4" s="1"/>
  <c r="O4" i="4"/>
  <c r="N4" i="4"/>
  <c r="N23" i="4" s="1"/>
  <c r="M4" i="4"/>
  <c r="L4" i="4"/>
  <c r="L23" i="4" s="1"/>
  <c r="K4" i="4"/>
  <c r="J4" i="4"/>
  <c r="J23" i="4" s="1"/>
  <c r="I4" i="4"/>
  <c r="I23" i="4" s="1"/>
  <c r="H4" i="4"/>
  <c r="H23" i="4" s="1"/>
  <c r="G4" i="4"/>
  <c r="F4" i="4"/>
  <c r="F23" i="4" s="1"/>
  <c r="E4" i="4"/>
  <c r="D4" i="4"/>
  <c r="D23" i="4" s="1"/>
  <c r="C4" i="4"/>
  <c r="B4" i="4"/>
  <c r="C13" i="3"/>
  <c r="C12" i="3"/>
  <c r="C11" i="3"/>
  <c r="C10" i="3"/>
  <c r="C9" i="3"/>
  <c r="C8" i="3"/>
  <c r="C7" i="3"/>
  <c r="C6" i="3"/>
  <c r="C5" i="3"/>
  <c r="C4" i="3"/>
  <c r="C3" i="3"/>
  <c r="C2" i="3"/>
  <c r="BC16" i="4" l="1"/>
  <c r="BI13" i="4"/>
  <c r="BA14" i="4"/>
  <c r="BA15" i="4"/>
  <c r="BA16" i="4"/>
  <c r="AZ17" i="4"/>
  <c r="AZ19" i="4"/>
  <c r="AZ21" i="4"/>
  <c r="BI11" i="4"/>
  <c r="BH12" i="4"/>
  <c r="BH16" i="4"/>
  <c r="BH5" i="4"/>
  <c r="BH19" i="4"/>
  <c r="BB6" i="4"/>
  <c r="BB7" i="4"/>
  <c r="BB8" i="4"/>
  <c r="BB9" i="4"/>
  <c r="BB10" i="4"/>
  <c r="BH11" i="4"/>
  <c r="BB12" i="4"/>
  <c r="BB13" i="4"/>
  <c r="BB14" i="4"/>
  <c r="BB15" i="4"/>
  <c r="BB16" i="4"/>
  <c r="BB19" i="4"/>
  <c r="BB20" i="4"/>
  <c r="BB21" i="4"/>
  <c r="BG5" i="4"/>
  <c r="BC5" i="4"/>
  <c r="BC6" i="4"/>
  <c r="BC7" i="4"/>
  <c r="BC9" i="4"/>
  <c r="BC10" i="4"/>
  <c r="BC11" i="4"/>
  <c r="BH7" i="4"/>
  <c r="BC8" i="4"/>
  <c r="BH6" i="4"/>
  <c r="BH8" i="4"/>
  <c r="BF9" i="4"/>
  <c r="BF11" i="4"/>
  <c r="BA12" i="4"/>
  <c r="BE12" i="4"/>
  <c r="BE14" i="4"/>
  <c r="BE16" i="4"/>
  <c r="BD17" i="4"/>
  <c r="BD18" i="4"/>
  <c r="BD19" i="4"/>
  <c r="BD20" i="4"/>
  <c r="BD21" i="4"/>
  <c r="BD22" i="4"/>
  <c r="AO23" i="4"/>
  <c r="BH10" i="4"/>
  <c r="BF13" i="4"/>
  <c r="BF15" i="4"/>
  <c r="BF16" i="4"/>
  <c r="BA18" i="4"/>
  <c r="BE18" i="4"/>
  <c r="BA19" i="4"/>
  <c r="BE19" i="4"/>
  <c r="BI20" i="4"/>
  <c r="BE20" i="4"/>
  <c r="BI21" i="4"/>
  <c r="BE21" i="4"/>
  <c r="BE22" i="4"/>
  <c r="BH14" i="4"/>
  <c r="BF17" i="4"/>
  <c r="BF19" i="4"/>
  <c r="BF20" i="4"/>
  <c r="BF21" i="4"/>
  <c r="BF22" i="4"/>
  <c r="BH22" i="4"/>
  <c r="BG6" i="4"/>
  <c r="BJ6" i="4"/>
  <c r="BH9" i="4"/>
  <c r="BH20" i="4"/>
  <c r="AY7" i="4"/>
  <c r="BH13" i="4"/>
  <c r="BH15" i="4"/>
  <c r="AZ5" i="4"/>
  <c r="AZ6" i="4"/>
  <c r="AZ7" i="4"/>
  <c r="AZ8" i="4"/>
  <c r="AY9" i="4"/>
  <c r="AY11" i="4"/>
  <c r="BG13" i="4"/>
  <c r="BM13" i="4" s="1"/>
  <c r="BG14" i="4"/>
  <c r="BJ14" i="4"/>
  <c r="BJ15" i="4"/>
  <c r="BH17" i="4"/>
  <c r="AZ9" i="4"/>
  <c r="AZ10" i="4"/>
  <c r="AZ11" i="4"/>
  <c r="BC12" i="4"/>
  <c r="BC13" i="4"/>
  <c r="AY13" i="4"/>
  <c r="BC14" i="4"/>
  <c r="BC15" i="4"/>
  <c r="AY15" i="4"/>
  <c r="BB17" i="4"/>
  <c r="BJ17" i="4"/>
  <c r="BG18" i="4"/>
  <c r="BB18" i="4"/>
  <c r="BJ18" i="4"/>
  <c r="BG19" i="4"/>
  <c r="BJ19" i="4"/>
  <c r="BG20" i="4"/>
  <c r="BJ20" i="4"/>
  <c r="BG21" i="4"/>
  <c r="BM21" i="4" s="1"/>
  <c r="BJ21" i="4"/>
  <c r="BG22" i="4"/>
  <c r="BJ22" i="4"/>
  <c r="BK8" i="4"/>
  <c r="BA11" i="4"/>
  <c r="AZ12" i="4"/>
  <c r="AZ13" i="4"/>
  <c r="AZ14" i="4"/>
  <c r="AZ16" i="4"/>
  <c r="BC17" i="4"/>
  <c r="AY17" i="4"/>
  <c r="BC18" i="4"/>
  <c r="AY18" i="4"/>
  <c r="BC19" i="4"/>
  <c r="AY19" i="4"/>
  <c r="BC20" i="4"/>
  <c r="AY20" i="4"/>
  <c r="BH21" i="4"/>
  <c r="AY21" i="4"/>
  <c r="AY22" i="4"/>
  <c r="BI5" i="4"/>
  <c r="BK6" i="4"/>
  <c r="BI6" i="4"/>
  <c r="BK10" i="4"/>
  <c r="BK11" i="4"/>
  <c r="BA13" i="4"/>
  <c r="AZ18" i="4"/>
  <c r="AZ20" i="4"/>
  <c r="AZ22" i="4"/>
  <c r="BD6" i="4"/>
  <c r="BD7" i="4"/>
  <c r="BD8" i="4"/>
  <c r="BK12" i="4"/>
  <c r="BK14" i="4"/>
  <c r="BK16" i="4"/>
  <c r="BA20" i="4"/>
  <c r="BA21" i="4"/>
  <c r="BA22" i="4"/>
  <c r="BA6" i="4"/>
  <c r="BE6" i="4"/>
  <c r="BA7" i="4"/>
  <c r="BA8" i="4"/>
  <c r="BE8" i="4"/>
  <c r="BD9" i="4"/>
  <c r="BD10" i="4"/>
  <c r="BD11" i="4"/>
  <c r="BK18" i="4"/>
  <c r="BL18" i="4" s="1"/>
  <c r="BK19" i="4"/>
  <c r="BK20" i="4"/>
  <c r="BK21" i="4"/>
  <c r="BK22" i="4"/>
  <c r="BI22" i="4"/>
  <c r="BB22" i="4"/>
  <c r="BI4" i="4"/>
  <c r="C23" i="4"/>
  <c r="O23" i="4"/>
  <c r="AA23" i="4"/>
  <c r="AM23" i="4"/>
  <c r="BB5" i="4"/>
  <c r="BF7" i="4"/>
  <c r="BF8" i="4"/>
  <c r="BA9" i="4"/>
  <c r="BA10" i="4"/>
  <c r="BE10" i="4"/>
  <c r="BD12" i="4"/>
  <c r="BD13" i="4"/>
  <c r="BD14" i="4"/>
  <c r="AZ15" i="4"/>
  <c r="BD15" i="4"/>
  <c r="BD16" i="4"/>
  <c r="BC22" i="4"/>
  <c r="AY6" i="4"/>
  <c r="BI9" i="4"/>
  <c r="AY14" i="4"/>
  <c r="AZ4" i="4"/>
  <c r="AZ23" i="4" s="1"/>
  <c r="AI23" i="4"/>
  <c r="BD5" i="4"/>
  <c r="BJ7" i="4"/>
  <c r="BF10" i="4"/>
  <c r="BG15" i="4"/>
  <c r="BE9" i="4"/>
  <c r="K23" i="4"/>
  <c r="BK4" i="4"/>
  <c r="BD4" i="4"/>
  <c r="AV23" i="4"/>
  <c r="BA5" i="4"/>
  <c r="BE5" i="4"/>
  <c r="BG7" i="4"/>
  <c r="BG8" i="4"/>
  <c r="BJ8" i="4"/>
  <c r="BE11" i="4"/>
  <c r="BK13" i="4"/>
  <c r="BG16" i="4"/>
  <c r="BJ16" i="4"/>
  <c r="BJ4" i="4"/>
  <c r="BK5" i="4"/>
  <c r="BA17" i="4"/>
  <c r="BI17" i="4"/>
  <c r="BE17" i="4"/>
  <c r="AY8" i="4"/>
  <c r="AY16" i="4"/>
  <c r="BG4" i="4"/>
  <c r="AK23" i="4"/>
  <c r="BF4" i="4"/>
  <c r="B23" i="4"/>
  <c r="AX4" i="4"/>
  <c r="BG9" i="4"/>
  <c r="BJ9" i="4"/>
  <c r="BF12" i="4"/>
  <c r="BG17" i="4"/>
  <c r="W23" i="4"/>
  <c r="M23" i="4"/>
  <c r="BE4" i="4"/>
  <c r="AW23" i="4"/>
  <c r="BF5" i="4"/>
  <c r="BA4" i="4"/>
  <c r="BK7" i="4"/>
  <c r="BE13" i="4"/>
  <c r="BK15" i="4"/>
  <c r="AY10" i="4"/>
  <c r="Y23" i="4"/>
  <c r="BB4" i="4"/>
  <c r="E23" i="4"/>
  <c r="Q23" i="4"/>
  <c r="AC23" i="4"/>
  <c r="BC4" i="4"/>
  <c r="BJ5" i="4"/>
  <c r="BF6" i="4"/>
  <c r="BG11" i="4"/>
  <c r="BJ11" i="4"/>
  <c r="BF14" i="4"/>
  <c r="AY5" i="4"/>
  <c r="BE7" i="4"/>
  <c r="BK9" i="4"/>
  <c r="BE15" i="4"/>
  <c r="BK17" i="4"/>
  <c r="G23" i="4"/>
  <c r="S23" i="4"/>
  <c r="AE23" i="4"/>
  <c r="AY4" i="4"/>
  <c r="AQ23" i="4"/>
  <c r="BH4" i="4"/>
  <c r="BI7" i="4"/>
  <c r="AY12" i="4"/>
  <c r="BI15" i="4"/>
  <c r="BB11" i="4"/>
  <c r="BH18" i="4"/>
  <c r="BI8" i="4"/>
  <c r="BI10" i="4"/>
  <c r="BM10" i="4" s="1"/>
  <c r="BI12" i="4"/>
  <c r="BM12" i="4" s="1"/>
  <c r="BI14" i="4"/>
  <c r="BI16" i="4"/>
  <c r="BI18" i="4"/>
  <c r="BC21" i="4"/>
  <c r="AX6" i="4"/>
  <c r="AX8" i="4"/>
  <c r="AX10" i="4"/>
  <c r="AX12" i="4"/>
  <c r="AX14" i="4"/>
  <c r="AX16" i="4"/>
  <c r="AX18" i="4"/>
  <c r="AX20" i="4"/>
  <c r="AX22" i="4"/>
  <c r="AR23" i="4"/>
  <c r="BI19" i="4"/>
  <c r="BM19" i="4" s="1"/>
  <c r="AX5" i="4"/>
  <c r="AX7" i="4"/>
  <c r="AX9" i="4"/>
  <c r="AX11" i="4"/>
  <c r="AX13" i="4"/>
  <c r="AX15" i="4"/>
  <c r="AX17" i="4"/>
  <c r="AX19" i="4"/>
  <c r="AX21" i="4"/>
  <c r="BL17" i="4" l="1"/>
  <c r="BL12" i="4"/>
  <c r="BO12" i="4" s="1"/>
  <c r="BL15" i="4"/>
  <c r="BL14" i="4"/>
  <c r="BM5" i="4"/>
  <c r="BN5" i="4" s="1"/>
  <c r="BN12" i="4"/>
  <c r="BM20" i="4"/>
  <c r="BN20" i="4" s="1"/>
  <c r="BM22" i="4"/>
  <c r="BN22" i="4" s="1"/>
  <c r="BL13" i="4"/>
  <c r="BO13" i="4" s="1"/>
  <c r="BL9" i="4"/>
  <c r="BL11" i="4"/>
  <c r="BN21" i="4"/>
  <c r="BL7" i="4"/>
  <c r="BL6" i="4"/>
  <c r="BL5" i="4"/>
  <c r="BL20" i="4"/>
  <c r="BL10" i="4"/>
  <c r="BO10" i="4" s="1"/>
  <c r="BM14" i="4"/>
  <c r="BN14" i="4" s="1"/>
  <c r="BL16" i="4"/>
  <c r="BN10" i="4"/>
  <c r="BM18" i="4"/>
  <c r="BN18" i="4" s="1"/>
  <c r="BI23" i="4"/>
  <c r="BC23" i="4"/>
  <c r="BL22" i="4"/>
  <c r="BL21" i="4"/>
  <c r="BO21" i="4" s="1"/>
  <c r="BH23" i="4"/>
  <c r="BL19" i="4"/>
  <c r="BO19" i="4" s="1"/>
  <c r="BM7" i="4"/>
  <c r="BN7" i="4" s="1"/>
  <c r="BA23" i="4"/>
  <c r="BL8" i="4"/>
  <c r="BN13" i="4"/>
  <c r="BM6" i="4"/>
  <c r="BN6" i="4" s="1"/>
  <c r="BN19" i="4"/>
  <c r="BE23" i="4"/>
  <c r="AX23" i="4"/>
  <c r="BJ23" i="4"/>
  <c r="BM9" i="4"/>
  <c r="BN9" i="4" s="1"/>
  <c r="BB23" i="4"/>
  <c r="BD23" i="4"/>
  <c r="BF23" i="4"/>
  <c r="BL4" i="4"/>
  <c r="BG23" i="4"/>
  <c r="BM4" i="4"/>
  <c r="BM16" i="4"/>
  <c r="BK23" i="4"/>
  <c r="AY23" i="4"/>
  <c r="BM11" i="4"/>
  <c r="BN11" i="4" s="1"/>
  <c r="BM15" i="4"/>
  <c r="BN15" i="4" s="1"/>
  <c r="BM17" i="4"/>
  <c r="BN17" i="4" s="1"/>
  <c r="BM8" i="4"/>
  <c r="BO18" i="4" l="1"/>
  <c r="BO5" i="4"/>
  <c r="BO22" i="4"/>
  <c r="BO15" i="4"/>
  <c r="BO7" i="4"/>
  <c r="BO20" i="4"/>
  <c r="BO9" i="4"/>
  <c r="BO11" i="4"/>
  <c r="BO14" i="4"/>
  <c r="BO6" i="4"/>
  <c r="BO17" i="4"/>
  <c r="BN16" i="4"/>
  <c r="BO16" i="4"/>
  <c r="BM23" i="4"/>
  <c r="BN4" i="4"/>
  <c r="BN8" i="4"/>
  <c r="BO8" i="4"/>
  <c r="BL23" i="4"/>
  <c r="BO4" i="4"/>
  <c r="BO23" i="4" l="1"/>
  <c r="BN23" i="4"/>
</calcChain>
</file>

<file path=xl/sharedStrings.xml><?xml version="1.0" encoding="utf-8"?>
<sst xmlns="http://schemas.openxmlformats.org/spreadsheetml/2006/main" count="7155" uniqueCount="2670">
  <si>
    <t>STT</t>
  </si>
  <si>
    <t>MSSV</t>
  </si>
  <si>
    <t>BCTT</t>
  </si>
  <si>
    <t>GVHD</t>
  </si>
  <si>
    <t>Hội đồng</t>
  </si>
  <si>
    <t>K224141715</t>
  </si>
  <si>
    <t>Phạm Thụy Phương Dung</t>
  </si>
  <si>
    <t>K22414C</t>
  </si>
  <si>
    <t>Tiếng Anh</t>
  </si>
  <si>
    <t>PGS. TS Lê Đức Quang Tú</t>
  </si>
  <si>
    <t>TS Nguyễn Thanh Liêm</t>
  </si>
  <si>
    <t>TS Nguyễn Trung Hiếu</t>
  </si>
  <si>
    <t>ThS Ngô Phú Thanh</t>
  </si>
  <si>
    <t>K224141738</t>
  </si>
  <si>
    <t>Vũ Ngọc Thuỷ Tiên</t>
  </si>
  <si>
    <t>Tiếng Việt</t>
  </si>
  <si>
    <t>K224141652</t>
  </si>
  <si>
    <t>Lê Phúc Chí</t>
  </si>
  <si>
    <t>K22414</t>
  </si>
  <si>
    <t>ỨNG DỤNG MÔ HÌNH HỌC SÂU VÀ HỆ THỐNG TRUY XUẤT THÔNG TIN ĐA CHỈ MỤC TRONG TƯ VẤN ĐẦU TƯ</t>
  </si>
  <si>
    <t>PGS. TS Nguyễn Anh Phong</t>
  </si>
  <si>
    <t>K224141654</t>
  </si>
  <si>
    <t>Đào Mỹ Duyên</t>
  </si>
  <si>
    <t>XÂY DỰNG KHUNG THEO DÕI TRẠNG THÁI TÀI CHÍNH CỦA CÁC DOANH NGHIỆP PHI TÀI CHÍNH NIÊM YẾT TRÊN SỞ GIAO DỊCH CHỨNG KHOÁN THÀNH PHỐ HỒ CHÍ MINH TRONG GIAI ĐOẠN 2020-2024</t>
  </si>
  <si>
    <t>K224141658</t>
  </si>
  <si>
    <t>Đào Ngọc Hà</t>
  </si>
  <si>
    <t>ỨNG DỤNG HỌC MÁY TRONG DỰ BÁO RỦI RO QUẢN TRỊ LỢI NHUẬN VÀ TÁC ĐỘNG ĐẾN TỶ SUẤT SINH LỜI CỔ PHIẾU: BẰNG CHỨNG THỰC NGHIỆM TẠI VIỆT NAM</t>
  </si>
  <si>
    <t>K224040570</t>
  </si>
  <si>
    <t>Nguyễn Yến Linh</t>
  </si>
  <si>
    <t>K22404C</t>
  </si>
  <si>
    <t>K224040583</t>
  </si>
  <si>
    <t>Tô Như Quỳnh</t>
  </si>
  <si>
    <t>K224040584</t>
  </si>
  <si>
    <t>Trần Ngọc Lan Thanh</t>
  </si>
  <si>
    <t>K224040585</t>
  </si>
  <si>
    <t>Ngô Nguyễn Quỳnh Thơ</t>
  </si>
  <si>
    <t>K224141659</t>
  </si>
  <si>
    <t>Mai Thị Thanh Hà</t>
  </si>
  <si>
    <t>DỰ BÁO KHẢ NĂNG ĐẠT HIỆU QUẢ SỬ DỤNG TÀI SẢN TRÊN MỨC TRUNG VỊ NGÀNH CỦA CÁC DOANH NGHIỆP BẤT ĐỘNG SẢN NIÊM YẾT TẠI VIỆT NAM - SỬ DỤNG MÔ HÌNH HỌC MÁY</t>
  </si>
  <si>
    <t>K224141667</t>
  </si>
  <si>
    <t>Lê Thị Hương</t>
  </si>
  <si>
    <t>K224141714</t>
  </si>
  <si>
    <t>Lê Danh Bách</t>
  </si>
  <si>
    <t>PGS. TS Phạm Thị Thanh Xuân</t>
  </si>
  <si>
    <t>K224141730</t>
  </si>
  <si>
    <t>Đoàn Tuấn Nghĩa</t>
  </si>
  <si>
    <t>K224141733</t>
  </si>
  <si>
    <t>Bùi Đặng Quỳnh Như</t>
  </si>
  <si>
    <t>K224141711</t>
  </si>
  <si>
    <t>Lê Phú An</t>
  </si>
  <si>
    <t>ỨNG DỤNG SURROGATE ML/DL DỰ BÁO EVE VÀ EAR TRONG QUẢN LÝ IRRBB</t>
  </si>
  <si>
    <t>TS Nguyễn Thôn Dã</t>
  </si>
  <si>
    <t>K224141655</t>
  </si>
  <si>
    <t>Lê Thị Mỹ Duyên</t>
  </si>
  <si>
    <t>TS Võ Thị Ngọc Trinh</t>
  </si>
  <si>
    <t>K224141668</t>
  </si>
  <si>
    <t>Phan Vũ Đình Khang</t>
  </si>
  <si>
    <t>K224141703</t>
  </si>
  <si>
    <t>Thông Thị Quế Trân</t>
  </si>
  <si>
    <t>DỰ BÁO TỶ SUẤT SINH LỜI VỐN CHỦ SỞ HỮU CỦA NGÀNH BẤT ĐỘNG SẢN BẰNG MACHINE LEARNING</t>
  </si>
  <si>
    <t>K224141649</t>
  </si>
  <si>
    <t>Trần Lê Quang An</t>
  </si>
  <si>
    <t>K224141657</t>
  </si>
  <si>
    <t>Bùi Thị Ngọc Hà</t>
  </si>
  <si>
    <t>K224141717</t>
  </si>
  <si>
    <t>Trần Đức Duy</t>
  </si>
  <si>
    <t>MỨC ĐỘ TÁC ĐỘNG CỦA FINTECH ĐẾN HIỆU QUẢ HOẠT ĐỘNG CỦA NGÂN HÀNG THƯƠNG MẠI NIÊM YẾT TẠI VIỆT NAM TRONG GIAI ĐOẠN 2014 - 2024</t>
  </si>
  <si>
    <t>ThS Phạm Chí Khoa</t>
  </si>
  <si>
    <t>K224141741</t>
  </si>
  <si>
    <t>Nguyễn Ngọc Thảo Trâm</t>
  </si>
  <si>
    <t>APPLICATION OF MACHINE LEARNING IN BREAKOUT SIGNAL IDENTIFICATION IN THE VIETNAMESE STOCK MARKET</t>
  </si>
  <si>
    <t>K214142085</t>
  </si>
  <si>
    <t>Phan Minh Thức</t>
  </si>
  <si>
    <t>K21414</t>
  </si>
  <si>
    <t>BUILDING A MULTI-LEVEL FINANCIAL RISK RANKING AND EARLY WARNING SYSTEM FOR VIETNAMESE LISTED COMPANIES: APPLYING MACHINE LEARNING AND DEPLOYING A WEB DASHBOARD TO SUPPORT DIGITAL TRANSFORMATION</t>
  </si>
  <si>
    <t>ThS Phan Huy Tâm</t>
  </si>
  <si>
    <t>K224141650</t>
  </si>
  <si>
    <t>Lưu Quỳnh Anh</t>
  </si>
  <si>
    <t>K224141651</t>
  </si>
  <si>
    <t>Nguyễn Ngọc Bảo Châu</t>
  </si>
  <si>
    <t>INTEGRATING CONDITIONAL VALUE AT RISK INTO HIERARCHICAL RISK PARITY: EVIDENCE FROM THE VIETNAMESE MULTI-ASSET MARKET</t>
  </si>
  <si>
    <t>K224141653</t>
  </si>
  <si>
    <t>Trần Nguyên Diễm</t>
  </si>
  <si>
    <t>K224141656</t>
  </si>
  <si>
    <t>Ngô Lam Giang</t>
  </si>
  <si>
    <t>K224141690</t>
  </si>
  <si>
    <t>Bùi Bạch Đoan Tâm</t>
  </si>
  <si>
    <t>TÁC ĐỘNG CỦA CÁC YẾU TỐ VĨ MÔ ĐẾN TỶ GIÁ TRONG GIAI ĐOẠN 2014-2023 : ỨNG DỤNG VECM VÀ MACHINE LEARNING DỰ TRONG DỰ BÁO</t>
  </si>
  <si>
    <t>K224141709</t>
  </si>
  <si>
    <t>Hồ Nguyễn Nhật Vy</t>
  </si>
  <si>
    <t>K224141724</t>
  </si>
  <si>
    <t>Lê Thị Hường</t>
  </si>
  <si>
    <t>K224141725</t>
  </si>
  <si>
    <t>Phạm Hữu Khương</t>
  </si>
  <si>
    <t>APPLYING THE DEEP LEARNING MODEL (LSTM, GRU) IN BITCOIN'S VOLATILITY FORECASTING AND RISK MEASUREMENT (VAR)</t>
  </si>
  <si>
    <t>K224141727</t>
  </si>
  <si>
    <t>Nguyễn Thị Thuỳ Linh</t>
  </si>
  <si>
    <t>TÁC ĐỘNG CỦA CẢM XÚC TIN TỨC ĐẾN KHẢ NĂNG DỰ BÁO BIẾN ĐỘNG LỢI SUẤT CỔ PHIẾU: BẰNG CHỨNG THỰC NGHIỆM TỪ CÁC CỔ PHIẾU THUỘC NGÀNH BẤT ĐỘNG SẢN</t>
  </si>
  <si>
    <t>K224141713</t>
  </si>
  <si>
    <t>Nguyễn Thương Kỳ Anh</t>
  </si>
  <si>
    <t>K224040575</t>
  </si>
  <si>
    <t>Phan Quang Minh</t>
  </si>
  <si>
    <t>PGS. TS Nguyễn Thị Ánh Như</t>
  </si>
  <si>
    <t>K224040586</t>
  </si>
  <si>
    <t>Đặng Hoài Minh Thư</t>
  </si>
  <si>
    <t>K224040591</t>
  </si>
  <si>
    <t>Nguyễn Hà Trâm</t>
  </si>
  <si>
    <t>K224040593</t>
  </si>
  <si>
    <t>Phạm Văn Trọng</t>
  </si>
  <si>
    <t>K224040594</t>
  </si>
  <si>
    <t>Nguyễn Thành Trung</t>
  </si>
  <si>
    <t>K224040595</t>
  </si>
  <si>
    <t>Lê Nguyễn Thanh Trúc</t>
  </si>
  <si>
    <t>K224141726</t>
  </si>
  <si>
    <t>Dương Thị Thuỳ Linh</t>
  </si>
  <si>
    <t>CONSTRUCTING AN OPTIMAL VN30 PORTFOLIO USING THE SINGLE INDEX MODEL</t>
  </si>
  <si>
    <t>K224141744</t>
  </si>
  <si>
    <t>Lâm Thanh Vi</t>
  </si>
  <si>
    <t>MACHINE LEARNING APPROACHES TO MORTGAGE DEFAULT PREDICTION: AN EMPIRICAL STUDY</t>
  </si>
  <si>
    <t>K224141710</t>
  </si>
  <si>
    <t>Lê Hoàng Phi Yến</t>
  </si>
  <si>
    <t>K224141716</t>
  </si>
  <si>
    <t>Nguyễn Quang Duy</t>
  </si>
  <si>
    <t>K224141673</t>
  </si>
  <si>
    <t>Phạm Gia Linh</t>
  </si>
  <si>
    <t>DỰ BÁO TÌNH TRẠNG KIỆT QUỆ TÀI CHÍNH CỦA CÁC DOANH NGHIỆP SẢN XUẤT VIỆT NAM</t>
  </si>
  <si>
    <t>K224141677</t>
  </si>
  <si>
    <t>Nguyễn Bùi Kim Ngân</t>
  </si>
  <si>
    <t>K224040550</t>
  </si>
  <si>
    <t>Nguyễn Thị Hải Tiên</t>
  </si>
  <si>
    <t>K22404</t>
  </si>
  <si>
    <t>K224040553</t>
  </si>
  <si>
    <t>Lý Bảo Trân</t>
  </si>
  <si>
    <t>K224040555</t>
  </si>
  <si>
    <t>Nguyễn Trần Ngọc Trúc</t>
  </si>
  <si>
    <t>K224040580</t>
  </si>
  <si>
    <t>Vũ Thị Hồng Phúc</t>
  </si>
  <si>
    <t>K224040581</t>
  </si>
  <si>
    <t>Đoàn Hà Phương</t>
  </si>
  <si>
    <t>K224141679</t>
  </si>
  <si>
    <t>Trần Khánh Ngọc</t>
  </si>
  <si>
    <t>XÂY DỰNG HỆ THỐNG REGTECH HỖ TRỢ CHẨM ĐIỂM RỦI RO BẤT ĐỘNG SẢN VÀ TÍNH NGHĨA VỤ TÀI CHÍNH THEO BẢNG GIÁ ĐẤT TP.HCM 2026</t>
  </si>
  <si>
    <t>K224141687</t>
  </si>
  <si>
    <t>Hứa Nguyễn Như Quỳnh</t>
  </si>
  <si>
    <t>K224141688</t>
  </si>
  <si>
    <t>Mai Như Quỳnh</t>
  </si>
  <si>
    <t>K224141737</t>
  </si>
  <si>
    <t>Lê Vũ Minh Thông</t>
  </si>
  <si>
    <t>ỨNG DỤNG MÁY HỌC TRONG CHẤM ĐIỂM RỦI RO QUÁ HẠN KHOẢN VAY TẠI BIDV - CHI NHÁNH THỦ DẦU MỘT</t>
  </si>
  <si>
    <t>K224141743</t>
  </si>
  <si>
    <t>Lê Việt Tố Uyên</t>
  </si>
  <si>
    <t>ỨNG DỤNG MACHINE LEARNING TRONG DỰ BÁO ROA CỦA CÁC DOANH NGHIỆP PHI TÀI CHÍNH NIÊM YẾT TẠI VIỆT NAM GIAI ĐOẠN 2018–2024</t>
  </si>
  <si>
    <t>K224040556</t>
  </si>
  <si>
    <t>Đinh Quang Tuấn</t>
  </si>
  <si>
    <t>PGS. TS Trần Hùng Sơn</t>
  </si>
  <si>
    <t>K224040558</t>
  </si>
  <si>
    <t>Trần Thị Trúc Uyên</t>
  </si>
  <si>
    <t>K224040560</t>
  </si>
  <si>
    <t>Nguyễn Thị Hà Vy</t>
  </si>
  <si>
    <t>K224040569</t>
  </si>
  <si>
    <t>Phạm Thị Thu Hương</t>
  </si>
  <si>
    <t>K224040587</t>
  </si>
  <si>
    <t>Nguyễn Thị Minh Thư</t>
  </si>
  <si>
    <t>K224040589</t>
  </si>
  <si>
    <t>Hồ Nguyễn Anh Thy</t>
  </si>
  <si>
    <t>K224141722</t>
  </si>
  <si>
    <t>Nguyễn Thị Mai Hạnh</t>
  </si>
  <si>
    <t>PHÂN TÍCH CẢM XÚC CỦA NGƯỜI DÙNG BIDV MINI APP TRÊN NỀN TẢNG VNPAY BẰNG CÁC PHƯƠNG PHÁP HỌC MÁY</t>
  </si>
  <si>
    <t>K224141729</t>
  </si>
  <si>
    <t>Trần Phương Nghi</t>
  </si>
  <si>
    <t>K224141740</t>
  </si>
  <si>
    <t>Phạm Hoàng Ngọc Trang</t>
  </si>
  <si>
    <t>K224040483</t>
  </si>
  <si>
    <t>Phan Thúy Ngân</t>
  </si>
  <si>
    <t>ThS Hồ Thị Hồng Minh</t>
  </si>
  <si>
    <t>K224040484</t>
  </si>
  <si>
    <t>Trần Huỳnh Phương Nghi</t>
  </si>
  <si>
    <t>K224040486</t>
  </si>
  <si>
    <t>Hoàng Thị Huệ Nhi</t>
  </si>
  <si>
    <t>K224040488</t>
  </si>
  <si>
    <t>Nguyễn Thị Thanh Nhung</t>
  </si>
  <si>
    <t>K224040492</t>
  </si>
  <si>
    <t>Lê Mạnh Quân</t>
  </si>
  <si>
    <t>K224040561</t>
  </si>
  <si>
    <t>Hà Thị Lan Anh</t>
  </si>
  <si>
    <t>K224040563</t>
  </si>
  <si>
    <t>Nguyễn Hồng Ánh</t>
  </si>
  <si>
    <t>K224040582</t>
  </si>
  <si>
    <t>Phạm Thị Phương</t>
  </si>
  <si>
    <t>K224040590</t>
  </si>
  <si>
    <t>Nguyễn Ngọc Thiên Trang</t>
  </si>
  <si>
    <t>K224040592</t>
  </si>
  <si>
    <t>Nguyễn Hoài Tuyết Trân</t>
  </si>
  <si>
    <t>K224141661</t>
  </si>
  <si>
    <t>Nguyễn Hạo</t>
  </si>
  <si>
    <t>K224141665</t>
  </si>
  <si>
    <t>Phan Thị Thu Huyền</t>
  </si>
  <si>
    <t>K224141671</t>
  </si>
  <si>
    <t>Bùi Ngọc Thiên Kim</t>
  </si>
  <si>
    <t>XÂY DỰNG BẢNG ĐIỀU KHIỂN DANH MỤC ĐẦU TƯ TỐI ƯU THEO KHẨU VỊ RỦI RO"</t>
  </si>
  <si>
    <t>K224141674</t>
  </si>
  <si>
    <t>Nguyễn Đồng Mạnh</t>
  </si>
  <si>
    <t>ỨNG DỤNG DỮ LIỆU GIAO DỊCH CỦA KHỐI NGOẠI TRONG DỰ BÁO XU HƯỚNG BIẾN ĐỘNG GIÁ CỔ PHIẾU TẠI THỊ TRƯỜNG CHỨNG KHOÁN VIỆT NAM</t>
  </si>
  <si>
    <t>K224141676</t>
  </si>
  <si>
    <t>Nguyễn Ngọc Kim Nga</t>
  </si>
  <si>
    <t>K224141723</t>
  </si>
  <si>
    <t>Nguyễn Thị Ngọc Huyền</t>
  </si>
  <si>
    <t>K224141660</t>
  </si>
  <si>
    <t>Trần Bích Hà</t>
  </si>
  <si>
    <t>PHÂN TÍCH CẢM XÚC NGƯỜI DÙNG TỪ ĐÁNH GIÁ TRÊN ỨNG DỤNG NGÂN HÀNG SỐ VÀ MỐI LIÊN HỆ VỚI BIẾN ĐỘNG GIÁ CỔ PHIẾU NGÂN HÀNG TẠI VIỆT NAM</t>
  </si>
  <si>
    <t>K224141662</t>
  </si>
  <si>
    <t>Nguyễn Lâm Xuân Hân</t>
  </si>
  <si>
    <t>PHÁT HIỆN SỰ CHUYỂN PHA TRẠNG THÁI THỊ TRƯỜNG CHỨNG KHOÁN VIỆT NAM BẰNG HỌC MÁY KHÔNG GIÁM SÁT VÀ MÔ HÌNH TRẠNG THÁI ẨN HIDDEN MARKOV MODEL</t>
  </si>
  <si>
    <t>K224141666</t>
  </si>
  <si>
    <t>Trần Thị Thu Huỳnh</t>
  </si>
  <si>
    <t>K224141669</t>
  </si>
  <si>
    <t>Bùi Trung Kiên</t>
  </si>
  <si>
    <t>K224141670</t>
  </si>
  <si>
    <t>Nguyễn Hữu Kiên</t>
  </si>
  <si>
    <t>K224141718</t>
  </si>
  <si>
    <t>Huỳnh Thị Mỹ Duyên</t>
  </si>
  <si>
    <t>K224141739</t>
  </si>
  <si>
    <t>Dương Ngọc Trang</t>
  </si>
  <si>
    <t>K224141745</t>
  </si>
  <si>
    <t>Châu Hải Vy</t>
  </si>
  <si>
    <t>K224141728</t>
  </si>
  <si>
    <t>Nguyễn Nhật Nam</t>
  </si>
  <si>
    <t>DỰ BÁO BIẾN ĐỘNG CÁC MÃ CỔ PHIẾU CỦA THỊ TRƯỜNG VIỆT NAM BẰNG MÔ HÌNH GARCH TĂNG CƯỜNG HỌC SÂU LSTM VỚI THÔNG TIN THỊ TRƯỜNG VÀ SENTIMENT TIN TỨC</t>
  </si>
  <si>
    <t>K224141731</t>
  </si>
  <si>
    <t>Nguyễn Trọng Nghĩa</t>
  </si>
  <si>
    <t>XÂY DỰNG MÔ HÌNH DỰ BÁO GIÁ ĐÓNG CỬA NGẮN HẠN CHO CÁC MÃ CỔ PHIẾU THUỘC VN30 BẰNG DEEP LEARNING VÀ ỨNG DỤNG TRONG HỆ THỐNG HỖ TRỢ GIAO DỊCH FINTECH</t>
  </si>
  <si>
    <t>K224141732</t>
  </si>
  <si>
    <t>Cao Hoàng Nhã</t>
  </si>
  <si>
    <t>DỰ BÁO BIẾN ĐỘNG LỢI NHUẬN VÀ RỦI RO SUY GIẢM LỢI NHUẬN CỦA CÁC DOANH NGHIỆP NIÊM YẾT PHI TÀI CHÍNH TẠI VIỆT NAM BẰNG HỌC MÁY</t>
  </si>
  <si>
    <t>K224141734</t>
  </si>
  <si>
    <t>Hoàng Thị Quỳnh Như</t>
  </si>
  <si>
    <t>ỨNG DỤNG MACHINE LEARNING TRONG DỰ BÁO RỦI RO THANH KHOẢN CỦA NGÂN HÀNG THƯƠNG MẠI TẠI VIỆT NAM</t>
  </si>
  <si>
    <t>K224141735</t>
  </si>
  <si>
    <t>Liêu Hoài Phúc</t>
  </si>
  <si>
    <t>K224141719</t>
  </si>
  <si>
    <t>Nguyễn Khánh Hà</t>
  </si>
  <si>
    <t>PHÂN TÍCH CÁC YẾU TỐ TÁC ĐỘNG ĐẾN CĂNG THẲNG TÀI CHÍNH CỦA DOANH NGHIỆP NGÀNH NGUYÊN VẬT LIỆU NIÊM YẾT TRÊN SỞ GIAO DỊCH CHỨNG KHOÁN TP. HỒ CHÍ MINH GIAI ĐOẠN 2014–2024</t>
  </si>
  <si>
    <t>K224141720</t>
  </si>
  <si>
    <t>Phạm Thị Duyên Hải</t>
  </si>
  <si>
    <t>PHÂN TÍCH HIỆU SUẤT TÀI CHÍNH VÀ CHI PHÍ CƠ HỘI CỦA DANH MỤC ĐẦU TƯ TÍCH HỢP TIÊU CHÍ ESG TẠI THỊ TRƯỜNG CHỨNG KHOÁN VIỆT NAM: TIẾP CẬN TỪ MÔ HÌNH MARKOWITZ VÀ THUẬT TOÁN NSGA-II</t>
  </si>
  <si>
    <t>K224141680</t>
  </si>
  <si>
    <t>HUỲNH THỊ NGỌC NHI</t>
  </si>
  <si>
    <t>ỨNG DỤNG MACHINE LEARNING TRONG XÂY DỰNG HỆ THỐNG DỰ BÁO RỦI RO CỔ PHIẾU TRÊN THỊ TRƯỜNG CHỨNG KHOÁN VIỆT NAM</t>
  </si>
  <si>
    <t>K224141683</t>
  </si>
  <si>
    <t>Huỳnh Quế Nhu</t>
  </si>
  <si>
    <t>K224141684</t>
  </si>
  <si>
    <t>Phan Kiều Oanh</t>
  </si>
  <si>
    <t>K224141689</t>
  </si>
  <si>
    <t>Trần Ngọc Như Quỳnh</t>
  </si>
  <si>
    <t>K204041141</t>
  </si>
  <si>
    <t>Nguyễn Ngọc Hoàng</t>
  </si>
  <si>
    <t>K20404</t>
  </si>
  <si>
    <t>ThS Nguyễn Thị Diễm Hiền</t>
  </si>
  <si>
    <t>K214041625</t>
  </si>
  <si>
    <t>Nguyễn Hoàng Tuân</t>
  </si>
  <si>
    <t>K21404</t>
  </si>
  <si>
    <t>K224040466</t>
  </si>
  <si>
    <t>Nguyễn Đình Thiên Ân</t>
  </si>
  <si>
    <t>K22412</t>
  </si>
  <si>
    <t>K224040467</t>
  </si>
  <si>
    <t>Tô Gia Bảo</t>
  </si>
  <si>
    <t>K224040468</t>
  </si>
  <si>
    <t>Phạm Mai Chi</t>
  </si>
  <si>
    <t>K224040478</t>
  </si>
  <si>
    <t>Nguyễn Tuấn Kiệt</t>
  </si>
  <si>
    <t>K224040487</t>
  </si>
  <si>
    <t>Nghiêm Thùy Yến Nhi</t>
  </si>
  <si>
    <t>K224040489</t>
  </si>
  <si>
    <t>Thiều Thị Ngọc Oanh</t>
  </si>
  <si>
    <t>K224040490</t>
  </si>
  <si>
    <t>Nguyễn Ngọc Châu Phương</t>
  </si>
  <si>
    <t>K224040491</t>
  </si>
  <si>
    <t>Nguyễn Duy Phúc</t>
  </si>
  <si>
    <t>K224040495</t>
  </si>
  <si>
    <t>Hà Huy Tân</t>
  </si>
  <si>
    <t>K224040501</t>
  </si>
  <si>
    <t>Lê Thị Thủy Tiên</t>
  </si>
  <si>
    <t>K224040502</t>
  </si>
  <si>
    <t>Nguyễn Thủy Tiên</t>
  </si>
  <si>
    <t>K224040504</t>
  </si>
  <si>
    <t>Hồ Thị Ngọc Trâm</t>
  </si>
  <si>
    <t>K224040506</t>
  </si>
  <si>
    <t>Nguyễn Thanh Trúc</t>
  </si>
  <si>
    <t>K224040519</t>
  </si>
  <si>
    <t>Hoàng Thị Đông Hà</t>
  </si>
  <si>
    <t>K224040523</t>
  </si>
  <si>
    <t>Phí Nhật Hoàng</t>
  </si>
  <si>
    <t>K224040528</t>
  </si>
  <si>
    <t>Trần Nhật Linh</t>
  </si>
  <si>
    <t>K224042344</t>
  </si>
  <si>
    <t>Đỗ Kim Anh</t>
  </si>
  <si>
    <t>K224042345</t>
  </si>
  <si>
    <t>Phandolak Mona</t>
  </si>
  <si>
    <t>K224042346</t>
  </si>
  <si>
    <t>Phommavong Thipsouda</t>
  </si>
  <si>
    <t>K224042347</t>
  </si>
  <si>
    <t>Cheemeng Vangchiaxar</t>
  </si>
  <si>
    <t>K224141697</t>
  </si>
  <si>
    <t>Lâm Chánh Tín</t>
  </si>
  <si>
    <t>K224141692</t>
  </si>
  <si>
    <t>Nguyễn Thị Ngọc Thanh</t>
  </si>
  <si>
    <t>K224141672</t>
  </si>
  <si>
    <t>Phan Ánh Linh</t>
  </si>
  <si>
    <t>K224040464</t>
  </si>
  <si>
    <t>Phạm Vũ Tú Anh</t>
  </si>
  <si>
    <t>ThS Nguyễn Thị Hai Hằng</t>
  </si>
  <si>
    <t>K224040469</t>
  </si>
  <si>
    <t>Nguyễn Thị Thúy Diễm</t>
  </si>
  <si>
    <t>K224040482</t>
  </si>
  <si>
    <t>Dương Công Nam</t>
  </si>
  <si>
    <t>K224040485</t>
  </si>
  <si>
    <t>Triệu Hoàng Kim Nguyên</t>
  </si>
  <si>
    <t>K224040494</t>
  </si>
  <si>
    <t>Huỳnh Thị Thanh Tâm</t>
  </si>
  <si>
    <t>K224040497</t>
  </si>
  <si>
    <t>Phan Như Thành</t>
  </si>
  <si>
    <t>K224040498</t>
  </si>
  <si>
    <t>Lê Hưng Thịnh</t>
  </si>
  <si>
    <t>K224040499</t>
  </si>
  <si>
    <t>Bùi Anh Thư</t>
  </si>
  <si>
    <t>K224040500</t>
  </si>
  <si>
    <t>Nguyễn Thị Thương</t>
  </si>
  <si>
    <t>K224040505</t>
  </si>
  <si>
    <t>Nguyễn Ngọc Huyền Trân</t>
  </si>
  <si>
    <t>K224040509</t>
  </si>
  <si>
    <t>Phan Ngọc Khánh Uyên</t>
  </si>
  <si>
    <t>K224040510</t>
  </si>
  <si>
    <t>Lê Trịnh Thảo Vi</t>
  </si>
  <si>
    <t>K224040512</t>
  </si>
  <si>
    <t>Nguyễn Tường Vy</t>
  </si>
  <si>
    <t>K224040518</t>
  </si>
  <si>
    <t>Nguyễn Triệu Duy</t>
  </si>
  <si>
    <t>K224040521</t>
  </si>
  <si>
    <t>Nguyễn Huy Thu Hằng</t>
  </si>
  <si>
    <t>K224040522</t>
  </si>
  <si>
    <t>Đỗ Thu Hiền</t>
  </si>
  <si>
    <t>K224040525</t>
  </si>
  <si>
    <t>Nguyễn Đỗ Thiên Hương</t>
  </si>
  <si>
    <t>K224040527</t>
  </si>
  <si>
    <t>Chu Thị Mỹ Linh</t>
  </si>
  <si>
    <t>K224040531</t>
  </si>
  <si>
    <t>Lê Bảo Ngân</t>
  </si>
  <si>
    <t>K224040533</t>
  </si>
  <si>
    <t>Lê Hà Bảo Ngọc</t>
  </si>
  <si>
    <t>K224040534</t>
  </si>
  <si>
    <t>Nguyễn Trần Ái Nguyệt</t>
  </si>
  <si>
    <t>K224040535</t>
  </si>
  <si>
    <t>Lê Thị Kiều Nhi</t>
  </si>
  <si>
    <t>K224040537</t>
  </si>
  <si>
    <t>Đặng Kiều Oanh</t>
  </si>
  <si>
    <t>K224040552</t>
  </si>
  <si>
    <t>Huỳnh Mai Huyền Trang</t>
  </si>
  <si>
    <t>K224040554</t>
  </si>
  <si>
    <t>Lê Thanh Trúc</t>
  </si>
  <si>
    <t>K224040557</t>
  </si>
  <si>
    <t>Nguyễn Văn Tuyên</t>
  </si>
  <si>
    <t>K224040559</t>
  </si>
  <si>
    <t>Vũ Hoàng Vi</t>
  </si>
  <si>
    <t>K224141675</t>
  </si>
  <si>
    <t>Huỳnh Thị Thanh Nga</t>
  </si>
  <si>
    <t>K224141682</t>
  </si>
  <si>
    <t>Hồ Minh Nhí</t>
  </si>
  <si>
    <t>K224141686</t>
  </si>
  <si>
    <t>Phạm Ngọc Quang</t>
  </si>
  <si>
    <t>K224141742</t>
  </si>
  <si>
    <t>Nguyễn Sơn Trường</t>
  </si>
  <si>
    <t>ỨNG DỤNG THUẬT TOÁN K-MEANS TRONG VIỆC PHÂN NHÓM CỔ PHIẾU VÀ TẠO LẬP DANH MỤC ĐẦU TƯ.</t>
  </si>
  <si>
    <t>K224141699</t>
  </si>
  <si>
    <t>Phan Nguyễn Xuân Toàn</t>
  </si>
  <si>
    <t>THIẾT KẾ VÀ TRIỂN KHAI HỆ THỐNG GIAO DỊCH ĐỊNH LƯỢNG THÍCH NGHI (ADAPTIVE) TRÊN THỊ TRƯỜNG TIỀN MÃ HÓA ỨNG DỤNG BỘ LỌC KALMAN VÀ TỐI ƯU HÓA DANH MỤC THEO KELLY CRITERION</t>
  </si>
  <si>
    <t>K224141707</t>
  </si>
  <si>
    <t>Lê Thị Mỹ Uyên</t>
  </si>
  <si>
    <t>K224141708</t>
  </si>
  <si>
    <t>Phạm Thị Điệp Vân</t>
  </si>
  <si>
    <t>K224040574</t>
  </si>
  <si>
    <t>Nguyễn Lê Nhật Minh</t>
  </si>
  <si>
    <t>K224142348</t>
  </si>
  <si>
    <t>Nguyễn Duy Ngọc</t>
  </si>
  <si>
    <t>K224141693</t>
  </si>
  <si>
    <t>Vy Đặng Thanh Thảo</t>
  </si>
  <si>
    <t>FORECASTING VN-INDEX RETURNS USING TRADITIONAL MODELS, MACHINE LEARNING AND DEEP LEARNING IN AN EMERGING MARKET</t>
  </si>
  <si>
    <t>K224141696</t>
  </si>
  <si>
    <t>Bùi Việt Hoàng Tín</t>
  </si>
  <si>
    <t>PREDICTING FUTURE GOLD PRICES AND SUGGESTING SUITABLE DERIVATIVE CONTRACTS</t>
  </si>
  <si>
    <t>K224141700</t>
  </si>
  <si>
    <t>Phan Viết Toàn</t>
  </si>
  <si>
    <t>K224141701</t>
  </si>
  <si>
    <t>Nguyễn Thị Mai Trâm</t>
  </si>
  <si>
    <t>K224141705</t>
  </si>
  <si>
    <t>Lê Nam Tuyên</t>
  </si>
  <si>
    <t>K224141746</t>
  </si>
  <si>
    <t>Lê Nguyễn Tường Vy</t>
  </si>
  <si>
    <t>K224040565</t>
  </si>
  <si>
    <t>Mai Đức Dương</t>
  </si>
  <si>
    <t>TÁC ĐỘNG CỦA ĐA DẠNG HÓA NGUỒN VỐN ĐẾN LỢI NHUẬN VÀ RỦI RO CỦA CÁC NGÂN HÀNG THƯƠNG MẠI TẠI VIỆT NAM.</t>
  </si>
  <si>
    <t>ThS Tô Thị Thanh Trúc</t>
  </si>
  <si>
    <t>K224040579</t>
  </si>
  <si>
    <t>Huỳnh Trí Nhân</t>
  </si>
  <si>
    <t>TÁC ĐỘNG CỦA CẤU TRÚC VỐN ĐẾN KHẢ NĂNG SINH LỜI CỦA CÁC NGÂN HÀNG THƯƠNG MẠI TẠI VIỆT NAM</t>
  </si>
  <si>
    <t>K224040562</t>
  </si>
  <si>
    <t>Nguyễn Đức Anh</t>
  </si>
  <si>
    <t>K224040481</t>
  </si>
  <si>
    <t>Vũ Nhật Minh</t>
  </si>
  <si>
    <t>BANK–FINTECH COOPERATION, OWNERSHIP STRUCTURE, AND OVERALL BANK RISK: EMPIRICAL EVIDENCE FROM VIETNAM</t>
  </si>
  <si>
    <t>K224040493</t>
  </si>
  <si>
    <t>Nguyễn Ngọc Quỳnh</t>
  </si>
  <si>
    <t>ẢNH HƯỞNG CỦA CÁC NHÂN TỐ VĨ MÔ VÀ CÁC NHÂN TỐ NỘI TẠI ĐẾN BIÊN LÃI RÒNG CỦA CÁC NGÂN HÀNG THƯƠNG MẠI QUY MÔ VỪA VÀ NHỎ TẠI VIỆT NAM TRONG GIAI ĐOẠN 2014-2024</t>
  </si>
  <si>
    <t>K224040541</t>
  </si>
  <si>
    <t>Lâm Hồng Minh Quân</t>
  </si>
  <si>
    <t>K224040564</t>
  </si>
  <si>
    <t>Nguyễn Vũ Bình</t>
  </si>
  <si>
    <t>K224040567</t>
  </si>
  <si>
    <t>Nguyễn Tấn Đạt</t>
  </si>
  <si>
    <t>TS Nguyễn Hoàng Anh</t>
  </si>
  <si>
    <t>K224040578</t>
  </si>
  <si>
    <t>Đinh Đỗ Hạnh Nguyên</t>
  </si>
  <si>
    <t>THE IMPACT OF CAPITAL STRUCTURE ON PROFITABILITY: A CASE STUDY OF VIETNAMESE NON – FINANCIAL LISTED COMPANIES</t>
  </si>
  <si>
    <t>K224040568</t>
  </si>
  <si>
    <t>Nguyễn Phúc Hưng</t>
  </si>
  <si>
    <t>THE MODERATING ROLE OF DIGITAL BANKING ON THE RELATIONSHIP BETWEEN INCOME DIVERSIFICATION AND BANK PERFORMANCE: EVIDENCE FROM VIETNAMESE COMMERCIAL BANK</t>
  </si>
  <si>
    <t>TS Nguyễn Tiến Trung</t>
  </si>
  <si>
    <t>K224040576</t>
  </si>
  <si>
    <t>Hà Vũ Thúy Mỵ</t>
  </si>
  <si>
    <t>TÁC ĐỘNG CỦA CHUYỂN ĐỔI SỐ VÀ CẤU TRÚC VỐN ĐẾN HIỆU QUẢ HOẠT ĐỘNG: TRƯỜNG HỢP CÁC NGÂN HÀNG THƯƠNG MẠI VIỆT NAM</t>
  </si>
  <si>
    <t>K224040596</t>
  </si>
  <si>
    <t>Nguyễn Đặng Thanh Trúc</t>
  </si>
  <si>
    <t>PHÁT TRIỂN TÍN DỤNG NHÀ Ở DÀNH CHO KHÁCH HÀNG TRẺ TẠI CÁC NGÂN HÀNG THƯƠNG MẠI CỔ PHẦN Ở VIỆT NAM</t>
  </si>
  <si>
    <t>K224141698</t>
  </si>
  <si>
    <t>Lê Minh Toàn</t>
  </si>
  <si>
    <t>K224141704</t>
  </si>
  <si>
    <t>Phạm Huỳnh Minh Tuân</t>
  </si>
  <si>
    <t>K224040551</t>
  </si>
  <si>
    <t>Ngô Minh Tiến</t>
  </si>
  <si>
    <t>KIỂM ĐỊNH TÍNH THỰC NGHIỆM LÝ THUYẾT MÔ HÌNH FAMA-FRENCH NĂM NHÂN TỐ TẠI THỊ TRƯỜNG CHỨNG KHOÁN VIỆT NAM: TRƯỜNG HỢP VN30</t>
  </si>
  <si>
    <t>TS Nguyễn Thành Đạt</t>
  </si>
  <si>
    <t>K224040572</t>
  </si>
  <si>
    <t>Vũ Gia Linh</t>
  </si>
  <si>
    <t>K224040573</t>
  </si>
  <si>
    <t>Bùi Hương Ly</t>
  </si>
  <si>
    <t>K224040524</t>
  </si>
  <si>
    <t>Võ Bảo Huy</t>
  </si>
  <si>
    <t>TÍNH LAN TỎA GIỮA CÁC TÀI SẢN DEFI, TIỀN MÃ HÓA, CỔ PHIẾU VÀ TÀI SẢN TRÚ ẨN AN TOÀN</t>
  </si>
  <si>
    <t>K204040224</t>
  </si>
  <si>
    <t>Trang Hoàng Phi Yến</t>
  </si>
  <si>
    <t>K204041202</t>
  </si>
  <si>
    <t>Tô Quang Tiến</t>
  </si>
  <si>
    <t>K204041217</t>
  </si>
  <si>
    <t>Nguyễn Thị Thuý Vi</t>
  </si>
  <si>
    <t>K204041219</t>
  </si>
  <si>
    <t>Phan Lê Tú Viên</t>
  </si>
  <si>
    <t>K214040248</t>
  </si>
  <si>
    <t>Hoàng Gia Linh</t>
  </si>
  <si>
    <t>K214040272</t>
  </si>
  <si>
    <t>Nguyễn Khắc Như Thùy</t>
  </si>
  <si>
    <t>K214041589</t>
  </si>
  <si>
    <t>Vòng Lập Bình</t>
  </si>
  <si>
    <t>K224020262</t>
  </si>
  <si>
    <t>Nguyễn Đặng Vi Bân</t>
  </si>
  <si>
    <t>K224040465</t>
  </si>
  <si>
    <t>Trương Thị Nhã Ái</t>
  </si>
  <si>
    <t>K224040471</t>
  </si>
  <si>
    <t>Nguyễn Thị Thu Hà</t>
  </si>
  <si>
    <t>K224040472</t>
  </si>
  <si>
    <t>Võ Thị Hồng Hạnh</t>
  </si>
  <si>
    <t>K224040473</t>
  </si>
  <si>
    <t>Trần Thị Thu Hằng</t>
  </si>
  <si>
    <t>K224040474</t>
  </si>
  <si>
    <t>Phan Thanh Thanh Hiền</t>
  </si>
  <si>
    <t>K224040475</t>
  </si>
  <si>
    <t>Lý Nhật Huy</t>
  </si>
  <si>
    <t>K224040476</t>
  </si>
  <si>
    <t>Lê Huỳnh Khánh Huyền</t>
  </si>
  <si>
    <t>K224040507</t>
  </si>
  <si>
    <t>Phạm Thị Thanh Trúc</t>
  </si>
  <si>
    <t>K224040511</t>
  </si>
  <si>
    <t>Đỗ Thanh Viên</t>
  </si>
  <si>
    <t>K224040513</t>
  </si>
  <si>
    <t>Nguyễn Vân An</t>
  </si>
  <si>
    <t>K224040515</t>
  </si>
  <si>
    <t>Nguyễn Phạm Ngọc Ánh</t>
  </si>
  <si>
    <t>K224040516</t>
  </si>
  <si>
    <t>Lương Thanh Bi</t>
  </si>
  <si>
    <t>K224040520</t>
  </si>
  <si>
    <t>Phan Thị Mỹ Hạnh</t>
  </si>
  <si>
    <t>K224040526</t>
  </si>
  <si>
    <t>Nguyễn Công Minh Khôi</t>
  </si>
  <si>
    <t>K224040529</t>
  </si>
  <si>
    <t>Hà Xuân Mai</t>
  </si>
  <si>
    <t>K224040538</t>
  </si>
  <si>
    <t>Trần Nhất Phong</t>
  </si>
  <si>
    <t>K224040588</t>
  </si>
  <si>
    <t>Trần Nguyễn Anh Thư</t>
  </si>
  <si>
    <t>PHÂN TÍCH CÁC YẾU TỐ ẢNH HƯỞNG ĐẾN NỢ XẤU TẠI CÁC NGÂN HÀNG THƯƠNG MẠI VIỆT NAM GIAI ĐOẠN 2014 - 2024</t>
  </si>
  <si>
    <t>K224040470</t>
  </si>
  <si>
    <t>Đào Hồ Trúc Giang</t>
  </si>
  <si>
    <t>THE IMPACT OF CEO CHARACTERISTICS ON FINANCIAL PERFORMANCE OF VIETNAMESE COMMERCIAL BANKS</t>
  </si>
  <si>
    <t>K224040532</t>
  </si>
  <si>
    <t>Trương Ngọc Kiều Ngân</t>
  </si>
  <si>
    <t>MỐI QUAN HỆ GIỮA TỶ LỆ AN TOÀN VỐN VÀ HIỆU QUẢ HOẠT ĐỘNG CỦA CÁC NGÂN HÀNG THƯƠNG MẠI CỔ PHẦN TẠI VIỆT NAM: BẰNG CHỨNG TỪ MÔ HÌNH HỆ PHƯƠNG TRÌNH ĐỒNG THỜI (SEM)</t>
  </si>
  <si>
    <t>K224040536</t>
  </si>
  <si>
    <t>Nguyễn Thị Yến Nhi</t>
  </si>
  <si>
    <t>ĐÁNH GIÁ VÀ PHÂN TÍCH CÁC YẾU TỐ ẢNH HƯỞNG ĐẾN HIỆU QUẢ HOẠT ĐỘNG CỦA CÁC NGÂN HÀNG THƯƠNG MẠI TẠI VIỆT NAM TRONG GIAI ĐOẠN 2020-2024: CÁCH TIẾP CẬN PHƯƠNG PHÁP BAO DỮ LIỆU (DEA) VÀ HỒI QUY TOBIT</t>
  </si>
  <si>
    <t>K224040539</t>
  </si>
  <si>
    <t>Võ Trường Phúc</t>
  </si>
  <si>
    <t>K224040566</t>
  </si>
  <si>
    <t>Võ Hoàng Triệu Dương</t>
  </si>
  <si>
    <t>K224040477</t>
  </si>
  <si>
    <t>Nguyễn Trần Vũ Hùng</t>
  </si>
  <si>
    <t>K224040479</t>
  </si>
  <si>
    <t>Nguyễn Thị Hạnh Linh</t>
  </si>
  <si>
    <t>K224040543</t>
  </si>
  <si>
    <t>Nguyễn Thị Minh Tâm</t>
  </si>
  <si>
    <t>K224040544</t>
  </si>
  <si>
    <t>Nguyễn Tấn Thành</t>
  </si>
  <si>
    <t>K224040546</t>
  </si>
  <si>
    <t>Hàng Quốc Thắng</t>
  </si>
  <si>
    <t>K224040547</t>
  </si>
  <si>
    <t>Đỗ Trần Hồng Thơ</t>
  </si>
  <si>
    <t>K224040548</t>
  </si>
  <si>
    <t>Lê Hoàng Như Thuỷ</t>
  </si>
  <si>
    <t>K224040549</t>
  </si>
  <si>
    <t>Nguyễn Ngọc Anh Thư</t>
  </si>
  <si>
    <t>K224040577</t>
  </si>
  <si>
    <t>Trần Thanh Bảo Ngọc</t>
  </si>
  <si>
    <t>K224040542</t>
  </si>
  <si>
    <t>Phạm Thanh Tài</t>
  </si>
  <si>
    <t>K224040480</t>
  </si>
  <si>
    <t>Hồ Thị Bích Ly</t>
  </si>
  <si>
    <t>K224040496</t>
  </si>
  <si>
    <t>Mai Công Thanh</t>
  </si>
  <si>
    <t>THE IMPACT OF BANK-FINTECH COOPERATION ON THE PERFORMANCE OF TRADITIONAL COMMERCIAL BANKS IN VIETNAM: THE MODERATING ROLE OF CEO CHARACTERISTICS</t>
  </si>
  <si>
    <t>K224040503</t>
  </si>
  <si>
    <t>Nguyễn Thị Huyền Trang</t>
  </si>
  <si>
    <t>ẢNH HƯỞNG CỦA NỢ XẤU ĐẾN KHẢ NĂNG SINH LỜI CỦA CÁC NGÂN HÀNG THƯƠNG MẠI VIỆT NAM</t>
  </si>
  <si>
    <t>K224040545</t>
  </si>
  <si>
    <t>Huỳnh Thị Thanh Thảo</t>
  </si>
  <si>
    <t>K224040598</t>
  </si>
  <si>
    <t>Cao Thị Phương Anh</t>
  </si>
  <si>
    <t>K22404CA</t>
  </si>
  <si>
    <t>THE IMPACT OF DIGITAL TRANSFORMATION ON FIRM PERFORMANCE OF LISTED COMPANIES IN THE VIETNAMESE STOCK MARKET</t>
  </si>
  <si>
    <t>K224040611</t>
  </si>
  <si>
    <t>Phan Đức Hiển Long</t>
  </si>
  <si>
    <t>CORPORATE FINANCIALIZATION AND FIXED INVESTMENT RATES: EVIDENCE ON THE MODERATING EFFECTS OF FINANCIAL CONSTRAINTS AND MONETARY POLICY IN VIETNAM</t>
  </si>
  <si>
    <t>K224040618</t>
  </si>
  <si>
    <t>Phạm Lê Thảo Nhi</t>
  </si>
  <si>
    <t>THE IMPACT OF RELATED-PARTY TRANSACTIONS ON CORPORATE BOND HOLDINGS AND BANK RISK: EVIDENCE FROM VIETNAMESE COMMERCIAL BANKS</t>
  </si>
  <si>
    <t>K224040619</t>
  </si>
  <si>
    <t>Võ Hoàng Uyên Nhy</t>
  </si>
  <si>
    <t>K224141721</t>
  </si>
  <si>
    <t>Nguyễn Thị Đức Hạnh</t>
  </si>
  <si>
    <t>K224040615</t>
  </si>
  <si>
    <t>Lê Hoàng Nam</t>
  </si>
  <si>
    <t>K224040626</t>
  </si>
  <si>
    <t>Nguyễn Minh Trí</t>
  </si>
  <si>
    <t>CASH-FLOW VOLATILITY AND FIRM LEVERAGE: MULTI-MEASURE EVIDENCE FROM VIETNAM’S LISTED NON-FINANCIAL FIRMS</t>
  </si>
  <si>
    <t>K224040627</t>
  </si>
  <si>
    <t>Nguyễn Thị Lan Uyên</t>
  </si>
  <si>
    <t>THE IMPACT OF ESG INFORMATION DISCLOSURE ON THE LIQUIDITY RISK OF COMMERCIAL BANKS IN VIETNAM</t>
  </si>
  <si>
    <t>K224040603</t>
  </si>
  <si>
    <t>Đoàn Ngọc Quỳnh Giao</t>
  </si>
  <si>
    <t>THE IMPACT OF ESG DISCLOSURE ON THE COST OF DEBT- THE MODERATING EFFECT OF AGENCY COSTS: EVIDENCE FROM VNX50 FIRMS IN VIETNAM</t>
  </si>
  <si>
    <t>K224040607</t>
  </si>
  <si>
    <t>Nguyễn Đắc Tùng Lâm</t>
  </si>
  <si>
    <t>K224040628</t>
  </si>
  <si>
    <t>Nguyễn Ngọc Hải Vân</t>
  </si>
  <si>
    <t>THE IMPACT OF FUNDING AND INCOME DIVERSIFICATION ON NON-PERFORMING LOANS: AN EMPIRICAL STUDY FROM VIETNAMESE COMMERCIAL BANKS</t>
  </si>
  <si>
    <t>K224040597</t>
  </si>
  <si>
    <t>Trần Quốc Văn</t>
  </si>
  <si>
    <t>K224040601</t>
  </si>
  <si>
    <t>Phan Đức Dân</t>
  </si>
  <si>
    <t>K224040608</t>
  </si>
  <si>
    <t>Âu Dương Ngọc Linh</t>
  </si>
  <si>
    <t>THE IMPACT OF THE AI DISCLOSURE INDEX ON THE MARKET VALUE OF VIETNAM LISTED COMPANIES</t>
  </si>
  <si>
    <t>K224040602</t>
  </si>
  <si>
    <t>Trần Nhật Duật</t>
  </si>
  <si>
    <t>METHODS OF VALUING LISTED ENTERPRISES: THE CASE OF BINH MINH PLASTIC JOINT STOCK COMPANY</t>
  </si>
  <si>
    <t>K224040614</t>
  </si>
  <si>
    <t>Võ Thị Hoàng My</t>
  </si>
  <si>
    <t>ANALYSIS OF CREDIT RISK MANAGEMENT AT JOINT STOCK COMMERCIAL BANK FOR FOREIGN TRADE OF VIETNAM (VIETCOMBANK)</t>
  </si>
  <si>
    <t>K224040617</t>
  </si>
  <si>
    <t>K224040600</t>
  </si>
  <si>
    <t>Nguyễn Phúc Bảo Châu</t>
  </si>
  <si>
    <t>THE IMPACT OF BOARD GENDER DIVERSITY ON THE FIRM VALUE OF LISTED FIRMS IN VIETNAM</t>
  </si>
  <si>
    <t>K224040620</t>
  </si>
  <si>
    <t>Đặng Việt Quang</t>
  </si>
  <si>
    <t>K204151943</t>
  </si>
  <si>
    <t>Lê Anh Đức</t>
  </si>
  <si>
    <t>K20404C</t>
  </si>
  <si>
    <t xml:space="preserve">TS Nguyễn Trung Hiếu </t>
  </si>
  <si>
    <t>K224040622</t>
  </si>
  <si>
    <t>Lê Hoài Trúc Quỳnh</t>
  </si>
  <si>
    <t>K224040624</t>
  </si>
  <si>
    <t>Ngô Quang Tiến</t>
  </si>
  <si>
    <t>K224040625</t>
  </si>
  <si>
    <t>Phạm Thu Trang</t>
  </si>
  <si>
    <t>K224040613</t>
  </si>
  <si>
    <t>Lâm Huỳnh Ái My</t>
  </si>
  <si>
    <t>FACTORS AFFECTING THE FINANCIAL PERFORMANCE OF COMMERCIAL BANKS IN VIETNAM</t>
  </si>
  <si>
    <t>K224040616</t>
  </si>
  <si>
    <t>Nguyễn Huỳnh Bách Ngọc</t>
  </si>
  <si>
    <t>THE IMPACT OF ESG AND INSTITUTIONAL QUALITY ON BANK PERFORMANCE AND STABILITY: PANEL EVIDENCE FROM ASEAN COUNTRIES</t>
  </si>
  <si>
    <t>K224040621</t>
  </si>
  <si>
    <t>Phan Trọng Quí</t>
  </si>
  <si>
    <t>THE IMPACT OF BANK GUARANTEE ACTIVITIES ON RISK AND PERFORMANCE OF VIETNAMESE COMMERCIAL BANKS</t>
  </si>
  <si>
    <t>K224040623</t>
  </si>
  <si>
    <t>ECONOMIC POLICY UNCERTAINTY AND CORPORATE CASH HOLDINGS: EVIDENCE FROM VIETNAMESE NON-FINANCIAL LISTED FIRM</t>
  </si>
  <si>
    <t>K214040312</t>
  </si>
  <si>
    <t>Ngô Nguyễn Quyết Thắng</t>
  </si>
  <si>
    <t>K224141736</t>
  </si>
  <si>
    <t>Nguyễn Trường Thi</t>
  </si>
  <si>
    <t>K224040571</t>
  </si>
  <si>
    <t>Trần Phương Linh</t>
  </si>
  <si>
    <t>The impact of financial determinants and board characteristics on the performance of commercial banks in Vietnam</t>
  </si>
  <si>
    <t>Họ tên</t>
  </si>
  <si>
    <t>Ngày sinh</t>
  </si>
  <si>
    <t>Mobile Phone</t>
  </si>
  <si>
    <t>Email</t>
  </si>
  <si>
    <t>CTĐT</t>
  </si>
  <si>
    <t>Tên CTĐT</t>
  </si>
  <si>
    <t>Tình trạng</t>
  </si>
  <si>
    <t>Điều kiện CCNN</t>
  </si>
  <si>
    <t>Số TC tích lũy</t>
  </si>
  <si>
    <t>ĐTBCTL</t>
  </si>
  <si>
    <t>Xếp loại tích lũy</t>
  </si>
  <si>
    <t>15/02/2004</t>
  </si>
  <si>
    <t>banndv224022c@st.uel.edu.vn</t>
  </si>
  <si>
    <t>404C</t>
  </si>
  <si>
    <t>Tài chính - Ngân hàng Chất lượng cao</t>
  </si>
  <si>
    <t>Còn học</t>
  </si>
  <si>
    <t>Đạt CCNN</t>
  </si>
  <si>
    <t>Giỏi</t>
  </si>
  <si>
    <t>anhpvt22404a@st.uel.edu.vn</t>
  </si>
  <si>
    <t>Ngân hàng</t>
  </si>
  <si>
    <t>16/04/2004</t>
  </si>
  <si>
    <t>aittn22404a@st.uel.edu.vn</t>
  </si>
  <si>
    <t>Tài chính - Ngân hàng</t>
  </si>
  <si>
    <t>16/07/2004</t>
  </si>
  <si>
    <t>anndt22404a@st.uel.edu.vn</t>
  </si>
  <si>
    <t>Khá</t>
  </si>
  <si>
    <t>baotg22404a@st.uel.edu.vn</t>
  </si>
  <si>
    <t>chipm22404a@st.uel.edu.vn</t>
  </si>
  <si>
    <t>15/10/2004</t>
  </si>
  <si>
    <t>diemntt22404a@st.uel.edu.vn</t>
  </si>
  <si>
    <t>giangdht22404a@st.uel.edu.vn</t>
  </si>
  <si>
    <t>24/01/2004</t>
  </si>
  <si>
    <t>hantt22404a@st.uel.edu.vn</t>
  </si>
  <si>
    <t>25/12/2004</t>
  </si>
  <si>
    <t>hanhvth22404a@st.uel.edu.vn</t>
  </si>
  <si>
    <t>hangttt22404a@st.uel.edu.vn</t>
  </si>
  <si>
    <t>hienptt22404a@st.uel.edu.vn</t>
  </si>
  <si>
    <t>huyln22404a@st.uel.edu.vn</t>
  </si>
  <si>
    <t>30/04/2004</t>
  </si>
  <si>
    <t>huyenlhk22404a@st.uel.edu.vn</t>
  </si>
  <si>
    <t>31/07/2004</t>
  </si>
  <si>
    <t>hungntv22404a@st.uel.edu.vn</t>
  </si>
  <si>
    <t>kietnt22404a@st.uel.edu.vn</t>
  </si>
  <si>
    <t>27/11/2004</t>
  </si>
  <si>
    <t>linhnth22404a@st.uel.edu.vn</t>
  </si>
  <si>
    <t>13/08/2004</t>
  </si>
  <si>
    <t>lyhtb22404a@st.uel.edu.vn</t>
  </si>
  <si>
    <t>minhvn22404a@st.uel.edu.vn</t>
  </si>
  <si>
    <t>29/05/2003</t>
  </si>
  <si>
    <t>namdc22404a@st.uel.edu.vn</t>
  </si>
  <si>
    <t>nganpt22404a@st.uel.edu.vn</t>
  </si>
  <si>
    <t>26/10/2004</t>
  </si>
  <si>
    <t>nghithp22404a@st.uel.edu.vn</t>
  </si>
  <si>
    <t>15/06/2004</t>
  </si>
  <si>
    <t>nguyenthk22404a@st.uel.edu.vn</t>
  </si>
  <si>
    <t>Chưa đạt CCNN</t>
  </si>
  <si>
    <t>nhihth22404a@st.uel.edu.vn</t>
  </si>
  <si>
    <t>16/05/2004</t>
  </si>
  <si>
    <t>nhinty22404a@st.uel.edu.vn</t>
  </si>
  <si>
    <t>28/04/2004</t>
  </si>
  <si>
    <t>nhungntt22404a@st.uel.edu.vn</t>
  </si>
  <si>
    <t>30/12/2004</t>
  </si>
  <si>
    <t>oanhttn22404a@st.uel.edu.vn</t>
  </si>
  <si>
    <t>Nguyễn Ngọc Châu Phương</t>
  </si>
  <si>
    <t>phuongnnc22404a@st.uel.edu.vn</t>
  </si>
  <si>
    <t>phucnd22404a@st.uel.edu.vn</t>
  </si>
  <si>
    <t>17/10/2004</t>
  </si>
  <si>
    <t>quanlm22404a@st.uel.edu.vn</t>
  </si>
  <si>
    <t>20/08/2004</t>
  </si>
  <si>
    <t>quynhnn22404a@st.uel.edu.vn</t>
  </si>
  <si>
    <t>28/01/2003</t>
  </si>
  <si>
    <t>tamhtt22404a@st.uel.edu.vn</t>
  </si>
  <si>
    <t>15/08/2004</t>
  </si>
  <si>
    <t>tanhh22404a@st.uel.edu.vn</t>
  </si>
  <si>
    <t>thanhmc22404a@st.uel.edu.vn</t>
  </si>
  <si>
    <t>Hệ thống thông tin quản lý</t>
  </si>
  <si>
    <t>21/04/2004</t>
  </si>
  <si>
    <t>thanhpn22404a@st.uel.edu.vn</t>
  </si>
  <si>
    <t>Trung bình khá</t>
  </si>
  <si>
    <t>thinhlh22404a@st.uel.edu.vn</t>
  </si>
  <si>
    <t>thuba22404a@st.uel.edu.vn</t>
  </si>
  <si>
    <t>thuongnt22404a@st.uel.edu.vn</t>
  </si>
  <si>
    <t>tienltt22404a@st.uel.edu.vn</t>
  </si>
  <si>
    <t>tiennt22404a@st.uel.edu.vn</t>
  </si>
  <si>
    <t>13/02/2004</t>
  </si>
  <si>
    <t>trangnth22404a@st.uel.edu.vn</t>
  </si>
  <si>
    <t>25/05/2004</t>
  </si>
  <si>
    <t>tramhtn22404a@st.uel.edu.vn</t>
  </si>
  <si>
    <t>trannnh22404a@st.uel.edu.vn</t>
  </si>
  <si>
    <t>14/01/2004</t>
  </si>
  <si>
    <t>trucnt22404a@st.uel.edu.vn</t>
  </si>
  <si>
    <t>26/04/2004</t>
  </si>
  <si>
    <t>trucptt22404a@st.uel.edu.vn</t>
  </si>
  <si>
    <t>K224040508</t>
  </si>
  <si>
    <t>Trần Anh Tuấn</t>
  </si>
  <si>
    <t>tuanta22404a@st.uel.edu.vn</t>
  </si>
  <si>
    <t>uyenpnk22404a@st.uel.edu.vn</t>
  </si>
  <si>
    <t>21/05/2004</t>
  </si>
  <si>
    <t>viltt22404a@st.uel.edu.vn</t>
  </si>
  <si>
    <t>14/10/2004</t>
  </si>
  <si>
    <t>viendt22404a@st.uel.edu.vn</t>
  </si>
  <si>
    <t>28/03/2004</t>
  </si>
  <si>
    <t>vynt22404a@st.uel.edu.vn</t>
  </si>
  <si>
    <t>29/07/2004</t>
  </si>
  <si>
    <t>annv22404b@st.uel.edu.vn</t>
  </si>
  <si>
    <t>anhnpn22404b@st.uel.edu.vn</t>
  </si>
  <si>
    <t>bilt22404b@st.uel.edu.vn</t>
  </si>
  <si>
    <t>duynt22404b@st.uel.edu.vn</t>
  </si>
  <si>
    <t>13/03/2003</t>
  </si>
  <si>
    <t>hahtd22404b@st.uel.edu.vn</t>
  </si>
  <si>
    <t>31/10/2004</t>
  </si>
  <si>
    <t>hanhptm22404b@st.uel.edu.vn</t>
  </si>
  <si>
    <t>16/03/2004</t>
  </si>
  <si>
    <t>hangnht22404b@st.uel.edu.vn</t>
  </si>
  <si>
    <t>20/10/2004</t>
  </si>
  <si>
    <t>hiendt22404b@st.uel.edu.vn</t>
  </si>
  <si>
    <t>hoangpn22404b@st.uel.edu.vn</t>
  </si>
  <si>
    <t>15/03/2004</t>
  </si>
  <si>
    <t>huyvb22404b@st.uel.edu.vn</t>
  </si>
  <si>
    <t>huongndt22404b@st.uel.edu.vn</t>
  </si>
  <si>
    <t>30/03/2004</t>
  </si>
  <si>
    <t>khoincm22404b@st.uel.edu.vn</t>
  </si>
  <si>
    <t>31/08/2004</t>
  </si>
  <si>
    <t>linhctm22404b@st.uel.edu.vn</t>
  </si>
  <si>
    <t>linhtn22404b@st.uel.edu.vn</t>
  </si>
  <si>
    <t>maihx22404b@st.uel.edu.vn</t>
  </si>
  <si>
    <t>nganlb22404b@st.uel.edu.vn</t>
  </si>
  <si>
    <t>14/06/2004</t>
  </si>
  <si>
    <t>ngantnk22404b@st.uel.edu.vn</t>
  </si>
  <si>
    <t>ngoclhb22404b@st.uel.edu.vn</t>
  </si>
  <si>
    <t>nguyetnta22404b@st.uel.edu.vn</t>
  </si>
  <si>
    <t>25/08/2004</t>
  </si>
  <si>
    <t>nhiltk22404b@st.uel.edu.vn</t>
  </si>
  <si>
    <t>nhinty22404b@st.uel.edu.vn</t>
  </si>
  <si>
    <t>Xuất sắc</t>
  </si>
  <si>
    <t>oanhdk22404b@st.uel.edu.vn</t>
  </si>
  <si>
    <t>17/09/2004</t>
  </si>
  <si>
    <t>phongtn22404b@st.uel.edu.vn</t>
  </si>
  <si>
    <t>phucvt22404b@st.uel.edu.vn</t>
  </si>
  <si>
    <t>30/05/2004</t>
  </si>
  <si>
    <t>quanlhm22404b@st.uel.edu.vn</t>
  </si>
  <si>
    <t>taipt22404b@st.uel.edu.vn</t>
  </si>
  <si>
    <t>28/09/2004</t>
  </si>
  <si>
    <t>tamntm22404b@st.uel.edu.vn</t>
  </si>
  <si>
    <t>thanhnt22404b@st.uel.edu.vn</t>
  </si>
  <si>
    <t>14/11/2004</t>
  </si>
  <si>
    <t>thaohtt22404b@st.uel.edu.vn</t>
  </si>
  <si>
    <t>thanghq22404b@st.uel.edu.vn</t>
  </si>
  <si>
    <t>20/09/2004</t>
  </si>
  <si>
    <t>thodth22404b@st.uel.edu.vn</t>
  </si>
  <si>
    <t>Lê Hoàng Như Thủy</t>
  </si>
  <si>
    <t>thuylhn22404b@st.uel.edu.vn</t>
  </si>
  <si>
    <t>thunna22404b@st.uel.edu.vn</t>
  </si>
  <si>
    <t>15/09/2004</t>
  </si>
  <si>
    <t>tiennth22404b@st.uel.edu.vn</t>
  </si>
  <si>
    <t>30/06/2004</t>
  </si>
  <si>
    <t>tiennm22404b@st.uel.edu.vn</t>
  </si>
  <si>
    <t>Huỳnh Mai Huyền Trang</t>
  </si>
  <si>
    <t>22/08/2003</t>
  </si>
  <si>
    <t>tranghmh22404b@st.uel.edu.vn</t>
  </si>
  <si>
    <t>24/05/2004</t>
  </si>
  <si>
    <t>tranlb22404b@st.uel.edu.vn</t>
  </si>
  <si>
    <t>15/01/2004</t>
  </si>
  <si>
    <t>truclt22404b@st.uel.edu.vn</t>
  </si>
  <si>
    <t>23/09/2004</t>
  </si>
  <si>
    <t>trucntn22404b@st.uel.edu.vn</t>
  </si>
  <si>
    <t>14/09/2004</t>
  </si>
  <si>
    <t>tuandq22404b@st.uel.edu.vn</t>
  </si>
  <si>
    <t>tuyennv22404b@st.uel.edu.vn</t>
  </si>
  <si>
    <t>23/01/2004</t>
  </si>
  <si>
    <t>uyenttt22404b@st.uel.edu.vn</t>
  </si>
  <si>
    <t>vivh22404b@st.uel.edu.vn</t>
  </si>
  <si>
    <t>vynth22404b@st.uel.edu.vn</t>
  </si>
  <si>
    <t>14/09/2003</t>
  </si>
  <si>
    <t>anhhtl22404c@st.uel.edu.vn</t>
  </si>
  <si>
    <t>anhnd22404c@st.uel.edu.vn</t>
  </si>
  <si>
    <t>14/10/2000</t>
  </si>
  <si>
    <t>anhnh22404c@st.uel.edu.vn</t>
  </si>
  <si>
    <t>16/10/2004</t>
  </si>
  <si>
    <t>binhnv22404c@st.uel.edu.vn</t>
  </si>
  <si>
    <t>26/06/2004</t>
  </si>
  <si>
    <t>duongmd22404c@st.uel.edu.vn</t>
  </si>
  <si>
    <t>duongvht22404c@st.uel.edu.vn</t>
  </si>
  <si>
    <t>28/01/2004</t>
  </si>
  <si>
    <t>datnt22404c@st.uel.edu.vn</t>
  </si>
  <si>
    <t>25/06/2004</t>
  </si>
  <si>
    <t>hungnp22404c@st.uel.edu.vn</t>
  </si>
  <si>
    <t>huongptt22404c@st.uel.edu.vn</t>
  </si>
  <si>
    <t>linhny22404c@st.uel.edu.vn</t>
  </si>
  <si>
    <t>linhtp22404c@st.uel.edu.vn</t>
  </si>
  <si>
    <t>26/07/2004</t>
  </si>
  <si>
    <t>linhvg22404c@st.uel.edu.vn</t>
  </si>
  <si>
    <t>lybh22404c@st.uel.edu.vn</t>
  </si>
  <si>
    <t>13/04/2004</t>
  </si>
  <si>
    <t>minhnln22404c@st.uel.edu.vn</t>
  </si>
  <si>
    <t>minhpq22404c@st.uel.edu.vn</t>
  </si>
  <si>
    <t>myhvt22404c@st.uel.edu.vn</t>
  </si>
  <si>
    <t>ngocttb22404c@st.uel.edu.vn</t>
  </si>
  <si>
    <t>nguyenddh22404c@st.uel.edu.vn</t>
  </si>
  <si>
    <t>nhanht22404c@st.uel.edu.vn</t>
  </si>
  <si>
    <t>20/02/2004</t>
  </si>
  <si>
    <t>phucvth22404c@st.uel.edu.vn</t>
  </si>
  <si>
    <t>19/09/2004</t>
  </si>
  <si>
    <t>phuongdh22404c@st.uel.edu.vn</t>
  </si>
  <si>
    <t>phuongpt22404c@st.uel.edu.vn</t>
  </si>
  <si>
    <t>28/11/2004</t>
  </si>
  <si>
    <t>quynhtn22404c@st.uel.edu.vn</t>
  </si>
  <si>
    <t>thanhtnl22404c@st.uel.edu.vn</t>
  </si>
  <si>
    <t>23/02/2004</t>
  </si>
  <si>
    <t>thonnq22404c@st.uel.edu.vn</t>
  </si>
  <si>
    <t>21/10/2004</t>
  </si>
  <si>
    <t>thudhm22404c@st.uel.edu.vn</t>
  </si>
  <si>
    <t>thuntm22404c@st.uel.edu.vn</t>
  </si>
  <si>
    <t>thutna22404c@st.uel.edu.vn</t>
  </si>
  <si>
    <t>thyhna22404c@st.uel.edu.vn</t>
  </si>
  <si>
    <t>trangnnt22404c@st.uel.edu.vn</t>
  </si>
  <si>
    <t>tramnh22404c@st.uel.edu.vn</t>
  </si>
  <si>
    <t>19/04/2004</t>
  </si>
  <si>
    <t>trannht22404c@st.uel.edu.vn</t>
  </si>
  <si>
    <t>trongpv22404c@st.uel.edu.vn</t>
  </si>
  <si>
    <t>26/09/2004</t>
  </si>
  <si>
    <t>trungnt22404c@st.uel.edu.vn</t>
  </si>
  <si>
    <t>truclnt22404c@st.uel.edu.vn</t>
  </si>
  <si>
    <t>trucndt22404c@st.uel.edu.vn</t>
  </si>
  <si>
    <t>vantq22404c@st.uel.edu.vn</t>
  </si>
  <si>
    <t>anhctp22404ca@st.uel.edu.vn</t>
  </si>
  <si>
    <t>404CA</t>
  </si>
  <si>
    <t>Tài chính - Ngân hàng Chất lượng cao bằng tiếng Anh</t>
  </si>
  <si>
    <t>K224040599</t>
  </si>
  <si>
    <t>Võ Trung Đức Anh</t>
  </si>
  <si>
    <t>18/06/2004</t>
  </si>
  <si>
    <t>anhvtd22404ca@st.uel.edu.vn</t>
  </si>
  <si>
    <t>30/09/2004</t>
  </si>
  <si>
    <t>chaunpb22404ca@st.uel.edu.vn</t>
  </si>
  <si>
    <t>danpd22404ca@st.uel.edu.vn</t>
  </si>
  <si>
    <t>27/12/2004</t>
  </si>
  <si>
    <t>duattn22404ca@st.uel.edu.vn</t>
  </si>
  <si>
    <t>giaodnq22404ca@st.uel.edu.vn</t>
  </si>
  <si>
    <t>K224040605</t>
  </si>
  <si>
    <t>Cáp Trọng Hoàng</t>
  </si>
  <si>
    <t>hoangct22404ca@st.uel.edu.vn</t>
  </si>
  <si>
    <t>21/06/2004</t>
  </si>
  <si>
    <t>lamndt22404ca@st.uel.edu.vn</t>
  </si>
  <si>
    <t>linhadn22404ca@st.uel.edu.vn</t>
  </si>
  <si>
    <t>longpdh22404ca@st.uel.edu.vn</t>
  </si>
  <si>
    <t>mylha22404ca@st.uel.edu.vn</t>
  </si>
  <si>
    <t>myvth22404ca@st.uel.edu.vn</t>
  </si>
  <si>
    <t>namlh22404ca@st.uel.edu.vn</t>
  </si>
  <si>
    <t>16/11/2004</t>
  </si>
  <si>
    <t>ngocnhb22404ca@st.uel.edu.vn</t>
  </si>
  <si>
    <t>nhinty22404ca@st.uel.edu.vn</t>
  </si>
  <si>
    <t>nhiplt22404ca@st.uel.edu.vn</t>
  </si>
  <si>
    <t>24/10/2004</t>
  </si>
  <si>
    <t>nhyvhu22404ca@st.uel.edu.vn</t>
  </si>
  <si>
    <t>quangdv22404ca@st.uel.edu.vn</t>
  </si>
  <si>
    <t>quipt22404ca@st.uel.edu.vn</t>
  </si>
  <si>
    <t>quynhlht22404ca@st.uel.edu.vn</t>
  </si>
  <si>
    <t>thaohtt22404ca@st.uel.edu.vn</t>
  </si>
  <si>
    <t>tiennq22404ca@st.uel.edu.vn</t>
  </si>
  <si>
    <t>trangpt22404ca@st.uel.edu.vn</t>
  </si>
  <si>
    <t>trinm22404ca@st.uel.edu.vn</t>
  </si>
  <si>
    <t>uyenntl22404ca@st.uel.edu.vn</t>
  </si>
  <si>
    <t>vannnh22404ca@st.uel.edu.vn</t>
  </si>
  <si>
    <t>27/06/2003</t>
  </si>
  <si>
    <t>anhdk22404b@st.uel.edu.vn</t>
  </si>
  <si>
    <t>Mona Phandolak</t>
  </si>
  <si>
    <t>phandolakm22404b@st.uel.edu.vn</t>
  </si>
  <si>
    <t>Thipsouda Phommavong</t>
  </si>
  <si>
    <t>13/09/2002</t>
  </si>
  <si>
    <t>phommavongt22404b@st.uel.edu.vn</t>
  </si>
  <si>
    <t>29/11/2003</t>
  </si>
  <si>
    <t>vangchiaxarc22404b@st.uel.edu.vn</t>
  </si>
  <si>
    <t>23/08/2004</t>
  </si>
  <si>
    <t>antlq22414@st.uel.edu.vn</t>
  </si>
  <si>
    <t>Công nghệ tài chính</t>
  </si>
  <si>
    <t>29/04/2003</t>
  </si>
  <si>
    <t>anhlq22414@st.uel.edu.vn</t>
  </si>
  <si>
    <t>chaunnb22414@st.uel.edu.vn</t>
  </si>
  <si>
    <t>chilp22414@st.uel.edu.vn</t>
  </si>
  <si>
    <t>diemtn22414@st.uel.edu.vn</t>
  </si>
  <si>
    <t>23/06/2004</t>
  </si>
  <si>
    <t>duyendm22414@st.uel.edu.vn</t>
  </si>
  <si>
    <t>19/10/2003</t>
  </si>
  <si>
    <t>duyenltm22414@st.uel.edu.vn</t>
  </si>
  <si>
    <t>28/06/2004</t>
  </si>
  <si>
    <t>giangnl22414@st.uel.edu.vn</t>
  </si>
  <si>
    <t>19/08/2003</t>
  </si>
  <si>
    <t>habtn22414@st.uel.edu.vn</t>
  </si>
  <si>
    <t>hadn22414@st.uel.edu.vn</t>
  </si>
  <si>
    <t>hamtt22414@st.uel.edu.vn</t>
  </si>
  <si>
    <t>hatb22414@st.uel.edu.vn</t>
  </si>
  <si>
    <t>haon22414@st.uel.edu.vn</t>
  </si>
  <si>
    <t>20/05/2004</t>
  </si>
  <si>
    <t>hannlx22414@st.uel.edu.vn</t>
  </si>
  <si>
    <t>K224141664</t>
  </si>
  <si>
    <t>Huỳnh Hoàng Huyên</t>
  </si>
  <si>
    <t>31/03/2003</t>
  </si>
  <si>
    <t>huyenhh22414@st.uel.edu.vn</t>
  </si>
  <si>
    <t>14/02/2004</t>
  </si>
  <si>
    <t>huyenptt22414@st.uel.edu.vn</t>
  </si>
  <si>
    <t>huynhttt22414@st.uel.edu.vn</t>
  </si>
  <si>
    <t>huonglt22414@st.uel.edu.vn</t>
  </si>
  <si>
    <t>khangpvd22414@st.uel.edu.vn</t>
  </si>
  <si>
    <t>kienbt22414@st.uel.edu.vn</t>
  </si>
  <si>
    <t>kiennh22414@st.uel.edu.vn</t>
  </si>
  <si>
    <t>25/02/2004</t>
  </si>
  <si>
    <t>kimbnt22414@st.uel.edu.vn</t>
  </si>
  <si>
    <t>Phan Ánh Linh</t>
  </si>
  <si>
    <t>14/04/2004</t>
  </si>
  <si>
    <t>linhpa22414@st.uel.edu.vn</t>
  </si>
  <si>
    <t>linhpg22414@st.uel.edu.vn</t>
  </si>
  <si>
    <t>22/03/2004</t>
  </si>
  <si>
    <t>manhnd22414@st.uel.edu.vn</t>
  </si>
  <si>
    <t>ngahtt22414@st.uel.edu.vn</t>
  </si>
  <si>
    <t>ngannk22414@st.uel.edu.vn</t>
  </si>
  <si>
    <t>ngannbk22414@st.uel.edu.vn</t>
  </si>
  <si>
    <t>ngoctk22414@st.uel.edu.vn</t>
  </si>
  <si>
    <t>Huỳnh Thị Ngọc Nhi</t>
  </si>
  <si>
    <t>24/06/2004</t>
  </si>
  <si>
    <t>nhihtn22414@st.uel.edu.vn</t>
  </si>
  <si>
    <t>K224141681</t>
  </si>
  <si>
    <t>Thái Hoàng Uyên Nhi</t>
  </si>
  <si>
    <t>nhithu22414@st.uel.edu.vn</t>
  </si>
  <si>
    <t>Nghỉ học tạm thời</t>
  </si>
  <si>
    <t>Hồ Minh Nhí</t>
  </si>
  <si>
    <t>22/08/2004</t>
  </si>
  <si>
    <t>nhihm22414@st.uel.edu.vn</t>
  </si>
  <si>
    <t>15/07/2004</t>
  </si>
  <si>
    <t>nhuhq22414@st.uel.edu.vn</t>
  </si>
  <si>
    <t>26/01/2004</t>
  </si>
  <si>
    <t>oanhpk22414@st.uel.edu.vn</t>
  </si>
  <si>
    <t>20/11/2003</t>
  </si>
  <si>
    <t>quangpn22414@st.uel.edu.vn</t>
  </si>
  <si>
    <t>quynhhnn22414@st.uel.edu.vn</t>
  </si>
  <si>
    <t>quynhmn22414@st.uel.edu.vn</t>
  </si>
  <si>
    <t>quynhtnn22414@st.uel.edu.vn</t>
  </si>
  <si>
    <t>tambbd22414@st.uel.edu.vn</t>
  </si>
  <si>
    <t>K224141691</t>
  </si>
  <si>
    <t>Phan Nguyễn Thị Mỹ Tâm</t>
  </si>
  <si>
    <t>tampntm22414@st.uel.edu.vn</t>
  </si>
  <si>
    <t>thanhntn22414@st.uel.edu.vn</t>
  </si>
  <si>
    <t>21/02/2004</t>
  </si>
  <si>
    <t>thaovdt22414@st.uel.edu.vn</t>
  </si>
  <si>
    <t>K224141694</t>
  </si>
  <si>
    <t>Ngô Nguyễn Đức Thắng</t>
  </si>
  <si>
    <t>21/03/2004</t>
  </si>
  <si>
    <t>thangnnd22414@st.uel.edu.vn</t>
  </si>
  <si>
    <t>K224141695</t>
  </si>
  <si>
    <t>Trần Nguyễn Cát Tiên</t>
  </si>
  <si>
    <t>29/06/2004</t>
  </si>
  <si>
    <t>tientnc22414@st.uel.edu.vn</t>
  </si>
  <si>
    <t>tinbvh22414@st.uel.edu.vn</t>
  </si>
  <si>
    <t>19/07/2004</t>
  </si>
  <si>
    <t>tinlc22414@st.uel.edu.vn</t>
  </si>
  <si>
    <t>toanlm22414@st.uel.edu.vn</t>
  </si>
  <si>
    <t>21/08/2003</t>
  </si>
  <si>
    <t>toanpnx22414@st.uel.edu.vn</t>
  </si>
  <si>
    <t>toanpv22414@st.uel.edu.vn</t>
  </si>
  <si>
    <t>20/06/2004</t>
  </si>
  <si>
    <t>tramntm22414@st.uel.edu.vn</t>
  </si>
  <si>
    <t>K224141702</t>
  </si>
  <si>
    <t>Lê Phạm Bảo Trân</t>
  </si>
  <si>
    <t>18/03/2004</t>
  </si>
  <si>
    <t>tranlpb22414@st.uel.edu.vn</t>
  </si>
  <si>
    <t>tranttq22414@st.uel.edu.vn</t>
  </si>
  <si>
    <t>31/03/2004</t>
  </si>
  <si>
    <t>tuanphm22414@st.uel.edu.vn</t>
  </si>
  <si>
    <t>27/04/2004</t>
  </si>
  <si>
    <t>tuyenln22414@st.uel.edu.vn</t>
  </si>
  <si>
    <t>18/11/2004</t>
  </si>
  <si>
    <t>uyenltm22414@st.uel.edu.vn</t>
  </si>
  <si>
    <t>vanptd22414@st.uel.edu.vn</t>
  </si>
  <si>
    <t>18/07/2004</t>
  </si>
  <si>
    <t>vyhnn22414@st.uel.edu.vn</t>
  </si>
  <si>
    <t>29/01/2004</t>
  </si>
  <si>
    <t>yenlhp22414@st.uel.edu.vn</t>
  </si>
  <si>
    <t>anlp22414c@st.uel.edu.vn</t>
  </si>
  <si>
    <t>414C</t>
  </si>
  <si>
    <t>Công nghệ tài chính Chất lượng cao</t>
  </si>
  <si>
    <t>16/02/2004</t>
  </si>
  <si>
    <t>anhntk22414c@st.uel.edu.vn</t>
  </si>
  <si>
    <t>30/01/2004</t>
  </si>
  <si>
    <t>bachld22414c@st.uel.edu.vn</t>
  </si>
  <si>
    <t>dungptp22414c@st.uel.edu.vn</t>
  </si>
  <si>
    <t>duynq22414c@st.uel.edu.vn</t>
  </si>
  <si>
    <t>duytd22414c@st.uel.edu.vn</t>
  </si>
  <si>
    <t>duyenhtm22414c@st.uel.edu.vn</t>
  </si>
  <si>
    <t>15/05/2004</t>
  </si>
  <si>
    <t>hank22414c@st.uel.edu.vn</t>
  </si>
  <si>
    <t>haiptd22414c@st.uel.edu.vn</t>
  </si>
  <si>
    <t>hanhntd22414c@st.uel.edu.vn</t>
  </si>
  <si>
    <t>17/06/2003</t>
  </si>
  <si>
    <t>hanhntm22414c@st.uel.edu.vn</t>
  </si>
  <si>
    <t>huyenntn22414c@st.uel.edu.vn</t>
  </si>
  <si>
    <t>26/03/2003</t>
  </si>
  <si>
    <t>huonglt22414c@st.uel.edu.vn</t>
  </si>
  <si>
    <t>17/01/2004</t>
  </si>
  <si>
    <t>khuongph22414c@st.uel.edu.vn</t>
  </si>
  <si>
    <t>Dương Thị Thùy Linh</t>
  </si>
  <si>
    <t>linhdtt22414c@st.uel.edu.vn</t>
  </si>
  <si>
    <t>Nguyễn Thị Thùy Linh</t>
  </si>
  <si>
    <t>linhntt22414c@st.uel.edu.vn</t>
  </si>
  <si>
    <t>namnn22414c@st.uel.edu.vn</t>
  </si>
  <si>
    <t>nghitp22414c@st.uel.edu.vn</t>
  </si>
  <si>
    <t>nghiadt22414c@st.uel.edu.vn</t>
  </si>
  <si>
    <t>nghiant22414c@st.uel.edu.vn</t>
  </si>
  <si>
    <t>nhach22414c@st.uel.edu.vn</t>
  </si>
  <si>
    <t>19/05/2003</t>
  </si>
  <si>
    <t>nhubdq22414c@st.uel.edu.vn</t>
  </si>
  <si>
    <t>23/04/2004</t>
  </si>
  <si>
    <t>nhuhtq22414c@st.uel.edu.vn</t>
  </si>
  <si>
    <t>30/01/2003</t>
  </si>
  <si>
    <t>phuclh22414c@st.uel.edu.vn</t>
  </si>
  <si>
    <t>thint22414c@st.uel.edu.vn</t>
  </si>
  <si>
    <t>25/11/2004</t>
  </si>
  <si>
    <t>thonglvm22414c@st.uel.edu.vn</t>
  </si>
  <si>
    <t>Vũ Ngọc Thủy Tiên</t>
  </si>
  <si>
    <t>tienvnt22414c@st.uel.edu.vn</t>
  </si>
  <si>
    <t>trangdn22414c@st.uel.edu.vn</t>
  </si>
  <si>
    <t>trangphn22414c@st.uel.edu.vn</t>
  </si>
  <si>
    <t>28/07/2004</t>
  </si>
  <si>
    <t>tramnnt22414c@st.uel.edu.vn</t>
  </si>
  <si>
    <t>15/04/2004</t>
  </si>
  <si>
    <t>truongns22414c@st.uel.edu.vn</t>
  </si>
  <si>
    <t>uyenlvt22414c@st.uel.edu.vn</t>
  </si>
  <si>
    <t>19/06/2004</t>
  </si>
  <si>
    <t>vilt22414c@st.uel.edu.vn</t>
  </si>
  <si>
    <t>vych22414c@st.uel.edu.vn</t>
  </si>
  <si>
    <t>22/01/2004</t>
  </si>
  <si>
    <t>vylnt22414c@st.uel.edu.vn</t>
  </si>
  <si>
    <t>22/10/2004</t>
  </si>
  <si>
    <t>ngocnd22414@st.uel.edu.vn</t>
  </si>
  <si>
    <t>Số lượng</t>
  </si>
  <si>
    <t>414, 414C</t>
  </si>
  <si>
    <t>Đại trà</t>
  </si>
  <si>
    <t>CA</t>
  </si>
  <si>
    <t>HD KLTN</t>
  </si>
  <si>
    <t>PB KLTN</t>
  </si>
  <si>
    <t>CT KLTN</t>
  </si>
  <si>
    <t>Ủy viên KLTN</t>
  </si>
  <si>
    <t>Thư ký KLTN</t>
  </si>
  <si>
    <t>HĐ</t>
  </si>
  <si>
    <t>BCCĐTT</t>
  </si>
  <si>
    <t>UV KLTN</t>
  </si>
  <si>
    <t>Tky KLTN</t>
  </si>
  <si>
    <t>Thù lao HD BCTT &amp; HD KLTN (VNĐ)</t>
  </si>
  <si>
    <t>Thù lao Hội đồng (VNĐ)</t>
  </si>
  <si>
    <t>Thù lao HD và HĐ KLTN (VNĐ)</t>
  </si>
  <si>
    <t>Tổng cộng (VNĐ)</t>
  </si>
  <si>
    <t>Họ và tên GV/Đơn giá</t>
  </si>
  <si>
    <t>Hệ số thù lao</t>
  </si>
  <si>
    <t>Timestamp</t>
  </si>
  <si>
    <t>Email Address</t>
  </si>
  <si>
    <t>Họ và tên</t>
  </si>
  <si>
    <t>Lớp</t>
  </si>
  <si>
    <t>Lựa chọn học phần</t>
  </si>
  <si>
    <t>Tên đề tài BCTT</t>
  </si>
  <si>
    <t>Ngôn ngữ viết</t>
  </si>
  <si>
    <t>bản scan Nhật ký thực tập</t>
  </si>
  <si>
    <t>bản scan Phiếu nhận xét của DN</t>
  </si>
  <si>
    <t>Báo cáo thực tập</t>
  </si>
  <si>
    <t>Ngôn ngữ viết BCTT [BCTT]</t>
  </si>
  <si>
    <t>Ngôn ngữ viết BCTT [KLTN]</t>
  </si>
  <si>
    <t>Tên đề tài BCTT 2</t>
  </si>
  <si>
    <t>bản scan Nhật ký thực tập 2</t>
  </si>
  <si>
    <t>bản scan Phiếu nhận xét của DN 2</t>
  </si>
  <si>
    <t>Báo cáo thực tập 2</t>
  </si>
  <si>
    <t>Tên đề tài KLTN</t>
  </si>
  <si>
    <t>Khóa luận tốt nghiệp</t>
  </si>
  <si>
    <t>File check đạo văn</t>
  </si>
  <si>
    <t>Data (file excel hoặc csv)</t>
  </si>
  <si>
    <t>File code (nếu có)</t>
  </si>
  <si>
    <t>Giấy xác nhận cho phép sử dụng dữ liệu từ doanh nghiệp (nếu có)</t>
  </si>
  <si>
    <t>ducla20415@st.uel.edu.vn</t>
  </si>
  <si>
    <t>Chỉ nộp bài học phần Báo cáo thực tập</t>
  </si>
  <si>
    <t>PHÂN TÍCH TÌNH HÌNH TÀI CHÍNH NGÂN HÀNG TMCP ĐÔNG NAM Á (SEABANK) GIAI ĐOẠN 2021 - 2024</t>
  </si>
  <si>
    <r>
      <rPr>
        <u/>
        <sz val="10"/>
        <color rgb="FF1155CC"/>
        <rFont val="Roboto"/>
      </rPr>
      <t>https://drive.google.com/open?id=1bPpj-Szm61CClB5Hoyogs-_fX2Zwfb5E</t>
    </r>
  </si>
  <si>
    <r>
      <rPr>
        <u/>
        <sz val="10"/>
        <color rgb="FF1155CC"/>
        <rFont val="Roboto"/>
      </rPr>
      <t>https://drive.google.com/open?id=1gNHqS2p65BiUpAAVfBk_yQTxR18tevxC</t>
    </r>
  </si>
  <si>
    <r>
      <rPr>
        <u/>
        <sz val="10"/>
        <color rgb="FF1155CC"/>
        <rFont val="Roboto"/>
      </rPr>
      <t>https://drive.google.com/open?id=1bYO9J67tZoSNvzA3hxF2HfQuDErGybRO</t>
    </r>
  </si>
  <si>
    <t>THE IMPACT OF INCOME DIVERSIFICATION ON PERFORMANCE AND RISK: EVIDENCE FROM VIETNAMESE COMMERCIAL BANKS</t>
  </si>
  <si>
    <r>
      <rPr>
        <u/>
        <sz val="10"/>
        <color rgb="FF1155CC"/>
        <rFont val="Roboto"/>
      </rPr>
      <t>https://drive.google.com/open?id=19BStCQrxpqV0NFxEUcH6AljNQBT5c5DE</t>
    </r>
  </si>
  <si>
    <r>
      <rPr>
        <u/>
        <sz val="10"/>
        <color rgb="FF1155CC"/>
        <rFont val="Roboto"/>
      </rPr>
      <t>https://drive.google.com/open?id=1rTYXk6FN2wGnozy0PX_ciHE9ImO4l1oZ</t>
    </r>
  </si>
  <si>
    <r>
      <rPr>
        <u/>
        <sz val="10"/>
        <color rgb="FF1155CC"/>
        <rFont val="Roboto"/>
      </rPr>
      <t>https://drive.google.com/open?id=1_lCAoLSpgcpsod6exHtYDXomFSr2aW_d</t>
    </r>
  </si>
  <si>
    <t>Cheemeng Vangchixar</t>
  </si>
  <si>
    <t>Hoạt động cho vay tại NH TMCP Công thương Việt Nam chi nhánh Thủ Đức</t>
  </si>
  <si>
    <r>
      <rPr>
        <u/>
        <sz val="10"/>
        <color rgb="FF1155CC"/>
        <rFont val="Roboto"/>
      </rPr>
      <t>https://drive.google.com/open?id=1Sm0bJ34ecuYGoZsf4UMF1BS4cNCbCdWA</t>
    </r>
  </si>
  <si>
    <r>
      <rPr>
        <u/>
        <sz val="10"/>
        <color rgb="FF1155CC"/>
        <rFont val="Roboto"/>
      </rPr>
      <t>https://drive.google.com/open?id=10BCu_IYNITbJahzxTU_xGod7QWZH1IiB</t>
    </r>
  </si>
  <si>
    <r>
      <rPr>
        <u/>
        <sz val="10"/>
        <color rgb="FF1155CC"/>
        <rFont val="Roboto"/>
      </rPr>
      <t>https://drive.google.com/open?id=1UOQGB8o8XQtMOSGAtLHLXue5fXMF813M</t>
    </r>
  </si>
  <si>
    <t>CHIẾN LƯỢC PHÁT TRIỂN TIỀN GỬI KHÔNG KỲ HẠN TRONG HOẠT ĐỘNG HUY ĐỘNG VỐN TẠI NGÂN HÀNG THƯƠNG MẠI CỔ PHẦN NGOẠI THƯƠNG VIỆT NAM</t>
  </si>
  <si>
    <r>
      <rPr>
        <u/>
        <sz val="10"/>
        <color rgb="FF1155CC"/>
        <rFont val="Roboto"/>
      </rPr>
      <t>https://drive.google.com/open?id=1rqJz1EoC93nx1MIcNLhtYglfQcnI9_i2</t>
    </r>
  </si>
  <si>
    <r>
      <rPr>
        <u/>
        <sz val="10"/>
        <color rgb="FF1155CC"/>
        <rFont val="Roboto"/>
      </rPr>
      <t>https://drive.google.com/open?id=1yBqDdL_X3NgnZSwZOH2CQDhtX9dQR-UG</t>
    </r>
  </si>
  <si>
    <r>
      <rPr>
        <u/>
        <sz val="10"/>
        <color rgb="FF1155CC"/>
        <rFont val="Roboto"/>
      </rPr>
      <t>https://drive.google.com/open?id=1J4xtBy9QNVmPhDRPx7qpwctHocEbS20u</t>
    </r>
  </si>
  <si>
    <t>An Analysis of the Effectiveness of Working Capital Management at Thanh Cong Textile Garment Investment Trading Joint Stock Company during the period 2020–2024</t>
  </si>
  <si>
    <r>
      <rPr>
        <u/>
        <sz val="10"/>
        <color rgb="FF1155CC"/>
        <rFont val="Roboto"/>
      </rPr>
      <t>https://drive.google.com/open?id=1F1ZqGXopONy6CtTPeVtZ68vufJxrLHyY</t>
    </r>
  </si>
  <si>
    <r>
      <rPr>
        <u/>
        <sz val="10"/>
        <color rgb="FF1155CC"/>
        <rFont val="Roboto"/>
      </rPr>
      <t>https://drive.google.com/open?id=1IcVHLLKUxeuCDygohZCut6KkkQl__HN8</t>
    </r>
  </si>
  <si>
    <r>
      <rPr>
        <u/>
        <sz val="10"/>
        <color rgb="FF1155CC"/>
        <rFont val="Roboto"/>
      </rPr>
      <t>https://drive.google.com/open?id=1ksCUg-CceSoaqIlWIlh-9KeUQJmeZJ7V</t>
    </r>
  </si>
  <si>
    <t>PHÂN TÍCH TÌNH HÌNH TÀI CHÍNH VÀ ĐỊNH GIÁ CỔ PHIẾU CÔNG TY CỔ PHẦN ĐẦU TƯ THẾ GIỚI DI ĐỘNG 2025 (MWG)</t>
  </si>
  <si>
    <r>
      <rPr>
        <u/>
        <sz val="10"/>
        <color rgb="FF1155CC"/>
        <rFont val="Roboto"/>
      </rPr>
      <t>https://drive.google.com/open?id=1olYjQ593-zRhsnaveWHSSo4FD8sB1MUs</t>
    </r>
  </si>
  <si>
    <r>
      <rPr>
        <u/>
        <sz val="10"/>
        <color rgb="FF1155CC"/>
        <rFont val="Roboto"/>
      </rPr>
      <t>https://drive.google.com/open?id=1gPBTU0tr5RF3KELuMnzeS8PiuQi7LJux</t>
    </r>
  </si>
  <si>
    <r>
      <rPr>
        <u/>
        <sz val="10"/>
        <color rgb="FF1155CC"/>
        <rFont val="Roboto"/>
      </rPr>
      <t>https://drive.google.com/open?id=1SFZ2gXIfydpYWM5Z6zHuB5S99MPKqyws</t>
    </r>
  </si>
  <si>
    <t>PHANDOLAK MONA</t>
  </si>
  <si>
    <t>ĐÁNH GIÁ HOẠT ĐỘNG PHÁT HÀNH VÀ THANH TOÁN BẰNG PHƯƠNG THỨC TÍN DỤNG CHỨNG TỪ TẠI NGÂN HÀNG TMCP ĐẦU TƯ VÀ PHÁT TRIỂN VIỆT NAM – CHI NHÁNH BẾN NGHÉ</t>
  </si>
  <si>
    <r>
      <rPr>
        <u/>
        <sz val="10"/>
        <color rgb="FF1155CC"/>
        <rFont val="Roboto"/>
      </rPr>
      <t>https://drive.google.com/open?id=1dxPGWja7awTvQtuMPvabUpgHGUayNGYo</t>
    </r>
  </si>
  <si>
    <r>
      <rPr>
        <u/>
        <sz val="10"/>
        <color rgb="FF1155CC"/>
        <rFont val="Roboto"/>
      </rPr>
      <t>https://drive.google.com/open?id=1XLr3L5U77iY2vkkKxLq8C7_JM40Y1dnG</t>
    </r>
  </si>
  <si>
    <r>
      <rPr>
        <u/>
        <sz val="10"/>
        <color rgb="FF1155CC"/>
        <rFont val="Roboto"/>
      </rPr>
      <t>https://drive.google.com/open?id=1dwtSoFMFtYCuFLdFEC0j-Z-2XlyuOnkZ</t>
    </r>
  </si>
  <si>
    <t>HOẠT ĐỘNG CHO VAY KHÁCH HÀNG CÁ NHÂN TẠI NGÂN HÀNG THƯƠNG MẠI CỔ PHẦN ĐẦU TƯ VÀ PHÁT TRIỂN VIỆT NAM - CHI NHÁNH ĐÔNG SÀI GÒN</t>
  </si>
  <si>
    <r>
      <rPr>
        <u/>
        <sz val="10"/>
        <color rgb="FF1155CC"/>
        <rFont val="Roboto"/>
      </rPr>
      <t>https://drive.google.com/open?id=1nXBM2S34usx6sTXWpmwdOX8-n6O0Gbyh</t>
    </r>
  </si>
  <si>
    <r>
      <rPr>
        <u/>
        <sz val="10"/>
        <color rgb="FF1155CC"/>
        <rFont val="Roboto"/>
      </rPr>
      <t>https://drive.google.com/open?id=1aPd9e0ckgGvh8QsqgjQaE0jQXdn4c-pO</t>
    </r>
  </si>
  <si>
    <r>
      <rPr>
        <u/>
        <sz val="10"/>
        <color rgb="FF1155CC"/>
        <rFont val="Roboto"/>
      </rPr>
      <t>https://drive.google.com/open?id=1BInodur7Z5z0B9Lw5TfPgMKVfBZdqE9Y</t>
    </r>
  </si>
  <si>
    <t>HIỆU QUẢ TRONG CHIẾN LƯỢC ĐẦU TƯ VÀO CÔNG NGHỆ CỦA CÁC CÔNG TY CHỨNG KHOÁN VIỆT NAM</t>
  </si>
  <si>
    <r>
      <rPr>
        <u/>
        <sz val="10"/>
        <color rgb="FF1155CC"/>
        <rFont val="Roboto"/>
      </rPr>
      <t>https://drive.google.com/open?id=1TqEvj-_xzHEqxS2ZEpTVOmSYQhoNoZWi</t>
    </r>
  </si>
  <si>
    <r>
      <rPr>
        <u/>
        <sz val="10"/>
        <color rgb="FF1155CC"/>
        <rFont val="Roboto"/>
      </rPr>
      <t>https://drive.google.com/open?id=1nL_MdriRxvIGzWw4NGH7YZj2XiIp4Rmu</t>
    </r>
  </si>
  <si>
    <r>
      <rPr>
        <u/>
        <sz val="10"/>
        <color rgb="FF1155CC"/>
        <rFont val="Roboto"/>
      </rPr>
      <t>https://drive.google.com/open?id=1cd0lSvNiTAv6j8toFgLq_KptbDsi3U0O</t>
    </r>
  </si>
  <si>
    <t>ỨNG DỤNG MÔ HÌNH CAMEL ĐỂ PHÂN TÍCH HIỆU QUẢ HOẠT ĐỘNG CỦA NGÂN HÀNG THƯƠNG MẠI CỔ PHẦN CÔNG THƯƠNG VIỆT NAM</t>
  </si>
  <si>
    <r>
      <rPr>
        <u/>
        <sz val="10"/>
        <color rgb="FF1155CC"/>
        <rFont val="Roboto"/>
      </rPr>
      <t>https://drive.google.com/open?id=1c5rIJfwjjMXXtfsZUrh5kpXNqHxjjBZD</t>
    </r>
  </si>
  <si>
    <r>
      <rPr>
        <u/>
        <sz val="10"/>
        <color rgb="FF1155CC"/>
        <rFont val="Roboto"/>
      </rPr>
      <t>https://drive.google.com/open?id=1BVeSmiY_DZdNm4bq2PI7OkOZ6MxZ7Pm1</t>
    </r>
  </si>
  <si>
    <r>
      <rPr>
        <u/>
        <sz val="10"/>
        <color rgb="FF1155CC"/>
        <rFont val="Roboto"/>
      </rPr>
      <t>https://drive.google.com/open?id=1sczyMmMeHwOPJ8jN2_L35fVikL4tz7h3</t>
    </r>
  </si>
  <si>
    <t>ĐÁNH GIÁ HIỆU QUẢ HOẠT ĐỘNG TÀI CHÍNH CỦA CÔNG TY CỔ PHẦN CHỨNG KHOÁN FPT TRONG GIAI ĐOẠN 2020 – 2024</t>
  </si>
  <si>
    <r>
      <rPr>
        <u/>
        <sz val="10"/>
        <color rgb="FF1155CC"/>
        <rFont val="Roboto"/>
      </rPr>
      <t>https://drive.google.com/open?id=1FGElvJ2-BJ-baRGIkbgo9-QbvIpGYql2</t>
    </r>
  </si>
  <si>
    <r>
      <rPr>
        <u/>
        <sz val="10"/>
        <color rgb="FF1155CC"/>
        <rFont val="Roboto"/>
      </rPr>
      <t>https://drive.google.com/open?id=1sj6Joq101SF0xpq64DlIsoYxgLlEiN6T</t>
    </r>
  </si>
  <si>
    <r>
      <rPr>
        <u/>
        <sz val="10"/>
        <color rgb="FF1155CC"/>
        <rFont val="Roboto"/>
      </rPr>
      <t>https://drive.google.com/open?id=1fRHRJTGjqD8YGngs8LKjIdGQUS1O8Iib</t>
    </r>
  </si>
  <si>
    <t>Đánh giá hiệu quả hoạt động Telesales tại Trung tâm tư vấn Giải pháp Tài chính trực tuyến miền Nam - Ngân hàng TMCP Kỹ Thương Việt Nam</t>
  </si>
  <si>
    <r>
      <rPr>
        <u/>
        <sz val="10"/>
        <color rgb="FF1155CC"/>
        <rFont val="Roboto"/>
      </rPr>
      <t>https://drive.google.com/open?id=1bxf5upHbPfSkvvjoGvnjoAojLHHuWakh</t>
    </r>
  </si>
  <si>
    <r>
      <rPr>
        <u/>
        <sz val="10"/>
        <color rgb="FF1155CC"/>
        <rFont val="Roboto"/>
      </rPr>
      <t>https://drive.google.com/open?id=1tr2wMa5YJt4VCShrY0uHebO-IP3XidpP</t>
    </r>
  </si>
  <si>
    <r>
      <rPr>
        <u/>
        <sz val="10"/>
        <color rgb="FF1155CC"/>
        <rFont val="Roboto"/>
      </rPr>
      <t>https://drive.google.com/open?id=1y-JsJvuead8YKe8H7TrJyu7Icte0-op2</t>
    </r>
  </si>
  <si>
    <t>PRELIMINARY FINANCIAL STATEMENT ANALYSIS IN AUDIT PLANNING CONDUCTED BY VACO AUDITING COMPANY LIMITED</t>
  </si>
  <si>
    <r>
      <rPr>
        <u/>
        <sz val="10"/>
        <color rgb="FF1155CC"/>
        <rFont val="Roboto"/>
      </rPr>
      <t>https://drive.google.com/open?id=1OiZxkYvW9eNfNtoGbvePXVD1lyYXUo8y</t>
    </r>
  </si>
  <si>
    <r>
      <rPr>
        <u/>
        <sz val="10"/>
        <color rgb="FF1155CC"/>
        <rFont val="Roboto"/>
      </rPr>
      <t>https://drive.google.com/open?id=1WhP-83xm-CNp2GmmwryGA-uzIaV-0Gxe</t>
    </r>
  </si>
  <si>
    <r>
      <rPr>
        <u/>
        <sz val="10"/>
        <color rgb="FF1155CC"/>
        <rFont val="Roboto"/>
      </rPr>
      <t>https://drive.google.com/open?id=1HgQguP2dpHt_7f15LJZfjlF-GZIYHAB-</t>
    </r>
  </si>
  <si>
    <t>mrnnaamm@gmail.com</t>
  </si>
  <si>
    <t>ĐÁNH GIÁ NĂNG LỰC TÀI CHÍNH CỦA NGÂN HÀNG THƯƠNG MẠI CỔ PHẦN TIÊN PHONG THÔNG QUA MÔ HÌNH CAMELS</t>
  </si>
  <si>
    <r>
      <rPr>
        <u/>
        <sz val="10"/>
        <color rgb="FF1155CC"/>
        <rFont val="Roboto"/>
      </rPr>
      <t>https://drive.google.com/open?id=10hHE6c4hJL9lv3U7T-AfCmxrm16MIfQ_</t>
    </r>
  </si>
  <si>
    <r>
      <rPr>
        <u/>
        <sz val="10"/>
        <color rgb="FF1155CC"/>
        <rFont val="Roboto"/>
      </rPr>
      <t>https://drive.google.com/open?id=1PGJIqK7yu3AXnxS49gVVUCFDMuJIZi5N</t>
    </r>
  </si>
  <si>
    <r>
      <rPr>
        <u/>
        <sz val="10"/>
        <color rgb="FF1155CC"/>
        <rFont val="Roboto"/>
      </rPr>
      <t>https://drive.google.com/open?id=1JNliL4ujxwOAKYjnW5wKtqBINm1EqJYe</t>
    </r>
  </si>
  <si>
    <t>THU NHẬP NGOÀI LÃI TÁC ĐỘNG ĐẾN HIỆU QUẢ HOẠT ĐỘNG CỦA NGÂN HÀNG VIỆT NAM TRONG BỐI CẢNH CHUYỂN ĐỔI SỐ</t>
  </si>
  <si>
    <r>
      <rPr>
        <u/>
        <sz val="10"/>
        <color rgb="FF1155CC"/>
        <rFont val="Roboto"/>
      </rPr>
      <t>https://drive.google.com/open?id=1BKye8uTXhr4UsHEWN-wvYnf0pM2-TFSf</t>
    </r>
  </si>
  <si>
    <r>
      <rPr>
        <u/>
        <sz val="10"/>
        <color rgb="FF1155CC"/>
        <rFont val="Roboto"/>
      </rPr>
      <t>https://drive.google.com/open?id=1mjjP_dyZHqAfVKCtQQoeHS4uo4ETLqQT</t>
    </r>
  </si>
  <si>
    <r>
      <rPr>
        <u/>
        <sz val="10"/>
        <color rgb="FF1155CC"/>
        <rFont val="Roboto"/>
      </rPr>
      <t>https://drive.google.com/open?id=1jptUsxqwS_H3ny2LKQmNPK_orRsn5J_Z</t>
    </r>
  </si>
  <si>
    <t>Phân tích hiệu quả hoạt động kinh doanh của Công ty Cổ phần Đầu tư và Kinh doanh Nhà Khang Điền</t>
  </si>
  <si>
    <r>
      <rPr>
        <u/>
        <sz val="10"/>
        <color rgb="FF1155CC"/>
        <rFont val="Roboto"/>
      </rPr>
      <t>https://drive.google.com/open?id=1NfJYUhD6vu9nHpH_RKdwLn5Viip3ZwP5</t>
    </r>
  </si>
  <si>
    <r>
      <rPr>
        <u/>
        <sz val="10"/>
        <color rgb="FF1155CC"/>
        <rFont val="Roboto"/>
      </rPr>
      <t>https://drive.google.com/open?id=1m-lAE-7eKa5RAn2XlWToZIg33ieDGnkt</t>
    </r>
  </si>
  <si>
    <r>
      <rPr>
        <u/>
        <sz val="10"/>
        <color rgb="FF1155CC"/>
        <rFont val="Roboto"/>
      </rPr>
      <t>https://drive.google.com/open?id=1uJ2Tnz1IAtov7rg2Zy8ssFFLF_cpaHHm</t>
    </r>
  </si>
  <si>
    <t>Hoạt động cho vay mua nhà, mua đất đối với khách hàng cá nhân tại Ngân hàng TMCP Công Thương Việt Nam – Chi nhánh Đông Thành phố Hồ Chí Minh</t>
  </si>
  <si>
    <r>
      <rPr>
        <u/>
        <sz val="10"/>
        <color rgb="FF1155CC"/>
        <rFont val="Roboto"/>
      </rPr>
      <t>https://drive.google.com/open?id=1vyx1Pi2ElMDZO-0T6LAiK0pylCbw4niS</t>
    </r>
  </si>
  <si>
    <r>
      <rPr>
        <u/>
        <sz val="10"/>
        <color rgb="FF1155CC"/>
        <rFont val="Roboto"/>
      </rPr>
      <t>https://drive.google.com/open?id=1NNtYx1_XHeKs4RyvY8baZIYE_PLbD-1T</t>
    </r>
  </si>
  <si>
    <r>
      <rPr>
        <u/>
        <sz val="10"/>
        <color rgb="FF1155CC"/>
        <rFont val="Roboto"/>
      </rPr>
      <t>https://drive.google.com/open?id=1vsvmJkIhYErlN-2IJ7dWVCd8HJ81Ln11</t>
    </r>
  </si>
  <si>
    <t>EVALUATING THE PERFORMANCE OF THE JOINT STOCK COMMERCIAL BANK FOR FOREIGN TRADE OF VIETNAM (VIETCOMBANK) USING THE CAMELS MODEL</t>
  </si>
  <si>
    <r>
      <rPr>
        <u/>
        <sz val="10"/>
        <color rgb="FF1155CC"/>
        <rFont val="Roboto"/>
      </rPr>
      <t>https://drive.google.com/open?id=1HLFTwmtcruBH3iRrMKDLtaLOU2J6N7HW</t>
    </r>
  </si>
  <si>
    <r>
      <rPr>
        <u/>
        <sz val="10"/>
        <color rgb="FF1155CC"/>
        <rFont val="Roboto"/>
      </rPr>
      <t>https://drive.google.com/open?id=1N52108VTIhjHlbnRbY2RpdApZbj04yyV</t>
    </r>
  </si>
  <si>
    <r>
      <rPr>
        <u/>
        <sz val="10"/>
        <color rgb="FF1155CC"/>
        <rFont val="Roboto"/>
      </rPr>
      <t>https://drive.google.com/open?id=1eFxh92GSbfyDr8T995XvcEU4mk8oCIe1</t>
    </r>
  </si>
  <si>
    <t>CÁC YẾU TỐ TÁC ĐỘNG ĐẾN QUYẾT ĐỊNH SỬ DỤNG ĐÒN BẨY TÀI CHÍNH CỦA CÁC DOANH NGHIỆP NGÀNH VẬT LIỆU XÂY DỰNG ĐƯỢC NIÊM YẾT TRÊN SÀN HOSE GIAI ĐOẠN 2019-2024</t>
  </si>
  <si>
    <r>
      <rPr>
        <u/>
        <sz val="10"/>
        <color rgb="FF1155CC"/>
        <rFont val="Roboto"/>
      </rPr>
      <t>https://drive.google.com/open?id=1kZ4GM5iE0HPJwjnTTeNtDpjuK8BwlFSt</t>
    </r>
  </si>
  <si>
    <r>
      <rPr>
        <u/>
        <sz val="10"/>
        <color rgb="FF1155CC"/>
        <rFont val="Roboto"/>
      </rPr>
      <t>https://drive.google.com/open?id=15yxuj6DmjVeUW2NlcEdQdmvdLScRC7lz</t>
    </r>
  </si>
  <si>
    <r>
      <rPr>
        <u/>
        <sz val="10"/>
        <color rgb="FF1155CC"/>
        <rFont val="Roboto"/>
      </rPr>
      <t>https://drive.google.com/open?id=1XXmyiUhR_oFSYottEIMoOJsKxwXx4jlI</t>
    </r>
  </si>
  <si>
    <t>ĐÁNH GIÁ TÁC ĐỘNG CỦA CHUYỂN ĐỔI SỐ LÊN RỦI RO TÍN DỤNG CỦA NGÂN HÀNG THƯƠNG MẠI TẠI VIỆT NAM</t>
  </si>
  <si>
    <r>
      <rPr>
        <u/>
        <sz val="10"/>
        <color rgb="FF1155CC"/>
        <rFont val="Roboto"/>
      </rPr>
      <t>https://drive.google.com/open?id=1SYEtyGYYytdzElspvxaYpzCY-ZSpYxVH</t>
    </r>
  </si>
  <si>
    <r>
      <rPr>
        <u/>
        <sz val="10"/>
        <color rgb="FF1155CC"/>
        <rFont val="Roboto"/>
      </rPr>
      <t>https://drive.google.com/open?id=17hncmyUhPoVqZ6oT6H17LlL2ZUcST_wk</t>
    </r>
  </si>
  <si>
    <r>
      <rPr>
        <u/>
        <sz val="10"/>
        <color rgb="FF1155CC"/>
        <rFont val="Roboto"/>
      </rPr>
      <t>https://drive.google.com/open?id=11znKl67m_2PZHfdThT2qgAufcskTJMY3</t>
    </r>
  </si>
  <si>
    <t>CÁC YẾU TỐ ẢNH HƯỞNG ĐẾN QUYẾT ĐỊNH NẮM GIỮ TIỀN MẶT CỦA CÁC CÔNG TY CHẾ BIẾN THỰC PHẨM TẠI VIỆT NAM</t>
  </si>
  <si>
    <r>
      <rPr>
        <u/>
        <sz val="10"/>
        <color rgb="FF1155CC"/>
        <rFont val="Roboto"/>
      </rPr>
      <t>https://drive.google.com/open?id=1ETP_p9zIwV9X1V2R0wOvJol3B0ODK6RQ</t>
    </r>
  </si>
  <si>
    <r>
      <rPr>
        <u/>
        <sz val="10"/>
        <color rgb="FF1155CC"/>
        <rFont val="Roboto"/>
      </rPr>
      <t>https://drive.google.com/open?id=19mkNqt3zxqbVVr2lWbXMI3hcSdhjz3lp</t>
    </r>
  </si>
  <si>
    <r>
      <rPr>
        <u/>
        <sz val="10"/>
        <color rgb="FF1155CC"/>
        <rFont val="Roboto"/>
      </rPr>
      <t>https://drive.google.com/open?id=1u6F3Innl9bhfEWtOYnGhCExB3Thy8WCK</t>
    </r>
  </si>
  <si>
    <t>Phân tích hoạt động cho vay mua căn hộ chung cư và nhà ở dự án đối với khách hàng cá nhân tại Ngân hàng TMCP Công Thương Việt Nam - Chi nhánh Đông TP. Hồ Chí Minh</t>
  </si>
  <si>
    <r>
      <rPr>
        <u/>
        <sz val="10"/>
        <color rgb="FF1155CC"/>
        <rFont val="Roboto"/>
      </rPr>
      <t>https://drive.google.com/open?id=1o9CAYJ7IP2TlijSGOAJOM45v_8V6izVg</t>
    </r>
  </si>
  <si>
    <r>
      <rPr>
        <u/>
        <sz val="10"/>
        <color rgb="FF1155CC"/>
        <rFont val="Roboto"/>
      </rPr>
      <t>https://drive.google.com/open?id=1Gp22yM9A4kYW7lvvsbq0uKGSHxtrx8mO</t>
    </r>
  </si>
  <si>
    <r>
      <rPr>
        <u/>
        <sz val="10"/>
        <color rgb="FF1155CC"/>
        <rFont val="Roboto"/>
      </rPr>
      <t>https://drive.google.com/open?id=1GRsEoRgJgOS7hhIC6mxNCBarXgho8D4R</t>
    </r>
  </si>
  <si>
    <t>dangvyban2004@gmail.com</t>
  </si>
  <si>
    <t>FINANCIAL ANALYSIS AND STOCK VALUATION OF SONG HONG GARMENT JOINT STOCK COMPANY (MSH)</t>
  </si>
  <si>
    <r>
      <rPr>
        <u/>
        <sz val="10"/>
        <color rgb="FF1155CC"/>
        <rFont val="Roboto"/>
      </rPr>
      <t>https://drive.google.com/open?id=19xYL4zlbzid-cjl0Vi42MeGq0P1X6jAa</t>
    </r>
  </si>
  <si>
    <r>
      <rPr>
        <u/>
        <sz val="10"/>
        <color rgb="FF1155CC"/>
        <rFont val="Roboto"/>
      </rPr>
      <t>https://drive.google.com/open?id=1bTPNgAlNUc0SAVKyLYK6-o9csORCRq9E</t>
    </r>
  </si>
  <si>
    <r>
      <rPr>
        <u/>
        <sz val="10"/>
        <color rgb="FF1155CC"/>
        <rFont val="Roboto"/>
      </rPr>
      <t>https://drive.google.com/open?id=1rC2DeidS_gZ4qhktSYT902EFM59Kxjok</t>
    </r>
  </si>
  <si>
    <t>Hoạt động quản trị tài sản ngắn hạn tại CTCP DNP Holding</t>
  </si>
  <si>
    <r>
      <rPr>
        <u/>
        <sz val="10"/>
        <color rgb="FF1155CC"/>
        <rFont val="Roboto"/>
      </rPr>
      <t>https://drive.google.com/open?id=1C0Ya-YgK9PvZCw4SdHr98Vec1eqDvA8M</t>
    </r>
  </si>
  <si>
    <r>
      <rPr>
        <u/>
        <sz val="10"/>
        <color rgb="FF1155CC"/>
        <rFont val="Roboto"/>
      </rPr>
      <t>https://drive.google.com/open?id=1B7_tsPSvNuaq1eSU9JVjd5Hhs7iofp_h</t>
    </r>
  </si>
  <si>
    <r>
      <rPr>
        <u/>
        <sz val="10"/>
        <color rgb="FF1155CC"/>
        <rFont val="Roboto"/>
      </rPr>
      <t>https://drive.google.com/open?id=1YyHL29HnmiTj9QNnRo7Rgh2QtnbKbNJ4</t>
    </r>
  </si>
  <si>
    <t>PHÂN TÍCH HIỆU QUẢ TÀI CHÍNH CỦA CÔNG TY CỔ PHẦN DẦU KHÍ CÀ MAU GIAI ĐOẠN 2020-2024</t>
  </si>
  <si>
    <r>
      <rPr>
        <u/>
        <sz val="10"/>
        <color rgb="FF1155CC"/>
        <rFont val="Roboto"/>
      </rPr>
      <t>https://drive.google.com/open?id=1qp-R-hVnmlNnaRvrBVSLVjACH3jMcmfD</t>
    </r>
  </si>
  <si>
    <r>
      <rPr>
        <u/>
        <sz val="10"/>
        <color rgb="FF1155CC"/>
        <rFont val="Roboto"/>
      </rPr>
      <t>https://drive.google.com/open?id=1RztzKC3XVHp6ni2NJIQ7tJ5TkfQHiUgG</t>
    </r>
  </si>
  <si>
    <r>
      <rPr>
        <u/>
        <sz val="10"/>
        <color rgb="FF1155CC"/>
        <rFont val="Roboto"/>
      </rPr>
      <t>https://drive.google.com/open?id=1ZgbjVCh4SBcrQR84hgrbhQfOdI1WB6fe</t>
    </r>
  </si>
  <si>
    <t>Giải pháp nâng cao minh bạch thông tin tài chính cho doanh nghiệp niêm yết thông qua hoạt động tư vấn của Công ty Cổ phần Chứng khoán FPT</t>
  </si>
  <si>
    <r>
      <rPr>
        <u/>
        <sz val="10"/>
        <color rgb="FF1155CC"/>
        <rFont val="Roboto"/>
      </rPr>
      <t>https://drive.google.com/open?id=11d8MrFEVuWRZHhl0abhcarhKeDAY2OBv</t>
    </r>
  </si>
  <si>
    <r>
      <rPr>
        <u/>
        <sz val="10"/>
        <color rgb="FF1155CC"/>
        <rFont val="Roboto"/>
      </rPr>
      <t>https://drive.google.com/open?id=1nGcoKlQdsxkQy8hohgbnvwsRQ14jwydf</t>
    </r>
  </si>
  <si>
    <r>
      <rPr>
        <u/>
        <sz val="10"/>
        <color rgb="FF1155CC"/>
        <rFont val="Roboto"/>
      </rPr>
      <t>https://drive.google.com/open?id=13GY-y9dNREtqCE1bboJBQYS8zrVH8yOJ</t>
    </r>
  </si>
  <si>
    <t>HOẠT ĐỘNG CHO VAY KHÁCH HÀNG CÁ NHÂN TẠI NGÂN HÀNG THƯƠNG MẠI CỔ PHẦN ĐẦU TƯ VÀ PHÁT TRIỂN VIỆT NAM</t>
  </si>
  <si>
    <r>
      <rPr>
        <u/>
        <sz val="10"/>
        <color rgb="FF1155CC"/>
        <rFont val="Roboto"/>
      </rPr>
      <t>https://drive.google.com/open?id=1LnzcJsL1CVvU69Pt5nrqQ7DLXsmDdQ6O</t>
    </r>
  </si>
  <si>
    <r>
      <rPr>
        <u/>
        <sz val="10"/>
        <color rgb="FF1155CC"/>
        <rFont val="Roboto"/>
      </rPr>
      <t>https://drive.google.com/open?id=1nIKv5MrhIoeb6XRRs6WsxzDVUFXtjp5_</t>
    </r>
  </si>
  <si>
    <r>
      <rPr>
        <u/>
        <sz val="10"/>
        <color rgb="FF1155CC"/>
        <rFont val="Roboto"/>
      </rPr>
      <t>https://drive.google.com/open?id=1T2MhnNKDTSCvujyca8UYAxNjsKxAQroF</t>
    </r>
  </si>
  <si>
    <t>Phát triển ngân hàng số tại Ngân hàng Thương mại Cổ phần Ngoại thương Việt Nam trong bối cảnh chuyển đổi số ngành ngân hàng Việt Nam.</t>
  </si>
  <si>
    <r>
      <rPr>
        <u/>
        <sz val="10"/>
        <color rgb="FF1155CC"/>
        <rFont val="Roboto"/>
      </rPr>
      <t>https://drive.google.com/open?id=1TRKHfvNgnn5Lz9WZeyZBy3xA-WKK-upj</t>
    </r>
  </si>
  <si>
    <r>
      <rPr>
        <u/>
        <sz val="10"/>
        <color rgb="FF1155CC"/>
        <rFont val="Roboto"/>
      </rPr>
      <t>https://drive.google.com/open?id=1HSs4v7l1aRopFuc0aEA6SJIgnhfFyhq-</t>
    </r>
  </si>
  <si>
    <r>
      <rPr>
        <u/>
        <sz val="10"/>
        <color rgb="FF1155CC"/>
        <rFont val="Roboto"/>
      </rPr>
      <t>https://drive.google.com/open?id=1NmUN4tT_v12YHlhGXvpD2qC5CfxSjDYa</t>
    </r>
  </si>
  <si>
    <t>THE IMPACT OF WORKING CAPITAL MANAGEMENT ON FINANCIAL PERFORMANCE OF THE BOSCH VIETNAM COMPANY LIMITED</t>
  </si>
  <si>
    <r>
      <rPr>
        <u/>
        <sz val="10"/>
        <color rgb="FF1155CC"/>
        <rFont val="Roboto"/>
      </rPr>
      <t>https://drive.google.com/open?id=18YHN2Kje9lWjvtacqHSQtnuOX3YvyqAk</t>
    </r>
  </si>
  <si>
    <r>
      <rPr>
        <u/>
        <sz val="10"/>
        <color rgb="FF1155CC"/>
        <rFont val="Roboto"/>
      </rPr>
      <t>https://drive.google.com/open?id=1LxblHohlOMP5MUnoKAETQG59Qn5QmidS</t>
    </r>
  </si>
  <si>
    <r>
      <rPr>
        <u/>
        <sz val="10"/>
        <color rgb="FF1155CC"/>
        <rFont val="Roboto"/>
      </rPr>
      <t>https://drive.google.com/open?id=1XKRWrkUslPAzp84JS_H99K7ZuPaagZYZ</t>
    </r>
  </si>
  <si>
    <t>The Impact of Financial Leverage on the Financial Performance of Listed Retail Firms in Vietnam</t>
  </si>
  <si>
    <r>
      <rPr>
        <u/>
        <sz val="10"/>
        <color rgb="FF1155CC"/>
        <rFont val="Roboto"/>
      </rPr>
      <t>https://drive.google.com/open?id=1zTrVkdgsJd-CCzUGntAYriytsspOlUBH</t>
    </r>
  </si>
  <si>
    <r>
      <rPr>
        <u/>
        <sz val="10"/>
        <color rgb="FF1155CC"/>
        <rFont val="Roboto"/>
      </rPr>
      <t>https://drive.google.com/open?id=1xD4sXdSogSqxJ_pDy-ea7hroDAimYfmp</t>
    </r>
  </si>
  <si>
    <r>
      <rPr>
        <u/>
        <sz val="10"/>
        <color rgb="FF1155CC"/>
        <rFont val="Roboto"/>
      </rPr>
      <t>https://drive.google.com/open?id=1y3-K4AbVHNKQ0DIyFeoqeC5qzhsrCp1z</t>
    </r>
  </si>
  <si>
    <t>Các yếu tố ảnh hưởng đến sự ổn định tài chính của các ngân hàng thương mại tại Việt Nam</t>
  </si>
  <si>
    <r>
      <rPr>
        <u/>
        <sz val="10"/>
        <color rgb="FF1155CC"/>
        <rFont val="Roboto"/>
      </rPr>
      <t>https://drive.google.com/open?id=1sW_mwvo8NfmYmUoQePVf1KssrtMtmDSN</t>
    </r>
  </si>
  <si>
    <r>
      <rPr>
        <u/>
        <sz val="10"/>
        <color rgb="FF1155CC"/>
        <rFont val="Roboto"/>
      </rPr>
      <t>https://drive.google.com/open?id=1F-IPTAkj-EQcqLzqNObho9l6DdrXGI26</t>
    </r>
  </si>
  <si>
    <r>
      <rPr>
        <u/>
        <sz val="10"/>
        <color rgb="FF1155CC"/>
        <rFont val="Roboto"/>
      </rPr>
      <t>https://drive.google.com/open?id=1U1O0x228H96DBi_DVadzzj4axw4IlUj-</t>
    </r>
  </si>
  <si>
    <t>PHÂN TÍCH HIỆU QUẢ HOẠT ĐỘNG KINH DOANH CỦA CÔNG TY CỔ PHẦN ĐƯỜNG KON TUM (KTS)</t>
  </si>
  <si>
    <r>
      <rPr>
        <u/>
        <sz val="10"/>
        <color rgb="FF1155CC"/>
        <rFont val="Roboto"/>
      </rPr>
      <t>https://drive.google.com/open?id=1yl6Vt1PEuvIOYMTb_KmStN6GYx3rXXmy</t>
    </r>
  </si>
  <si>
    <r>
      <rPr>
        <u/>
        <sz val="10"/>
        <color rgb="FF1155CC"/>
        <rFont val="Roboto"/>
      </rPr>
      <t>https://drive.google.com/open?id=1JSiSQrYagM5FVaVc-GF9ins_MRsxkqF_</t>
    </r>
  </si>
  <si>
    <r>
      <rPr>
        <u/>
        <sz val="10"/>
        <color rgb="FF1155CC"/>
        <rFont val="Roboto"/>
      </rPr>
      <t>https://drive.google.com/open?id=1r89smRNRe2Rn15C7UJrgl5CXl_epPLLl</t>
    </r>
  </si>
  <si>
    <t>Đánh giá hoạt động phát hành và thanh toán theo phương thức tín dụng chứng từ tại ngân hàng TMCP đầu tư và phát triển Việt Nam - Chi nhánh Bến Nghé</t>
  </si>
  <si>
    <r>
      <rPr>
        <u/>
        <sz val="10"/>
        <color rgb="FF1155CC"/>
        <rFont val="Roboto"/>
      </rPr>
      <t>https://drive.google.com/open?id=1XId2p5RABfAl4d5kILuHjezKPFI2P_s7</t>
    </r>
  </si>
  <si>
    <r>
      <rPr>
        <u/>
        <sz val="10"/>
        <color rgb="FF1155CC"/>
        <rFont val="Roboto"/>
      </rPr>
      <t>https://drive.google.com/open?id=1v0JwiAz4Ym2idhRpw1qFBVffnXiRqlfk</t>
    </r>
  </si>
  <si>
    <r>
      <rPr>
        <u/>
        <sz val="10"/>
        <color rgb="FF1155CC"/>
        <rFont val="Roboto"/>
      </rPr>
      <t>https://drive.google.com/open?id=11vkNxtoXdHjfUJmsjctH3x_1BI5bMUIT</t>
    </r>
  </si>
  <si>
    <t>ĐÁNH GIÁ RỦI RO TÀI CHÍNH CỦA CÁC DOANH NGHIỆP NGÀNH BẤT ĐỘNG SẢN NIÊM YẾT TẠI VIỆT NAM GIAI ĐOẠN 2020-2024</t>
  </si>
  <si>
    <r>
      <rPr>
        <u/>
        <sz val="10"/>
        <color rgb="FF1155CC"/>
        <rFont val="Roboto"/>
      </rPr>
      <t>https://drive.google.com/open?id=195bu8jGuXJkMIqjMtC4W8uPUFl7PyBrf</t>
    </r>
  </si>
  <si>
    <r>
      <rPr>
        <u/>
        <sz val="10"/>
        <color rgb="FF1155CC"/>
        <rFont val="Roboto"/>
      </rPr>
      <t>https://drive.google.com/open?id=1mT2SksD33iFG6_LxsPUq4kzzOJikzQ20</t>
    </r>
  </si>
  <si>
    <r>
      <rPr>
        <u/>
        <sz val="10"/>
        <color rgb="FF1155CC"/>
        <rFont val="Roboto"/>
      </rPr>
      <t>https://drive.google.com/open?id=1cFx24TS0NOq2jWtg4mc-jgoUp5Yb7Dqj</t>
    </r>
  </si>
  <si>
    <t>CÁC YẾU TỐ ẢNH HƯỞNG ĐẾN GIÁ CỔ PHIẾU NGÂN HÀNG THƯƠNG MẠI NIÊM YẾT TRÊN SỞ GIAO DỊCH CHỨNG KHOÁN THÀNH PHỐ HỒ CHÍ MINH</t>
  </si>
  <si>
    <r>
      <rPr>
        <u/>
        <sz val="10"/>
        <color rgb="FF1155CC"/>
        <rFont val="Roboto"/>
      </rPr>
      <t>https://drive.google.com/open?id=1DxY9gqSav4FEajmlO-P3ZikuhONG_SV5</t>
    </r>
  </si>
  <si>
    <r>
      <rPr>
        <u/>
        <sz val="10"/>
        <color rgb="FF1155CC"/>
        <rFont val="Roboto"/>
      </rPr>
      <t>https://drive.google.com/open?id=1ACHJsQI_mg8ZcZQbpJLygN_Ys9b-sJ83</t>
    </r>
  </si>
  <si>
    <r>
      <rPr>
        <u/>
        <sz val="10"/>
        <color rgb="FF1155CC"/>
        <rFont val="Roboto"/>
      </rPr>
      <t>https://drive.google.com/open?id=1QN0jqppCjBFEeszUL_yJvgnwHDHHN7t4</t>
    </r>
  </si>
  <si>
    <t>THE IMPACT OF DIGITAL TRANSFORMATION ON CREDIT RISK: EVIDENCE FROM VIETNAMESE COMMERCIAL BANKS</t>
  </si>
  <si>
    <r>
      <rPr>
        <u/>
        <sz val="10"/>
        <color rgb="FF1155CC"/>
        <rFont val="Roboto"/>
      </rPr>
      <t>https://drive.google.com/open?id=10MGcTO0xDN8MqEdqbL5REBoEujopqNK_</t>
    </r>
  </si>
  <si>
    <r>
      <rPr>
        <u/>
        <sz val="10"/>
        <color rgb="FF1155CC"/>
        <rFont val="Roboto"/>
      </rPr>
      <t>https://drive.google.com/open?id=14Tr40tOTzRqjF9lt9cuqzqHNaZra9oAg</t>
    </r>
  </si>
  <si>
    <r>
      <rPr>
        <u/>
        <sz val="10"/>
        <color rgb="FF1155CC"/>
        <rFont val="Roboto"/>
      </rPr>
      <t>https://drive.google.com/open?id=1w06LZH69tHjHd4A2EsDVSEBkdDGTvnZX</t>
    </r>
  </si>
  <si>
    <t>ĐÁNH GIÁ HIỆU QUẢ HOẠT ĐỘNG CỦA NGÂN HÀNG THƯƠNG MẠI CỔ PHẦN PHÁT TRIỂN THÀNH PHỐ HỒ CHÍ MINH (HDBANK) THEO MÔ HÌNH CAMELS</t>
  </si>
  <si>
    <r>
      <rPr>
        <u/>
        <sz val="10"/>
        <color rgb="FF1155CC"/>
        <rFont val="Roboto"/>
      </rPr>
      <t>https://drive.google.com/open?id=16qNImVkIhKZ8CbwP0EaugwosIn26HPss</t>
    </r>
  </si>
  <si>
    <r>
      <rPr>
        <u/>
        <sz val="10"/>
        <color rgb="FF1155CC"/>
        <rFont val="Roboto"/>
      </rPr>
      <t>https://drive.google.com/open?id=1xL24tgZlAXK2i5QAfT9w0vnUOFE3JuQb</t>
    </r>
  </si>
  <si>
    <r>
      <rPr>
        <u/>
        <sz val="10"/>
        <color rgb="FF1155CC"/>
        <rFont val="Roboto"/>
      </rPr>
      <t>https://drive.google.com/open?id=1VjFyiKdCiVqPzTnnl1Qv7yCfhWKIqAaK</t>
    </r>
  </si>
  <si>
    <t>PHÂN TÍCH BÁO CÁO TÀI CHÍNH VÀ ĐỊNH GIÁ CỔ PHIẾU CÔNG TY CỔ PHẦN THÉP NAM KIM (NKG)</t>
  </si>
  <si>
    <r>
      <rPr>
        <u/>
        <sz val="10"/>
        <color rgb="FF1155CC"/>
        <rFont val="Roboto"/>
      </rPr>
      <t>https://drive.google.com/open?id=1ZjEzNOc72Vi9y1xODpDLdB28Ms03oThT</t>
    </r>
  </si>
  <si>
    <r>
      <rPr>
        <u/>
        <sz val="10"/>
        <color rgb="FF1155CC"/>
        <rFont val="Roboto"/>
      </rPr>
      <t>https://drive.google.com/open?id=1AcBOPIcbguuJsC2ba6Ncc5wyBwtuxki8</t>
    </r>
  </si>
  <si>
    <r>
      <rPr>
        <u/>
        <sz val="10"/>
        <color rgb="FF1155CC"/>
        <rFont val="Roboto"/>
      </rPr>
      <t>https://drive.google.com/open?id=1TvNJ8MuhA8SgmeZ519IntJPLpsumWmoQ</t>
    </r>
  </si>
  <si>
    <t>TÁC ĐỘNG CỦA RỦI RO TÍN DỤNG ĐẾN KHẢ NĂNG SINH LỜI CỦA CÁC NGÂN HÀNG THƯƠNG MẠI CỔ PHẦN TẠI VIỆT NAM</t>
  </si>
  <si>
    <r>
      <rPr>
        <u/>
        <sz val="10"/>
        <color rgb="FF1155CC"/>
        <rFont val="Roboto"/>
      </rPr>
      <t>https://drive.google.com/open?id=17z34jeAVECVbFQOSdG-NsD2TpB9FFjKF</t>
    </r>
  </si>
  <si>
    <r>
      <rPr>
        <u/>
        <sz val="10"/>
        <color rgb="FF1155CC"/>
        <rFont val="Roboto"/>
      </rPr>
      <t>https://drive.google.com/open?id=1Zo4WUiHXwYZETzYwHs1nyNuF2CEWKTHF</t>
    </r>
  </si>
  <si>
    <r>
      <rPr>
        <u/>
        <sz val="10"/>
        <color rgb="FF1155CC"/>
        <rFont val="Roboto"/>
      </rPr>
      <t>https://drive.google.com/open?id=1wn97_4hQklnuxd0j-6m3LTvXLUitpRGK</t>
    </r>
  </si>
  <si>
    <t>Securities Brokerage Operations for Individual Investors at Mirae Asset Securities Vietnam</t>
  </si>
  <si>
    <r>
      <rPr>
        <u/>
        <sz val="10"/>
        <color rgb="FF1155CC"/>
        <rFont val="Roboto"/>
      </rPr>
      <t>https://drive.google.com/open?id=1PGRxb7olgw3e7oqXZIE2uk6FT3NEyQdp</t>
    </r>
  </si>
  <si>
    <r>
      <rPr>
        <u/>
        <sz val="10"/>
        <color rgb="FF1155CC"/>
        <rFont val="Roboto"/>
      </rPr>
      <t>https://drive.google.com/open?id=1TT9QO8w34onEB83MthPtsxWRvVjBjS24</t>
    </r>
  </si>
  <si>
    <r>
      <rPr>
        <u/>
        <sz val="10"/>
        <color rgb="FF1155CC"/>
        <rFont val="Roboto"/>
      </rPr>
      <t>https://drive.google.com/open?id=1c1Ci2Qglbr-4Xs55MpOW-kbJeqJaAiDD</t>
    </r>
  </si>
  <si>
    <t>SOLUTIONS FOR USING FINANCIAL LEVERAGE TO ENHANCE CORPORATE PERFORMANCE AT ANH MINH CO., LTD</t>
  </si>
  <si>
    <r>
      <rPr>
        <u/>
        <sz val="10"/>
        <color rgb="FF1155CC"/>
        <rFont val="Roboto"/>
      </rPr>
      <t>https://drive.google.com/open?id=1CbOS7Ih15N12l7aQQr6LRg19SG4ELvJs</t>
    </r>
  </si>
  <si>
    <r>
      <rPr>
        <u/>
        <sz val="10"/>
        <color rgb="FF1155CC"/>
        <rFont val="Roboto"/>
      </rPr>
      <t>https://drive.google.com/open?id=1XJtGAYi4gV_tUjGqCb4qaJgZrocDfhK7</t>
    </r>
  </si>
  <si>
    <r>
      <rPr>
        <u/>
        <sz val="10"/>
        <color rgb="FF1155CC"/>
        <rFont val="Roboto"/>
      </rPr>
      <t>https://drive.google.com/open?id=1JA1dW5iyyPPemuvxqK2A0tyzl0ny3Ne5</t>
    </r>
  </si>
  <si>
    <t>K22404B</t>
  </si>
  <si>
    <t>PHÂN TÍCH RỦI RO TÍN DỤNG TRONG CHO VAY ĐỐI VỚI KHÁCH HÀNG CÁ NHÂN TẠI NGÂN HÀNG TMCP QUÂN ĐỘI</t>
  </si>
  <si>
    <r>
      <rPr>
        <u/>
        <sz val="10"/>
        <color rgb="FF1155CC"/>
        <rFont val="Roboto"/>
      </rPr>
      <t>https://drive.google.com/open?id=103oK0IerRySjAnLiaL47mSiSpfyjooel</t>
    </r>
  </si>
  <si>
    <r>
      <rPr>
        <u/>
        <sz val="10"/>
        <color rgb="FF1155CC"/>
        <rFont val="Roboto"/>
      </rPr>
      <t>https://drive.google.com/open?id=1ZWhOc-X1aKT5mRD1nEbFPIBYI0FjCpqu</t>
    </r>
  </si>
  <si>
    <r>
      <rPr>
        <u/>
        <sz val="10"/>
        <color rgb="FF1155CC"/>
        <rFont val="Roboto"/>
      </rPr>
      <t>https://drive.google.com/open?id=1N2PLUOAqwTUASn7HQFeiVTcl-IyWvKt3</t>
    </r>
  </si>
  <si>
    <t>NGHIÊN CỨU ẢNH HƯỞNG CỦA HẬU QUẢ THIÊN TAI VÀ QUY MÔ VỐN CHỦ SỞ HỮU ĐẾN KẾT QUẢ KINH DOANH CỦA NGÂN HÀNG THƯƠNG MẠI VIỆT NAM</t>
  </si>
  <si>
    <r>
      <rPr>
        <u/>
        <sz val="10"/>
        <color rgb="FF1155CC"/>
        <rFont val="Roboto"/>
      </rPr>
      <t>https://drive.google.com/open?id=1JX96BlzyjUrS8o0iXzC143_ZSof5jmcc</t>
    </r>
  </si>
  <si>
    <r>
      <rPr>
        <u/>
        <sz val="10"/>
        <color rgb="FF1155CC"/>
        <rFont val="Roboto"/>
      </rPr>
      <t>https://drive.google.com/open?id=175ah4OS1dH1vEEh3973W2Sod54tg2N_M</t>
    </r>
  </si>
  <si>
    <r>
      <rPr>
        <u/>
        <sz val="10"/>
        <color rgb="FF1155CC"/>
        <rFont val="Roboto"/>
      </rPr>
      <t>https://drive.google.com/open?id=1kAnBen-b24RO3TRnscOuVW6ialw1137Z</t>
    </r>
  </si>
  <si>
    <t>HOẠT ĐỘNG MÔI GIỚI CHỨNG KHOÁN TẠI CTCP CHỨNG KHOÁN FPT – CHI NHÁNH TP.HCM</t>
  </si>
  <si>
    <r>
      <rPr>
        <u/>
        <sz val="10"/>
        <color rgb="FF1155CC"/>
        <rFont val="Roboto"/>
      </rPr>
      <t>https://drive.google.com/open?id=1s4oiVLIf4obBxaksvoCKwr6sgYmDAPkM</t>
    </r>
  </si>
  <si>
    <r>
      <rPr>
        <u/>
        <sz val="10"/>
        <color rgb="FF1155CC"/>
        <rFont val="Roboto"/>
      </rPr>
      <t>https://drive.google.com/open?id=105a4S3aaBiFP1tQKzwDx_-FzuKmu8CpX</t>
    </r>
  </si>
  <si>
    <r>
      <rPr>
        <u/>
        <sz val="10"/>
        <color rgb="FF1155CC"/>
        <rFont val="Roboto"/>
      </rPr>
      <t>https://drive.google.com/open?id=1umz86pzePrjwMfVkCPRuhG83YEhtOH0R</t>
    </r>
  </si>
  <si>
    <t>Hoạt động cho vay mua nhà dự án tại Ngân hàng Phát triển Thành phố Hồ Chí Minh - PGD Linh Đông</t>
  </si>
  <si>
    <r>
      <rPr>
        <u/>
        <sz val="10"/>
        <color rgb="FF1155CC"/>
        <rFont val="Roboto"/>
      </rPr>
      <t>https://drive.google.com/open?id=1nmo86xxLFnP7BolDDcSIBSjsYr23dU6C</t>
    </r>
  </si>
  <si>
    <r>
      <rPr>
        <u/>
        <sz val="10"/>
        <color rgb="FF1155CC"/>
        <rFont val="Roboto"/>
      </rPr>
      <t>https://drive.google.com/open?id=1jmU7oJnnElXloGnlw-7dDc69tyF-ae0I</t>
    </r>
  </si>
  <si>
    <r>
      <rPr>
        <u/>
        <sz val="10"/>
        <color rgb="FF1155CC"/>
        <rFont val="Roboto"/>
      </rPr>
      <t>https://drive.google.com/open?id=1x_wwQ-zyWuXv8F1IIKx9k-S43hGuHyct</t>
    </r>
  </si>
  <si>
    <t>Các yếu tố ảnh hưởng đến hiệu quả hoạt động kinh doanh của các Ngân hàng Thương mại tại Việt Nam giai đoạn 2020 - 2025</t>
  </si>
  <si>
    <r>
      <rPr>
        <u/>
        <sz val="10"/>
        <color rgb="FF1155CC"/>
        <rFont val="Roboto"/>
      </rPr>
      <t>https://drive.google.com/open?id=16yJRPH7xdPv5LdWfjjn_vkDWrDonvFcg</t>
    </r>
  </si>
  <si>
    <r>
      <rPr>
        <u/>
        <sz val="10"/>
        <color rgb="FF1155CC"/>
        <rFont val="Roboto"/>
      </rPr>
      <t>https://drive.google.com/open?id=1yc3kvivnJknGCinps6-sFUQl21OMyXNa</t>
    </r>
  </si>
  <si>
    <r>
      <rPr>
        <u/>
        <sz val="10"/>
        <color rgb="FF1155CC"/>
        <rFont val="Roboto"/>
      </rPr>
      <t>https://drive.google.com/open?id=1mM__55Wnqq1ZI4dIz_KFcRbeHbyHs5fd</t>
    </r>
  </si>
  <si>
    <t>CURRENT STATUS AND DEVELOPMENT ORIENTATIONS OF RETAIL BANKING SERVICES AT FORTUNE VIETNAM JOINT STOCK COMMERCIAL BANK – HO CHI MINH CITY BRANCH – THU DUC LARGE TRANSACTION OFFICE</t>
  </si>
  <si>
    <r>
      <rPr>
        <u/>
        <sz val="10"/>
        <color rgb="FF1155CC"/>
        <rFont val="Roboto"/>
      </rPr>
      <t>https://drive.google.com/open?id=1eLhhAP7GQ6kez47gCIPsmrzFy4JRsyg7</t>
    </r>
  </si>
  <si>
    <r>
      <rPr>
        <u/>
        <sz val="10"/>
        <color rgb="FF1155CC"/>
        <rFont val="Roboto"/>
      </rPr>
      <t>https://drive.google.com/open?id=1Se8NluBSh4Jx5-kDFRrc8Y_rTaheX-I-</t>
    </r>
  </si>
  <si>
    <r>
      <rPr>
        <u/>
        <sz val="10"/>
        <color rgb="FF1155CC"/>
        <rFont val="Roboto"/>
      </rPr>
      <t>https://drive.google.com/open?id=1t99aM9J-xZZlOrLhBpQueiuG88d7I2AF</t>
    </r>
  </si>
  <si>
    <t>Hoạt động phát hành và quản lý thẻ tín dụng tại Ngân hàng TMCP Kỹ Thương Việt Nam (Techcombank).</t>
  </si>
  <si>
    <r>
      <rPr>
        <u/>
        <sz val="10"/>
        <color rgb="FF1155CC"/>
        <rFont val="Roboto"/>
      </rPr>
      <t>https://drive.google.com/open?id=19FKMD2bAELbikgRSremy4og5E8VNTP8x</t>
    </r>
  </si>
  <si>
    <r>
      <rPr>
        <u/>
        <sz val="10"/>
        <color rgb="FF1155CC"/>
        <rFont val="Roboto"/>
      </rPr>
      <t>https://drive.google.com/open?id=10mMJ_o8SFpWVUhVYECxL3FV7k7s68tIQ</t>
    </r>
  </si>
  <si>
    <r>
      <rPr>
        <u/>
        <sz val="10"/>
        <color rgb="FF1155CC"/>
        <rFont val="Roboto"/>
      </rPr>
      <t>https://drive.google.com/open?id=1og9vzEHpVyUdPZHHPhxiXipcZpj3WeYL</t>
    </r>
  </si>
  <si>
    <t>vanan2972004@gmail.com</t>
  </si>
  <si>
    <t>PHÂN TÍCH TÌNH HÌNH TÀI CHÍNH THEO MÔ HÌNH CAMEL VÀ ĐỊNH GIÁ NGÂN HÀNG THƯƠNG MẠI CỔ PHẦN CÔNG THƯƠNG VIỆT NAM ( VIETINBANK - CTG)</t>
  </si>
  <si>
    <r>
      <rPr>
        <u/>
        <sz val="10"/>
        <color rgb="FF1155CC"/>
        <rFont val="Roboto"/>
      </rPr>
      <t>https://drive.google.com/open?id=1U7UO4PV0AasvGV1m0QX2wSyzQW8MKRzS</t>
    </r>
  </si>
  <si>
    <r>
      <rPr>
        <u/>
        <sz val="10"/>
        <color rgb="FF1155CC"/>
        <rFont val="Roboto"/>
      </rPr>
      <t>https://drive.google.com/open?id=12xzHO5UXrZ8wzzy7ZE9ybJRu9dmVrEKJ</t>
    </r>
  </si>
  <si>
    <r>
      <rPr>
        <u/>
        <sz val="10"/>
        <color rgb="FF1155CC"/>
        <rFont val="Roboto"/>
      </rPr>
      <t>https://drive.google.com/open?id=1CPlno33ntO4-oYOMTFqj3rwBoxAu9ZK1</t>
    </r>
  </si>
  <si>
    <t>LENDING ACTIVITIES TO BUSINESS CUSTOMERS AT VIETNAM JOINT STOCK COMMERCIAL BANK FOR INDUSTRY AND TRADE (VIETINBANK) - TAN BINH BRANCH</t>
  </si>
  <si>
    <r>
      <rPr>
        <u/>
        <sz val="10"/>
        <color rgb="FF1155CC"/>
        <rFont val="Roboto"/>
      </rPr>
      <t>https://drive.google.com/open?id=1Me5NZhosRZ3RgEd1GW7z8sgWSxbzJhMd</t>
    </r>
  </si>
  <si>
    <r>
      <rPr>
        <u/>
        <sz val="10"/>
        <color rgb="FF1155CC"/>
        <rFont val="Roboto"/>
      </rPr>
      <t>https://drive.google.com/open?id=1NEsWCVb3UcMENpqWqNjzqNRSXNjmHlK8</t>
    </r>
  </si>
  <si>
    <r>
      <rPr>
        <u/>
        <sz val="10"/>
        <color rgb="FF1155CC"/>
        <rFont val="Roboto"/>
      </rPr>
      <t>https://drive.google.com/open?id=1mb29uPVkM8z7pc79EkFjuRJYk7x_NsH1</t>
    </r>
  </si>
  <si>
    <t>ĐÁNH GIÁ HIỆU QUẢ HOẠT ĐỘNG TÍN DỤNG CỦA KHÁCH HÀNG CÁ NHÂN TẠI NGÂN HÀNG THƯƠNG MẠI CỔ PHẦN HÀNG HẢI VIỆT NAM</t>
  </si>
  <si>
    <r>
      <rPr>
        <u/>
        <sz val="10"/>
        <color rgb="FF1155CC"/>
        <rFont val="Roboto"/>
      </rPr>
      <t>https://drive.google.com/open?id=1JL_2OfpLxnI03CVCjIVrp_rWj5dCf4Ti</t>
    </r>
  </si>
  <si>
    <r>
      <rPr>
        <u/>
        <sz val="10"/>
        <color rgb="FF1155CC"/>
        <rFont val="Roboto"/>
      </rPr>
      <t>https://drive.google.com/open?id=1Rc2lmFzMPm4Ok6YmM0v13J2-BOOapnD2</t>
    </r>
  </si>
  <si>
    <r>
      <rPr>
        <u/>
        <sz val="10"/>
        <color rgb="FF1155CC"/>
        <rFont val="Roboto"/>
      </rPr>
      <t>https://drive.google.com/open?id=1dZJp67oIfFFhxhB1EHy7S4wZpyxr28UN</t>
    </r>
  </si>
  <si>
    <t>ĐÁNH GIÁ NGHIỆP VỤ CHO VAY KHÁCH HÀNG DOANH NGHIỆP TẠI NGÂN HÀNG THƯƠNG MẠI CỔ PHẦN CÔNG THƯƠNG VIỆT NAM</t>
  </si>
  <si>
    <r>
      <rPr>
        <u/>
        <sz val="10"/>
        <color rgb="FF1155CC"/>
        <rFont val="Roboto"/>
      </rPr>
      <t>https://drive.google.com/open?id=10b8udHNiih-OMjduVv4YSKaoU7bVcgOr</t>
    </r>
  </si>
  <si>
    <r>
      <rPr>
        <u/>
        <sz val="10"/>
        <color rgb="FF1155CC"/>
        <rFont val="Roboto"/>
      </rPr>
      <t>https://drive.google.com/open?id=1VfZAZdDyFDbrn6cntHB16dFr7un62f0K</t>
    </r>
  </si>
  <si>
    <r>
      <rPr>
        <u/>
        <sz val="10"/>
        <color rgb="FF1155CC"/>
        <rFont val="Roboto"/>
      </rPr>
      <t>https://drive.google.com/open?id=14f_YNkYe_LsLaJyBmC2tu94dRi_oPArI</t>
    </r>
  </si>
  <si>
    <t>Phân tích sức khỏe tài chính của Ngân hàng Thương mại Cổ phần Kỹ thương Việt Nam theo khung CAMELS</t>
  </si>
  <si>
    <r>
      <rPr>
        <u/>
        <sz val="10"/>
        <color rgb="FF1155CC"/>
        <rFont val="Roboto"/>
      </rPr>
      <t>https://drive.google.com/open?id=1mjTc1JHntm-x-x_HKvEyEZVVcuOBJzRX</t>
    </r>
  </si>
  <si>
    <r>
      <rPr>
        <u/>
        <sz val="10"/>
        <color rgb="FF1155CC"/>
        <rFont val="Roboto"/>
      </rPr>
      <t>https://drive.google.com/open?id=15AT3Zfg1JfzM8LBKuZg-Cjm0Gl56FWpK</t>
    </r>
  </si>
  <si>
    <r>
      <rPr>
        <u/>
        <sz val="10"/>
        <color rgb="FF1155CC"/>
        <rFont val="Roboto"/>
      </rPr>
      <t>https://drive.google.com/open?id=1MUdAGbJj0eL-ot2y8B1P6yb935lzCsRY</t>
    </r>
  </si>
  <si>
    <t>Nguyyễn Thị Đức Hạnh</t>
  </si>
  <si>
    <t>Thiết kế và Đặc tả Quy trình Nghiệp vụ cho Hệ thống Quản lý đơn hàng và Xử lý khiếu nại trong Dự án Jollibee</t>
  </si>
  <si>
    <r>
      <rPr>
        <u/>
        <sz val="10"/>
        <color rgb="FF1155CC"/>
        <rFont val="Roboto"/>
      </rPr>
      <t>https://drive.google.com/open?id=1qSTffI8E7-YAm9smRZRKVFUei7AE-J4B</t>
    </r>
  </si>
  <si>
    <r>
      <rPr>
        <u/>
        <sz val="10"/>
        <color rgb="FF1155CC"/>
        <rFont val="Roboto"/>
      </rPr>
      <t>https://drive.google.com/open?id=1REuiEnhOT1X4epKiIThcTVouITmneatn</t>
    </r>
  </si>
  <si>
    <r>
      <rPr>
        <u/>
        <sz val="10"/>
        <color rgb="FF1155CC"/>
        <rFont val="Roboto"/>
      </rPr>
      <t>https://drive.google.com/open?id=1pNA9tbCw-yxcSFeIfOBz3dnPFvOtnNYd</t>
    </r>
  </si>
  <si>
    <t>ĐÁNH GIÁ HIỆU QUẢ HOẠT ĐỘNG TÍN DỤNG CỦA KHÁCH HÀNG CÁ NHÂN TẠI NGÂN HÀNG THƯƠNG MẠI CỔ PHẦN ĐẦU TƯ VÀ PHÁT TRIỂN VIỆT NAM</t>
  </si>
  <si>
    <r>
      <rPr>
        <u/>
        <sz val="10"/>
        <color rgb="FF1155CC"/>
        <rFont val="Roboto"/>
      </rPr>
      <t>https://drive.google.com/open?id=1l37yL0FdopI2WNkm53kmNvNvDB1YGrs1</t>
    </r>
  </si>
  <si>
    <r>
      <rPr>
        <u/>
        <sz val="10"/>
        <color rgb="FF1155CC"/>
        <rFont val="Roboto"/>
      </rPr>
      <t>https://drive.google.com/open?id=1Bm-bi4PptqDIHQQXV4273urDDEgkTYli</t>
    </r>
  </si>
  <si>
    <r>
      <rPr>
        <u/>
        <sz val="10"/>
        <color rgb="FF1155CC"/>
        <rFont val="Roboto"/>
      </rPr>
      <t>https://drive.google.com/open?id=18IgttavUvi4HQdMZ8dOtVP-NNbr_Uqi5</t>
    </r>
  </si>
  <si>
    <t>NÂNG CAO CHẤT LƯỢNG DỊCH VỤ KHÁCH HÀNG TẠI NGÂN HÀNG THƯƠNG MẠI CỔ PHẦN SÀI GÒN – HÀ NỘI – CHI NHÁNH QUẢNG NGÃI</t>
  </si>
  <si>
    <r>
      <rPr>
        <u/>
        <sz val="10"/>
        <color rgb="FF1155CC"/>
        <rFont val="Roboto"/>
      </rPr>
      <t>https://drive.google.com/open?id=1iZ6pdTYgqLQGN4RZIoKXYPnHqeRntFzX</t>
    </r>
  </si>
  <si>
    <r>
      <rPr>
        <u/>
        <sz val="10"/>
        <color rgb="FF1155CC"/>
        <rFont val="Roboto"/>
      </rPr>
      <t>https://drive.google.com/open?id=1RI1cqzoP_imh7l3aHSQtGSCz1PhUBM-I</t>
    </r>
  </si>
  <si>
    <r>
      <rPr>
        <u/>
        <sz val="10"/>
        <color rgb="FF1155CC"/>
        <rFont val="Roboto"/>
      </rPr>
      <t>https://drive.google.com/open?id=1g9JacU6s_xR1ar9T3jhPjp8RAo4E9PiE</t>
    </r>
  </si>
  <si>
    <t>K22404A</t>
  </si>
  <si>
    <t>Ảnh hưởng của sắc thái tin tức lên VNIndex</t>
  </si>
  <si>
    <r>
      <rPr>
        <u/>
        <sz val="10"/>
        <color rgb="FF1155CC"/>
        <rFont val="Roboto"/>
      </rPr>
      <t>https://drive.google.com/open?id=15TggY7xH8ibAjE31L5LQD94wijlVqPZ3</t>
    </r>
  </si>
  <si>
    <r>
      <rPr>
        <u/>
        <sz val="10"/>
        <color rgb="FF1155CC"/>
        <rFont val="Roboto"/>
      </rPr>
      <t>https://drive.google.com/open?id=1CjJ7anYeNT3mVc21i3jpMEiPjSg48fbN</t>
    </r>
  </si>
  <si>
    <r>
      <rPr>
        <u/>
        <sz val="10"/>
        <color rgb="FF1155CC"/>
        <rFont val="Roboto"/>
      </rPr>
      <t>https://drive.google.com/open?id=1hqufQh-q1vCWuf1DLSGukuzPyzGru-TE</t>
    </r>
  </si>
  <si>
    <t>Ứng dụng mô hình CAMEL phân tích hiệu quả hoạt động Ngân hàng TMCP Lộc Phát Việt Nam</t>
  </si>
  <si>
    <r>
      <rPr>
        <u/>
        <sz val="10"/>
        <color rgb="FF1155CC"/>
        <rFont val="Roboto"/>
      </rPr>
      <t>https://drive.google.com/open?id=13r7KE_9q7sCJsQRGbpeaCIC38amg4R_D</t>
    </r>
  </si>
  <si>
    <r>
      <rPr>
        <u/>
        <sz val="10"/>
        <color rgb="FF1155CC"/>
        <rFont val="Roboto"/>
      </rPr>
      <t>https://drive.google.com/open?id=1BblQeoochk0mB3GRaNzf87PAk6D9j2Bc</t>
    </r>
  </si>
  <si>
    <r>
      <rPr>
        <u/>
        <sz val="10"/>
        <color rgb="FF1155CC"/>
        <rFont val="Roboto"/>
      </rPr>
      <t>https://drive.google.com/open?id=1MKCVPoxnXw_GTRTi_o85ec9tcfeUe4Dh</t>
    </r>
  </si>
  <si>
    <t>phuongha190904@gmail.com</t>
  </si>
  <si>
    <t>HOME LOANS ACTIVITIES IN VIETNAM INVESMENT AND DEVELOPMENT BANK (BIDV) - DONG SAIGON BRANCH</t>
  </si>
  <si>
    <r>
      <rPr>
        <u/>
        <sz val="10"/>
        <color rgb="FF1155CC"/>
        <rFont val="Roboto"/>
      </rPr>
      <t>https://drive.google.com/open?id=1sZIsm4RK6pRDP50knhYGPS5zUrJkMTpp</t>
    </r>
  </si>
  <si>
    <r>
      <rPr>
        <u/>
        <sz val="10"/>
        <color rgb="FF1155CC"/>
        <rFont val="Roboto"/>
      </rPr>
      <t>https://drive.google.com/open?id=1BQ8a6fTQ_t0IL2QhtFGyuNAi8hDcAoVu</t>
    </r>
  </si>
  <si>
    <r>
      <rPr>
        <u/>
        <sz val="10"/>
        <color rgb="FF1155CC"/>
        <rFont val="Roboto"/>
      </rPr>
      <t>https://drive.google.com/open?id=1PabGAOdkTYkN24bISK9lcl7A6aHD0j15</t>
    </r>
  </si>
  <si>
    <t>ĐÁNH GIÁ HOẠT ĐỘNG CỦA NGÂN HÀNG THƯƠNG MẠI CỔ PHẦN QUỐC TẾ VIỆT NAM - VIB THEO MÔ HÌNH CAMEL</t>
  </si>
  <si>
    <r>
      <rPr>
        <u/>
        <sz val="10"/>
        <color rgb="FF1155CC"/>
        <rFont val="Roboto"/>
      </rPr>
      <t>https://drive.google.com/open?id=1VwgVuKhYCCzOe0dYrugm7mryKWSInPG2</t>
    </r>
  </si>
  <si>
    <r>
      <rPr>
        <u/>
        <sz val="10"/>
        <color rgb="FF1155CC"/>
        <rFont val="Roboto"/>
      </rPr>
      <t>https://drive.google.com/open?id=1H2v3Ug63VNP27c9F8cv6Hiys9NuNaT9g</t>
    </r>
  </si>
  <si>
    <r>
      <rPr>
        <u/>
        <sz val="10"/>
        <color rgb="FF1155CC"/>
        <rFont val="Roboto"/>
      </rPr>
      <t>https://drive.google.com/open?id=1oaMLvCcQm3xu7RNp4wulPzXpsuCe6-X1</t>
    </r>
  </si>
  <si>
    <t>THE IMPACT OF FINANCIAL LEVERAGE ON FINANCIAL PERFORMANCE: EMPIRICAL EVIDENCE FROM NON-FINANCIAL VN100 QUOTED COMPANIES ON VIETNAM STOCK EXCHANGE</t>
  </si>
  <si>
    <r>
      <rPr>
        <u/>
        <sz val="10"/>
        <color rgb="FF1155CC"/>
        <rFont val="Roboto"/>
      </rPr>
      <t>https://drive.google.com/open?id=1A3THuJSMXsVHjhKJUKE1ikhCXL9pZsur</t>
    </r>
  </si>
  <si>
    <r>
      <rPr>
        <u/>
        <sz val="10"/>
        <color rgb="FF1155CC"/>
        <rFont val="Roboto"/>
      </rPr>
      <t>https://drive.google.com/open?id=141_-kXZhe8-guaLC9XlJfjy4g7UpiwDe</t>
    </r>
  </si>
  <si>
    <r>
      <rPr>
        <u/>
        <sz val="10"/>
        <color rgb="FF1155CC"/>
        <rFont val="Roboto"/>
      </rPr>
      <t>https://drive.google.com/open?id=1FipNb5z-IYtX_ZezzBwwqOCYhD1eoa7m</t>
    </r>
  </si>
  <si>
    <t>PHÂN TÍCH HOẠT ĐỘNG CHO VAY MUA BẤT ĐỘNG SẢN DÀNH CHO KHÁCH HÀNG CÁ NHÂN TẠI NGÂN HÀNG TNHH MTV WOORI VIỆT NAM – CHI NHÁNH PHÚ MỸ HƯNG</t>
  </si>
  <si>
    <r>
      <rPr>
        <u/>
        <sz val="10"/>
        <color rgb="FF1155CC"/>
        <rFont val="Roboto"/>
      </rPr>
      <t>https://drive.google.com/open?id=1iB0zo7NjpB0GO-IG8F9E4Kz6tw1D_GYO</t>
    </r>
  </si>
  <si>
    <r>
      <rPr>
        <u/>
        <sz val="10"/>
        <color rgb="FF1155CC"/>
        <rFont val="Roboto"/>
      </rPr>
      <t>https://drive.google.com/open?id=1mH5hPf3lfKfPvnga5jCmoS_4dT6k5ywr</t>
    </r>
  </si>
  <si>
    <r>
      <rPr>
        <u/>
        <sz val="10"/>
        <color rgb="FF1155CC"/>
        <rFont val="Roboto"/>
      </rPr>
      <t>https://drive.google.com/open?id=1pXc38zh5dtxij0BDX085kp2P2MzQW1qn</t>
    </r>
  </si>
  <si>
    <t>Phân tích và định giá cổ phiếu Công ty Cổ phần Tập đoàn Hoa Sen</t>
  </si>
  <si>
    <r>
      <rPr>
        <u/>
        <sz val="10"/>
        <color rgb="FF1155CC"/>
        <rFont val="Roboto"/>
      </rPr>
      <t>https://drive.google.com/open?id=1I5mkYjFm_I_LSN32Y5O5Nk7HVdFqwJGz</t>
    </r>
  </si>
  <si>
    <r>
      <rPr>
        <u/>
        <sz val="10"/>
        <color rgb="FF1155CC"/>
        <rFont val="Roboto"/>
      </rPr>
      <t>https://drive.google.com/open?id=1qAgTbM7pMW7CSyCZdOsNX5mgKsZS8v53</t>
    </r>
  </si>
  <si>
    <r>
      <rPr>
        <u/>
        <sz val="10"/>
        <color rgb="FF1155CC"/>
        <rFont val="Roboto"/>
      </rPr>
      <t>https://drive.google.com/open?id=1kYFMCsLvLd1EFB_YNHoCdtJ7xpNHVq76</t>
    </r>
  </si>
  <si>
    <t>CÁC NHÂN TỐ ẢNH HƯỞNG ĐẾN TỶ SUẤT SINH LỜI: TRƯỜNG HỢP CÁC NGÂN HÀNG THƯƠNG MẠI VIỆT NAM</t>
  </si>
  <si>
    <r>
      <rPr>
        <u/>
        <sz val="10"/>
        <color rgb="FF1155CC"/>
        <rFont val="Roboto"/>
      </rPr>
      <t>https://drive.google.com/open?id=1U5otVB2mBoPSlPqTQ7Eh0FQ0CKXNX1sK</t>
    </r>
  </si>
  <si>
    <r>
      <rPr>
        <u/>
        <sz val="10"/>
        <color rgb="FF1155CC"/>
        <rFont val="Roboto"/>
      </rPr>
      <t>https://drive.google.com/open?id=1vWtNWh1JBUfFb2hPwpkeo8btmYwPc0tS</t>
    </r>
  </si>
  <si>
    <r>
      <rPr>
        <u/>
        <sz val="10"/>
        <color rgb="FF1155CC"/>
        <rFont val="Roboto"/>
      </rPr>
      <t>https://drive.google.com/open?id=1-bTl9M8dRlvV1k4yv6lh_LTa9zNnv27i</t>
    </r>
  </si>
  <si>
    <t>Các yếu tố ảnh hưởng đến khả năng sinh lời của các ngân hàng thương mại Việt Nam giai đoạn 2020-2024</t>
  </si>
  <si>
    <r>
      <rPr>
        <u/>
        <sz val="10"/>
        <color rgb="FF1155CC"/>
        <rFont val="Roboto"/>
      </rPr>
      <t>https://drive.google.com/open?id=1tfxblmVBuLrfJ4GwwdGicoArQ7CmZb3Q</t>
    </r>
  </si>
  <si>
    <r>
      <rPr>
        <u/>
        <sz val="10"/>
        <color rgb="FF1155CC"/>
        <rFont val="Roboto"/>
      </rPr>
      <t>https://drive.google.com/open?id=1kRxD1s1CsvTZk9m3bLSApfdAuMlSpYEB</t>
    </r>
  </si>
  <si>
    <r>
      <rPr>
        <u/>
        <sz val="10"/>
        <color rgb="FF1155CC"/>
        <rFont val="Roboto"/>
      </rPr>
      <t>https://drive.google.com/open?id=1jLASRRonxh69lszOjDeikVavOpYGVWAA</t>
    </r>
  </si>
  <si>
    <t>Phân tích hiệu quả hoạt động của Ngân hàng TMCP Đầu tư và Phát triển Việt Nam (BIDV) theo mô hình CAMEL</t>
  </si>
  <si>
    <r>
      <rPr>
        <u/>
        <sz val="10"/>
        <color rgb="FF1155CC"/>
        <rFont val="Roboto"/>
      </rPr>
      <t>https://drive.google.com/open?id=1iK83x2bZtPj6h4jZwzkEZ3KYygpQfFwl</t>
    </r>
  </si>
  <si>
    <r>
      <rPr>
        <u/>
        <sz val="10"/>
        <color rgb="FF1155CC"/>
        <rFont val="Roboto"/>
      </rPr>
      <t>https://drive.google.com/open?id=1_IuTBph6b0LcuRdz2m8PoC4-CcNMSxWs</t>
    </r>
  </si>
  <si>
    <r>
      <rPr>
        <u/>
        <sz val="10"/>
        <color rgb="FF1155CC"/>
        <rFont val="Roboto"/>
      </rPr>
      <t>https://drive.google.com/open?id=1_iQRiwwumGLTo6AqreuaufMBZlP7RD7T</t>
    </r>
  </si>
  <si>
    <t>Evaluating the performance of lending and capital mobilization at Viet Nam Thuong Tin Joint Stock Commercial Bank.</t>
  </si>
  <si>
    <r>
      <rPr>
        <u/>
        <sz val="10"/>
        <color rgb="FF1155CC"/>
        <rFont val="Roboto"/>
      </rPr>
      <t>https://drive.google.com/open?id=1MU3m7L2_Y96zIbwGwgqV8rzOMwXVON8Y</t>
    </r>
  </si>
  <si>
    <r>
      <rPr>
        <u/>
        <sz val="10"/>
        <color rgb="FF1155CC"/>
        <rFont val="Roboto"/>
      </rPr>
      <t>https://drive.google.com/open?id=1bZGCiT0RJPsOHLgyfOu2vecfRze4hWHz</t>
    </r>
  </si>
  <si>
    <r>
      <rPr>
        <u/>
        <sz val="10"/>
        <color rgb="FF1155CC"/>
        <rFont val="Roboto"/>
      </rPr>
      <t>https://drive.google.com/open?id=1k44-Gx5UK4TiIxeWJco35Fsm85dKVfl-</t>
    </r>
  </si>
  <si>
    <t>GEOPOLITICAL RISK AND FIRM MARKET VALUE: EVIDENCE FROM NON-FINANCIAL FIRMS LISTED ON THE HO CHI MINH STOCK EXCHANGE</t>
  </si>
  <si>
    <r>
      <rPr>
        <u/>
        <sz val="10"/>
        <color rgb="FF1155CC"/>
        <rFont val="Roboto"/>
      </rPr>
      <t>https://drive.google.com/open?id=1XgPJJps6YjUqeTSH7-cvSBF4cn7MAL6L</t>
    </r>
  </si>
  <si>
    <r>
      <rPr>
        <u/>
        <sz val="10"/>
        <color rgb="FF1155CC"/>
        <rFont val="Roboto"/>
      </rPr>
      <t>https://drive.google.com/open?id=1pqLAfJ_Q3YPlJ6gaoAeh_ztGlBawgr8T</t>
    </r>
  </si>
  <si>
    <r>
      <rPr>
        <u/>
        <sz val="10"/>
        <color rgb="FF1155CC"/>
        <rFont val="Roboto"/>
      </rPr>
      <t>https://drive.google.com/open?id=14OhxDkwzdczKdzq32dlHyv5DV_936xVx</t>
    </r>
  </si>
  <si>
    <t>Hoạt động cho vay tại Ngân hàng TMCP Công Thương Việt Nam</t>
  </si>
  <si>
    <r>
      <rPr>
        <u/>
        <sz val="10"/>
        <color rgb="FF1155CC"/>
        <rFont val="Roboto"/>
      </rPr>
      <t>https://drive.google.com/open?id=1GMKi27W402pNU3CrBEnSCQLu_p0ji-pR</t>
    </r>
  </si>
  <si>
    <r>
      <rPr>
        <u/>
        <sz val="10"/>
        <color rgb="FF1155CC"/>
        <rFont val="Roboto"/>
      </rPr>
      <t>https://drive.google.com/open?id=190I0S-n6-6cjhjBmn5JpP7jJLMXuxqxG</t>
    </r>
  </si>
  <si>
    <r>
      <rPr>
        <u/>
        <sz val="10"/>
        <color rgb="FF1155CC"/>
        <rFont val="Roboto"/>
      </rPr>
      <t>https://drive.google.com/open?id=1WlMWiWqDejnN1ClMkYOfyTJi62rkmelN</t>
    </r>
  </si>
  <si>
    <t>Business Process for Corporate Advisory Services at RSM Vietnam Auditing and Consulting Company Limited</t>
  </si>
  <si>
    <r>
      <rPr>
        <u/>
        <sz val="10"/>
        <color rgb="FF1155CC"/>
        <rFont val="Roboto"/>
      </rPr>
      <t>https://drive.google.com/open?id=1lWdhnmAWPngdLwgTOIV1Yx-0PGI3WZpq</t>
    </r>
  </si>
  <si>
    <r>
      <rPr>
        <u/>
        <sz val="10"/>
        <color rgb="FF1155CC"/>
        <rFont val="Roboto"/>
      </rPr>
      <t>https://drive.google.com/open?id=1xB25eZbaj9Vaiw8nveptDisOGPbc3JXd</t>
    </r>
  </si>
  <si>
    <r>
      <rPr>
        <u/>
        <sz val="10"/>
        <color rgb="FF1155CC"/>
        <rFont val="Roboto"/>
      </rPr>
      <t>https://drive.google.com/open?id=130tVetMfKdHLcfMeMUIkEsc2grAXxOvL</t>
    </r>
  </si>
  <si>
    <t>HOẠT ĐỘNG HUY ĐỘNG VỐN BẰNG TIỀN GỬI TẠI NGÂN HÀNG THƯƠNG MẠI CỔ PHẦN ĐẦU TƯ VÀ PHÁT TRIỂN VIỆT NAM</t>
  </si>
  <si>
    <r>
      <rPr>
        <u/>
        <sz val="10"/>
        <color rgb="FF1155CC"/>
        <rFont val="Roboto"/>
      </rPr>
      <t>https://drive.google.com/open?id=1_G6hWX8unQ9Igl9lGAqaEA_I8IedYI3z</t>
    </r>
  </si>
  <si>
    <r>
      <rPr>
        <u/>
        <sz val="10"/>
        <color rgb="FF1155CC"/>
        <rFont val="Roboto"/>
      </rPr>
      <t>https://drive.google.com/open?id=1bMwI81yjtrBruUn1600VoY9sbVL6Ft1c</t>
    </r>
  </si>
  <si>
    <r>
      <rPr>
        <u/>
        <sz val="10"/>
        <color rgb="FF1155CC"/>
        <rFont val="Roboto"/>
      </rPr>
      <t>https://drive.google.com/open?id=1n9mTR-JPcaAMsbSqKWLbR3yxgierLPRW</t>
    </r>
  </si>
  <si>
    <t>PHÂN TÍCH RỦI RO TÍN DỤNG NGÂN HÀNG THƯƠNG MẠI CỔ PHẦN NGOẠI THƯƠNG VIỆT NAM</t>
  </si>
  <si>
    <r>
      <rPr>
        <u/>
        <sz val="10"/>
        <color rgb="FF1155CC"/>
        <rFont val="Roboto"/>
      </rPr>
      <t>https://drive.google.com/open?id=1dMG2QJKILwZAJtkVjUhhf4Ho8uentQe8</t>
    </r>
  </si>
  <si>
    <r>
      <rPr>
        <u/>
        <sz val="10"/>
        <color rgb="FF1155CC"/>
        <rFont val="Roboto"/>
      </rPr>
      <t>https://drive.google.com/open?id=1TYkS_Unt3lQ6V_TeuK0q8IKzXAl_0xJ_</t>
    </r>
  </si>
  <si>
    <r>
      <rPr>
        <u/>
        <sz val="10"/>
        <color rgb="FF1155CC"/>
        <rFont val="Roboto"/>
      </rPr>
      <t>https://drive.google.com/open?id=1VeKQ857RLf7ODcDvgTW9Pj8lE97TjDxW</t>
    </r>
  </si>
  <si>
    <t>Application of the CAMELS Model in Evaluating the business performance and financial safety of Joint stock commercial bank for foreign trade of Vietnam (Vietcombank)</t>
  </si>
  <si>
    <r>
      <rPr>
        <u/>
        <sz val="10"/>
        <color rgb="FF1155CC"/>
        <rFont val="Roboto"/>
      </rPr>
      <t>https://drive.google.com/open?id=1mwX5Plfl0X6wz-Wcg82cz1cMNja9AuzS</t>
    </r>
  </si>
  <si>
    <r>
      <rPr>
        <u/>
        <sz val="10"/>
        <color rgb="FF1155CC"/>
        <rFont val="Roboto"/>
      </rPr>
      <t>https://drive.google.com/open?id=1D9P96uMbk6U0vtzM8x8ZJGS0i4ENDkiR</t>
    </r>
  </si>
  <si>
    <r>
      <rPr>
        <u/>
        <sz val="10"/>
        <color rgb="FF1155CC"/>
        <rFont val="Roboto"/>
      </rPr>
      <t>https://drive.google.com/open?id=1HA7NGCMt3pcS2y_zLsH0OdccrPcCBKvi</t>
    </r>
  </si>
  <si>
    <t>Đánh giá hiệu quả hoạt động của Ngân hàng TMCP Việt Nam Thịnh Vượng (VPBank) thông qua mô hình CAMELS giai đoạn 2020-2024</t>
  </si>
  <si>
    <r>
      <rPr>
        <u/>
        <sz val="10"/>
        <color rgb="FF1155CC"/>
        <rFont val="Roboto"/>
      </rPr>
      <t>https://drive.google.com/open?id=1TCNu4QkCZ0O6G5m952IipJbKkehRZrS3</t>
    </r>
  </si>
  <si>
    <r>
      <rPr>
        <u/>
        <sz val="10"/>
        <color rgb="FF1155CC"/>
        <rFont val="Roboto"/>
      </rPr>
      <t>https://drive.google.com/open?id=1ZMHwEybCqypl323UzQpLLYAhA_R8fFOH</t>
    </r>
  </si>
  <si>
    <r>
      <rPr>
        <u/>
        <sz val="10"/>
        <color rgb="FF1155CC"/>
        <rFont val="Roboto"/>
      </rPr>
      <t>https://drive.google.com/open?id=1Twp5KMaybRTAQPI1iaKuoE1QXLkAeG1R</t>
    </r>
  </si>
  <si>
    <t>hoangnn20404a@st.uel.edu.vn</t>
  </si>
  <si>
    <t>K20412</t>
  </si>
  <si>
    <t>CHẤT LƯỢNG TÍN DỤNG TẠI NGÂN HÀNG THƯƠNG MẠI CỔ PHẦN TIÊN PHONG</t>
  </si>
  <si>
    <r>
      <rPr>
        <u/>
        <sz val="10"/>
        <color rgb="FF1155CC"/>
        <rFont val="Roboto"/>
      </rPr>
      <t>https://drive.google.com/open?id=1whTvza9uJDF0iQaw3_1tHubdv4LzUPKB</t>
    </r>
  </si>
  <si>
    <r>
      <rPr>
        <u/>
        <sz val="10"/>
        <color rgb="FF1155CC"/>
        <rFont val="Roboto"/>
      </rPr>
      <t>https://drive.google.com/open?id=1exBYferXs8GDoXsp3oSySpjuWbw1PuLw</t>
    </r>
  </si>
  <si>
    <r>
      <rPr>
        <u/>
        <sz val="10"/>
        <color rgb="FF1155CC"/>
        <rFont val="Roboto"/>
      </rPr>
      <t>https://drive.google.com/open?id=1R2R8DzZbBcqOL63X15nXHu8GyfCtjLWW</t>
    </r>
  </si>
  <si>
    <t>CÁC YẾU TỐ ẢNH HƯỞNG ĐẾN TỶ LỆ AN TOÀN VỐN CỦA CÁC NGÂN HÀNG THƯƠNG MẠI CỔ PHẦN TẠI VIỆT NAM</t>
  </si>
  <si>
    <r>
      <rPr>
        <u/>
        <sz val="10"/>
        <color rgb="FF1155CC"/>
        <rFont val="Roboto"/>
      </rPr>
      <t>https://drive.google.com/open?id=1RqcfWBXUyx1lC4AJlb36lnDHFMu8xFD5</t>
    </r>
  </si>
  <si>
    <r>
      <rPr>
        <u/>
        <sz val="10"/>
        <color rgb="FF1155CC"/>
        <rFont val="Roboto"/>
      </rPr>
      <t>https://drive.google.com/open?id=1d36qJBv7FCLFzPc8ZT9r2q2OqoJTNxFT</t>
    </r>
  </si>
  <si>
    <r>
      <rPr>
        <u/>
        <sz val="10"/>
        <color rgb="FF1155CC"/>
        <rFont val="Roboto"/>
      </rPr>
      <t>https://drive.google.com/open?id=1P2qw0kC1jGp2PTeOxyo1m9lpF18cb-hf</t>
    </r>
  </si>
  <si>
    <t>thuhuongpham372004@gmail.com</t>
  </si>
  <si>
    <t>TÁC ĐỘNG CỦA RỦI RO TÍN DỤNG ĐẾN HIỆU QUẢ HOẠT ĐỘNG CỦA CÁC NGÂN HÀNG THƯƠNG MẠI VIỆT NAM</t>
  </si>
  <si>
    <r>
      <rPr>
        <u/>
        <sz val="10"/>
        <color rgb="FF1155CC"/>
        <rFont val="Roboto"/>
      </rPr>
      <t>https://drive.google.com/open?id=1dYOgWe1O-pyV-W0m0pILHFhCQZcmmVgg</t>
    </r>
  </si>
  <si>
    <r>
      <rPr>
        <u/>
        <sz val="10"/>
        <color rgb="FF1155CC"/>
        <rFont val="Roboto"/>
      </rPr>
      <t>https://drive.google.com/open?id=1KigMMAlwde4wGmBoNnh6pADQ0EL_IIhd</t>
    </r>
  </si>
  <si>
    <r>
      <rPr>
        <u/>
        <sz val="10"/>
        <color rgb="FF1155CC"/>
        <rFont val="Roboto"/>
      </rPr>
      <t>https://drive.google.com/open?id=1_qlDJu7RDy76WqFQPKygbv1sfa3BDghp</t>
    </r>
  </si>
  <si>
    <t>Ảnh hưởng của việc thực hiện ESG đến hiệu quả tài chính của các ngân hàng thương mại Việt Nam.</t>
  </si>
  <si>
    <r>
      <rPr>
        <u/>
        <sz val="10"/>
        <color rgb="FF1155CC"/>
        <rFont val="Roboto"/>
      </rPr>
      <t>https://drive.google.com/open?id=1U81-6aItbXb6_QtL4K-OL88rSEAe-7g4</t>
    </r>
  </si>
  <si>
    <r>
      <rPr>
        <u/>
        <sz val="10"/>
        <color rgb="FF1155CC"/>
        <rFont val="Roboto"/>
      </rPr>
      <t>https://drive.google.com/open?id=1rKRBkLXC-0n61mI_Dj7YGwgNphfDFM4l</t>
    </r>
  </si>
  <si>
    <r>
      <rPr>
        <u/>
        <sz val="10"/>
        <color rgb="FF1155CC"/>
        <rFont val="Roboto"/>
      </rPr>
      <t>https://drive.google.com/open?id=1C1DYe35buiCe02jhcsudyziRCb-mhwwz</t>
    </r>
  </si>
  <si>
    <t>Determinants of commercial bank performance in Vietnam: a comparative analysis between state-owned and private joint-stock commercial banks (2015–2024)</t>
  </si>
  <si>
    <r>
      <rPr>
        <u/>
        <sz val="10"/>
        <color rgb="FF1155CC"/>
        <rFont val="Roboto"/>
      </rPr>
      <t>https://drive.google.com/open?id=1-bjF8npaSCQ5_i8t3zCJewHrRiI_4NRX</t>
    </r>
  </si>
  <si>
    <r>
      <rPr>
        <u/>
        <sz val="10"/>
        <color rgb="FF1155CC"/>
        <rFont val="Roboto"/>
      </rPr>
      <t>https://drive.google.com/open?id=1Z3utG1aCFD_MbPGGSlJM5ZWvY7b0DZjp</t>
    </r>
  </si>
  <si>
    <r>
      <rPr>
        <u/>
        <sz val="10"/>
        <color rgb="FF1155CC"/>
        <rFont val="Roboto"/>
      </rPr>
      <t>https://drive.google.com/open?id=1nfEdEuIo-1J_YPWH8ZlJfFaGRfruysd5</t>
    </r>
  </si>
  <si>
    <t>vienplt20404b@st.uel.edu.vn</t>
  </si>
  <si>
    <t>Phân tích tình hình tài chính và định giá cổ phiếu tổng công ty dầu Việt Nam ( OIL)</t>
  </si>
  <si>
    <r>
      <rPr>
        <u/>
        <sz val="10"/>
        <color rgb="FF1155CC"/>
        <rFont val="Roboto"/>
      </rPr>
      <t>https://drive.google.com/open?id=1wUMi_Px4VbVHSRiMgIjCtFyqZqOdtTh_</t>
    </r>
  </si>
  <si>
    <r>
      <rPr>
        <u/>
        <sz val="10"/>
        <color rgb="FF1155CC"/>
        <rFont val="Roboto"/>
      </rPr>
      <t>https://drive.google.com/open?id=1j5j5rBxASdnVMP1_lg9RTsQoJ7pI3laB</t>
    </r>
  </si>
  <si>
    <r>
      <rPr>
        <u/>
        <sz val="10"/>
        <color rgb="FF1155CC"/>
        <rFont val="Roboto"/>
      </rPr>
      <t>https://drive.google.com/open?id=1LmbJOeQIK0sbCvszEzZe8sRPWm-jDVLi</t>
    </r>
  </si>
  <si>
    <t>Phân tích hiệu quả kinh doanh và chất lượng tín dụng của Ngân hàng TMCP Ngoại thương Việt Nam</t>
  </si>
  <si>
    <r>
      <rPr>
        <u/>
        <sz val="10"/>
        <color rgb="FF1155CC"/>
        <rFont val="Roboto"/>
      </rPr>
      <t>https://drive.google.com/open?id=1njFMEKLvm1xukLYIIskrx-QsnRs-ZoGk</t>
    </r>
  </si>
  <si>
    <r>
      <rPr>
        <u/>
        <sz val="10"/>
        <color rgb="FF1155CC"/>
        <rFont val="Roboto"/>
      </rPr>
      <t>https://drive.google.com/open?id=1mXi3bffSwW2awQmI9DrQNQ01k6gWDsVK</t>
    </r>
  </si>
  <si>
    <r>
      <rPr>
        <u/>
        <sz val="10"/>
        <color rgb="FF1155CC"/>
        <rFont val="Roboto"/>
      </rPr>
      <t>https://drive.google.com/open?id=1tMRdCma0CNGeWbCnWH6WzjAlYGr990Bk</t>
    </r>
  </si>
  <si>
    <t>Phần Như Thành</t>
  </si>
  <si>
    <t>QUẢN TRỊ RỦI RO LÃI SUẤT TẠI NGÂN HÀNG THƯƠNG MẠI CỔ PHẦN KỸ THƯƠNG VIỆT NAM GIAI ĐOẠN 2021-2025</t>
  </si>
  <si>
    <r>
      <rPr>
        <u/>
        <sz val="10"/>
        <color rgb="FF1155CC"/>
        <rFont val="Roboto"/>
      </rPr>
      <t>https://drive.google.com/open?id=10kQLw3Amm8oSsc8MiGZp-QXAeIGZXnNM</t>
    </r>
  </si>
  <si>
    <r>
      <rPr>
        <u/>
        <sz val="10"/>
        <color rgb="FF1155CC"/>
        <rFont val="Roboto"/>
      </rPr>
      <t>https://drive.google.com/open?id=1sPXCxjyMc_3XrEvNonswpWZ70upQRCBM</t>
    </r>
  </si>
  <si>
    <r>
      <rPr>
        <u/>
        <sz val="10"/>
        <color rgb="FF1155CC"/>
        <rFont val="Roboto"/>
      </rPr>
      <t>https://drive.google.com/open?id=1Jok_fEwRabdz_E9mE-xT7nlyBy0M0u8M</t>
    </r>
  </si>
  <si>
    <t>Nghiên cứu phát triển tín dụng xanh tại Ngân hàng Thương mại cổ phần Công Thương Việt Nam</t>
  </si>
  <si>
    <r>
      <rPr>
        <u/>
        <sz val="10"/>
        <color rgb="FF1155CC"/>
        <rFont val="Roboto"/>
      </rPr>
      <t>https://drive.google.com/open?id=1hh2F2csrW4UPCCmcATgiPNtJnvQi8n8V</t>
    </r>
  </si>
  <si>
    <r>
      <rPr>
        <u/>
        <sz val="10"/>
        <color rgb="FF1155CC"/>
        <rFont val="Roboto"/>
      </rPr>
      <t>https://drive.google.com/open?id=1YqsTF8w74O73eFzfOI6wrbdJUsLUQCo7</t>
    </r>
  </si>
  <si>
    <r>
      <rPr>
        <u/>
        <sz val="10"/>
        <color rgb="FF1155CC"/>
        <rFont val="Roboto"/>
      </rPr>
      <t>https://drive.google.com/open?id=1dwdEaDEYgPDSWPLH7dLu76JOLbiac9bk</t>
    </r>
  </si>
  <si>
    <t>ENHANCING MOBILE BANKING SECURITY IN VIETNAM: ISSUES, TRENDS, AND IMPLICATIONS FROM INDUSTRY REPORTS AND ACADEMIC STUDIES</t>
  </si>
  <si>
    <r>
      <rPr>
        <u/>
        <sz val="10"/>
        <color rgb="FF1155CC"/>
        <rFont val="Roboto"/>
      </rPr>
      <t>https://drive.google.com/open?id=1kFHwKnkMGxn5XzdsnSrCvCBM_ig5ivl2</t>
    </r>
  </si>
  <si>
    <r>
      <rPr>
        <u/>
        <sz val="10"/>
        <color rgb="FF1155CC"/>
        <rFont val="Roboto"/>
      </rPr>
      <t>https://drive.google.com/open?id=18YABECxIIVf4ZhToxUTtCfAumeIRvHyI</t>
    </r>
  </si>
  <si>
    <r>
      <rPr>
        <u/>
        <sz val="10"/>
        <color rgb="FF1155CC"/>
        <rFont val="Roboto"/>
      </rPr>
      <t>https://drive.google.com/open?id=1RzQZxaa3bwA6xgfBKocS277ZGwgkneUL</t>
    </r>
  </si>
  <si>
    <t>tuannh21404b@st.uel.edu.vn</t>
  </si>
  <si>
    <t>Đánh giá hiệu quả hoạt động kinh doanh của ngân hàng TMCP Ngoại Thương Việt Nam giai đoạn 2020-2024</t>
  </si>
  <si>
    <r>
      <rPr>
        <u/>
        <sz val="10"/>
        <color rgb="FF1155CC"/>
        <rFont val="Roboto"/>
      </rPr>
      <t>https://drive.google.com/open?id=1M-ll3iHlg2pmh_ncvly2faxfvmbVrKE6</t>
    </r>
  </si>
  <si>
    <r>
      <rPr>
        <u/>
        <sz val="10"/>
        <color rgb="FF1155CC"/>
        <rFont val="Roboto"/>
      </rPr>
      <t>https://drive.google.com/open?id=1fOy9fbBAQS0aPWOWlhR9ZuYBdcQFK2_2</t>
    </r>
  </si>
  <si>
    <r>
      <rPr>
        <u/>
        <sz val="10"/>
        <color rgb="FF1155CC"/>
        <rFont val="Roboto"/>
      </rPr>
      <t>https://drive.google.com/open?id=1A4vwMFf4UDBqegwxjmFOTtgtUEMIED7K</t>
    </r>
  </si>
  <si>
    <r>
      <rPr>
        <u/>
        <sz val="10"/>
        <color rgb="FF1155CC"/>
        <rFont val="Roboto"/>
      </rPr>
      <t>https://drive.google.com/open?id=1ba8IzUY3jxtabRMbik3CoN0rlp12-m3h</t>
    </r>
  </si>
  <si>
    <r>
      <rPr>
        <u/>
        <sz val="10"/>
        <color rgb="FF1155CC"/>
        <rFont val="Roboto"/>
      </rPr>
      <t>https://drive.google.com/open?id=1H9Br6RD5GcMcrwUbLCEvuklQZMCp-2bI</t>
    </r>
  </si>
  <si>
    <r>
      <rPr>
        <u/>
        <sz val="10"/>
        <color rgb="FF1155CC"/>
        <rFont val="Roboto"/>
      </rPr>
      <t>https://drive.google.com/open?id=1SwBFeyAi2ASsIXn3FfsQkBC7CNQFwufv</t>
    </r>
  </si>
  <si>
    <t>PHÂN TÍCH HIỆU QUẢ HOẠT ĐỘNG CỦA NGÂN HÀNG THƯƠNG MẠI CỔ PHẦN Á CHÂU THEO MÔ HÌNH CAMELS</t>
  </si>
  <si>
    <r>
      <rPr>
        <u/>
        <sz val="10"/>
        <color rgb="FF1155CC"/>
        <rFont val="Roboto"/>
      </rPr>
      <t>https://drive.google.com/open?id=1yjJvnvUc78d5Pt5RpP3M8Iu1-gos7ajl</t>
    </r>
  </si>
  <si>
    <r>
      <rPr>
        <u/>
        <sz val="10"/>
        <color rgb="FF1155CC"/>
        <rFont val="Roboto"/>
      </rPr>
      <t>https://drive.google.com/open?id=1-F6kN9gKtt4dklXzEOhQWkbzfr_aMXy5</t>
    </r>
  </si>
  <si>
    <r>
      <rPr>
        <u/>
        <sz val="10"/>
        <color rgb="FF1155CC"/>
        <rFont val="Roboto"/>
      </rPr>
      <t>https://drive.google.com/open?id=19TScq8g8NJTc_wz4Q40ddBOVcNZr2lIg</t>
    </r>
  </si>
  <si>
    <t>HOẠT ĐỘNG HUY ĐỘNG VỐN BẰNG TIỀN GỬI TẠI NGÂN HÀNG TMCP PHÁT TRIỂN TP. HỒ CHÍ MINH – PHÒNG GIAO DỊCH PHƯỚC LONG</t>
  </si>
  <si>
    <r>
      <rPr>
        <u/>
        <sz val="10"/>
        <color rgb="FF1155CC"/>
        <rFont val="Roboto"/>
      </rPr>
      <t>https://drive.google.com/open?id=1CQisGryiw7FxdrIuNrRgDsJr1CXJSuQt</t>
    </r>
  </si>
  <si>
    <r>
      <rPr>
        <u/>
        <sz val="10"/>
        <color rgb="FF1155CC"/>
        <rFont val="Roboto"/>
      </rPr>
      <t>https://drive.google.com/open?id=12M45VCqY3ZclybLgAFdKSvpbvf-wZuMC</t>
    </r>
  </si>
  <si>
    <r>
      <rPr>
        <u/>
        <sz val="10"/>
        <color rgb="FF1155CC"/>
        <rFont val="Roboto"/>
      </rPr>
      <t>https://drive.google.com/open?id=1RvAF1ZXQTAhNPzkAnC7zHSr3PMrc6lhu</t>
    </r>
  </si>
  <si>
    <t>QUẢN TRỊ RỦI RO LÃI SUẤT TẠI NGÂN HÀNG THƯƠNG MẠI CỔ PHẦN VIỆT NAM: TRƯỜNG HỢP NGÂN HÀNG TMCP CÔNG THƯƠNG VIỆT NAM</t>
  </si>
  <si>
    <r>
      <rPr>
        <u/>
        <sz val="10"/>
        <color rgb="FF1155CC"/>
        <rFont val="Roboto"/>
      </rPr>
      <t>https://drive.google.com/open?id=1fhNd2t9lPhYh4dRMHLzyMMraL8Yd8UGS</t>
    </r>
  </si>
  <si>
    <r>
      <rPr>
        <u/>
        <sz val="10"/>
        <color rgb="FF1155CC"/>
        <rFont val="Roboto"/>
      </rPr>
      <t>https://drive.google.com/open?id=11QESkSZ2oPwz6LHqkzJPBp4HwtUmiexb</t>
    </r>
  </si>
  <si>
    <r>
      <rPr>
        <u/>
        <sz val="10"/>
        <color rgb="FF1155CC"/>
        <rFont val="Roboto"/>
      </rPr>
      <t>https://drive.google.com/open?id=1FclAhAv7d_PWMuQMlCVEtccysVJZmI9b</t>
    </r>
  </si>
  <si>
    <t>PHÂN TÍCH BÁO CÁO TÀI CHÍNH NGÂN HÀNG QUÂN ĐỘI (MB)</t>
  </si>
  <si>
    <r>
      <rPr>
        <u/>
        <sz val="10"/>
        <color rgb="FF1155CC"/>
        <rFont val="Roboto"/>
      </rPr>
      <t>https://drive.google.com/open?id=1JZvCg6OUjVE21_Xu6a6S3o5E_uHTdU-z</t>
    </r>
  </si>
  <si>
    <r>
      <rPr>
        <u/>
        <sz val="10"/>
        <color rgb="FF1155CC"/>
        <rFont val="Roboto"/>
      </rPr>
      <t>https://drive.google.com/open?id=1ShbSMF9tQT0Ss9u6_L4yfr4Jp6rhQNBt</t>
    </r>
  </si>
  <si>
    <r>
      <rPr>
        <u/>
        <sz val="10"/>
        <color rgb="FF1155CC"/>
        <rFont val="Roboto"/>
      </rPr>
      <t>https://drive.google.com/open?id=1KdN_XhpgNKqbvvGLDLxUbce1lK8B70Ku</t>
    </r>
  </si>
  <si>
    <t>Phân tích hiệu quả hoạt động kinh doanh của Tập đoàn Masan giai đoạn 2021 - 2024</t>
  </si>
  <si>
    <r>
      <rPr>
        <u/>
        <sz val="10"/>
        <color rgb="FF1155CC"/>
        <rFont val="Roboto"/>
      </rPr>
      <t>https://drive.google.com/open?id=1uZIDBFvUiEmDUcpLLK10GUQhzS00asgT</t>
    </r>
  </si>
  <si>
    <r>
      <rPr>
        <u/>
        <sz val="10"/>
        <color rgb="FF1155CC"/>
        <rFont val="Roboto"/>
      </rPr>
      <t>https://drive.google.com/open?id=1JgmmbGv-SzxNFC9ZEWoRdTt6GKmuQQkN</t>
    </r>
  </si>
  <si>
    <r>
      <rPr>
        <u/>
        <sz val="10"/>
        <color rgb="FF1155CC"/>
        <rFont val="Roboto"/>
      </rPr>
      <t>https://drive.google.com/open?id=1PJBsplG6Hnd4sWTbiDGAlTIs4qBXOgGJ</t>
    </r>
  </si>
  <si>
    <t>PHÂN TÍCH BÁO CÁO TÀI CHÍNH VÀ TÁC ĐỘNG CỦA CÁC ĐIỀU CHỈNH KIỂM TOÁN: TRƯỜNG HỢP CÔNG TY CỔ PHẦN XÂY DỰNG COTECCONS (2016–2025)</t>
  </si>
  <si>
    <r>
      <rPr>
        <u/>
        <sz val="10"/>
        <color rgb="FF1155CC"/>
        <rFont val="Roboto"/>
      </rPr>
      <t>https://drive.google.com/open?id=1Bu_Eo-wabDiAA6RCAAIzYECjdVZWSBRF</t>
    </r>
  </si>
  <si>
    <r>
      <rPr>
        <u/>
        <sz val="10"/>
        <color rgb="FF1155CC"/>
        <rFont val="Roboto"/>
      </rPr>
      <t>https://drive.google.com/open?id=1dax2U7aWpcGfkteyCn-_JSGcwnHSJDKf</t>
    </r>
  </si>
  <si>
    <r>
      <rPr>
        <u/>
        <sz val="10"/>
        <color rgb="FF1155CC"/>
        <rFont val="Roboto"/>
      </rPr>
      <t>https://drive.google.com/open?id=1Y9NB5_gW67HZYyEOWQ3-rW287aRYTUHb</t>
    </r>
  </si>
  <si>
    <t>ESG Effectiveness in firm valuation: The Role Of Financial Constraints - Evidence From Top Carbon-Emitting Economies</t>
  </si>
  <si>
    <r>
      <rPr>
        <u/>
        <sz val="10"/>
        <color rgb="FF1155CC"/>
        <rFont val="Roboto"/>
      </rPr>
      <t>https://drive.google.com/open?id=1rNdK3JD14ZVbj-Cz6xqlraQy-WNL2iDC</t>
    </r>
  </si>
  <si>
    <r>
      <rPr>
        <u/>
        <sz val="10"/>
        <color rgb="FF1155CC"/>
        <rFont val="Roboto"/>
      </rPr>
      <t>https://drive.google.com/open?id=1aRrHXLvMuL1UwsIWu887T_nnXx2XCkRz</t>
    </r>
  </si>
  <si>
    <r>
      <rPr>
        <u/>
        <sz val="10"/>
        <color rgb="FF1155CC"/>
        <rFont val="Roboto"/>
      </rPr>
      <t>https://drive.google.com/open?id=1r8lBLcsjTzwERANNjbJQpg6B_vw-bgw0</t>
    </r>
  </si>
  <si>
    <t>PHÂN TÍCH VÀ ĐÁNH GIÁ HIỆU QUẢ SỬ DỤNG VỐN LƯU ĐỘNG TẠI CÔNG TY CỔ PHẦN VÀNG BẠC ĐÁ QUÝ PHÚ NHUẬN PNJ</t>
  </si>
  <si>
    <r>
      <rPr>
        <u/>
        <sz val="10"/>
        <color rgb="FF1155CC"/>
        <rFont val="Roboto"/>
      </rPr>
      <t>https://drive.google.com/open?id=1zvt-NJ9yTzaAcNwzbB-Tnh-OvzmI55yt</t>
    </r>
  </si>
  <si>
    <r>
      <rPr>
        <u/>
        <sz val="10"/>
        <color rgb="FF1155CC"/>
        <rFont val="Roboto"/>
      </rPr>
      <t>https://drive.google.com/open?id=1EVQ6GiYHb-REG5kccE3b5LibSgsMS5sC</t>
    </r>
  </si>
  <si>
    <r>
      <rPr>
        <u/>
        <sz val="10"/>
        <color rgb="FF1155CC"/>
        <rFont val="Roboto"/>
      </rPr>
      <t>https://drive.google.com/open?id=1oQWOuMBz7ux8B_OhG9NryIqMkKiMxm5c</t>
    </r>
  </si>
  <si>
    <t>CHẤT LƯỢNG TÍN DỤNG TẠI NGÂN HÀNG THƯƠNG MẠI CỔ PHẦN ĐẦU TƯ VÀ PHÁT TRIỂN VIỆT NAM</t>
  </si>
  <si>
    <r>
      <rPr>
        <u/>
        <sz val="10"/>
        <color rgb="FF1155CC"/>
        <rFont val="Roboto"/>
      </rPr>
      <t>https://drive.google.com/open?id=1QiqIzKXdWMz-o--GY772FmJfFOHIH0Y1</t>
    </r>
  </si>
  <si>
    <r>
      <rPr>
        <u/>
        <sz val="10"/>
        <color rgb="FF1155CC"/>
        <rFont val="Roboto"/>
      </rPr>
      <t>https://drive.google.com/open?id=19ceLu-U4vGjH724C5RDV7tR8hr2Ot5Z7</t>
    </r>
  </si>
  <si>
    <r>
      <rPr>
        <u/>
        <sz val="10"/>
        <color rgb="FF1155CC"/>
        <rFont val="Roboto"/>
      </rPr>
      <t>https://drive.google.com/open?id=1KjCZihFNGzKiKLdTI-6AVeBy_kpI712m</t>
    </r>
  </si>
  <si>
    <t>ỨNG DỤNG FINTECH TRONG HỖ TRỢ QUẢN LÝ RỦI RO TÍN DỤNG TẠI NGÂN HÀNG THƯƠNG MẠI</t>
  </si>
  <si>
    <r>
      <rPr>
        <u/>
        <sz val="10"/>
        <color rgb="FF1155CC"/>
        <rFont val="Roboto"/>
      </rPr>
      <t>https://drive.google.com/open?id=121uf3fdsCyfF8k4KO34fgQdYmOJXrazd</t>
    </r>
  </si>
  <si>
    <r>
      <rPr>
        <u/>
        <sz val="10"/>
        <color rgb="FF1155CC"/>
        <rFont val="Roboto"/>
      </rPr>
      <t>https://drive.google.com/open?id=12Hh-qzEoVboCBKr8vi2kwnlAiKUTz67c</t>
    </r>
  </si>
  <si>
    <r>
      <rPr>
        <u/>
        <sz val="10"/>
        <color rgb="FF1155CC"/>
        <rFont val="Roboto"/>
      </rPr>
      <t>https://drive.google.com/open?id=1RHaUSR_HCYP3uKCcZwk84XSraSlvb7nn</t>
    </r>
  </si>
  <si>
    <t>CHO VAY TÁI TÀI TRỢ KHÁCH HÀNG CÁ NHÂN TẠI NGÂN HÀNG THƯƠNG MẠI CỔ PHẦN QUÂN ĐỘI</t>
  </si>
  <si>
    <r>
      <rPr>
        <u/>
        <sz val="10"/>
        <color rgb="FF1155CC"/>
        <rFont val="Roboto"/>
      </rPr>
      <t>https://drive.google.com/open?id=1Mq4-VKEia6FH24De7Yezq43w93wRxo4V</t>
    </r>
  </si>
  <si>
    <r>
      <rPr>
        <u/>
        <sz val="10"/>
        <color rgb="FF1155CC"/>
        <rFont val="Roboto"/>
      </rPr>
      <t>https://drive.google.com/open?id=1endl0Go8GLff76ocHMajRIh977yStX0r</t>
    </r>
  </si>
  <si>
    <r>
      <rPr>
        <u/>
        <sz val="10"/>
        <color rgb="FF1155CC"/>
        <rFont val="Roboto"/>
      </rPr>
      <t>https://drive.google.com/open?id=1r68QJQ1mMD8Av1cnVNZOkZTnqc0Y0TW5</t>
    </r>
  </si>
  <si>
    <t>Áp dụng mô hình CAMEL để đánh giá hiệu quả hoạt động tại các ngân hàng thương mại. Trường hợp: Ngân hàng thương mại cổ phần Ngoại thương Việt Nam - Vietcombank</t>
  </si>
  <si>
    <r>
      <rPr>
        <u/>
        <sz val="10"/>
        <color rgb="FF1155CC"/>
        <rFont val="Roboto"/>
      </rPr>
      <t>https://drive.google.com/open?id=1KR04N0QlqrkKD0d91gz231YeZUkB5O2O</t>
    </r>
  </si>
  <si>
    <r>
      <rPr>
        <u/>
        <sz val="10"/>
        <color rgb="FF1155CC"/>
        <rFont val="Roboto"/>
      </rPr>
      <t>https://drive.google.com/open?id=1jc7XRc6RL2KR4Ymqr1GFempKyH_DcCym</t>
    </r>
  </si>
  <si>
    <r>
      <rPr>
        <u/>
        <sz val="10"/>
        <color rgb="FF1155CC"/>
        <rFont val="Roboto"/>
      </rPr>
      <t>https://drive.google.com/open?id=1aTqDLKycDtyWjzTzPNezFraPa6hiTjXh</t>
    </r>
  </si>
  <si>
    <t>THE IMPACT OF RETAIL LENDING ON THE OPERATIONAL PERFORMANCE OF JOINT STOCK COMMERCIAL BANK FOR INVESTMENT AND DEVELOPMENT OF VIETNAM - DONG SAI GON BRANCH</t>
  </si>
  <si>
    <r>
      <rPr>
        <u/>
        <sz val="10"/>
        <color rgb="FF1155CC"/>
        <rFont val="Roboto"/>
      </rPr>
      <t>https://drive.google.com/open?id=1rnzoHGD_-HxQKIMIKdTp8olBmZspIXw5</t>
    </r>
  </si>
  <si>
    <r>
      <rPr>
        <u/>
        <sz val="10"/>
        <color rgb="FF1155CC"/>
        <rFont val="Roboto"/>
      </rPr>
      <t>https://drive.google.com/open?id=1ezcXn8Cf6Wm4Ug-923MS8OsXvX62Btoq</t>
    </r>
  </si>
  <si>
    <r>
      <rPr>
        <u/>
        <sz val="10"/>
        <color rgb="FF1155CC"/>
        <rFont val="Roboto"/>
      </rPr>
      <t>https://drive.google.com/open?id=1ZB3b1wvCIUVqcEN_8ln5cO0-pJktbop2</t>
    </r>
  </si>
  <si>
    <t>ĐÁNH GIÁ NĂNG LỰC VÀ HIỆU QUẢ HOẠT ĐỘNG CỦA CÔNG TY CỔ PHẦN CHỨNG KHOÁN VPBANK GIAI ĐOẠN 2020 - 2024</t>
  </si>
  <si>
    <r>
      <rPr>
        <u/>
        <sz val="10"/>
        <color rgb="FF1155CC"/>
        <rFont val="Roboto"/>
      </rPr>
      <t>https://drive.google.com/open?id=1SbD4GdRRkC8s75qDF-LRmYtCubljHmrb</t>
    </r>
  </si>
  <si>
    <r>
      <rPr>
        <u/>
        <sz val="10"/>
        <color rgb="FF1155CC"/>
        <rFont val="Roboto"/>
      </rPr>
      <t>https://drive.google.com/open?id=198Ww9sQDZ48OpszgfAFrx7LZfiDwLUGd</t>
    </r>
  </si>
  <si>
    <r>
      <rPr>
        <u/>
        <sz val="10"/>
        <color rgb="FF1155CC"/>
        <rFont val="Roboto"/>
      </rPr>
      <t>https://drive.google.com/open?id=1RUdqhymomyF5kXLNTAN3RzCIQvNfYwRB</t>
    </r>
  </si>
  <si>
    <t>Các nhân tố ảnh hưởng đến rủi ro tín dụng tại các ngân hàng thương mại Việt Nam trong giai đoạn 2020 - 2024</t>
  </si>
  <si>
    <r>
      <rPr>
        <u/>
        <sz val="10"/>
        <color rgb="FF1155CC"/>
        <rFont val="Roboto"/>
      </rPr>
      <t>https://drive.google.com/open?id=11tlUaWLx5fLi9jgWlR9PHYbkseFLdBic</t>
    </r>
  </si>
  <si>
    <r>
      <rPr>
        <u/>
        <sz val="10"/>
        <color rgb="FF1155CC"/>
        <rFont val="Roboto"/>
      </rPr>
      <t>https://drive.google.com/open?id=1eyFNDi4MB_1xPTC-gX0YL_KxVahP6vLs</t>
    </r>
  </si>
  <si>
    <r>
      <rPr>
        <u/>
        <sz val="10"/>
        <color rgb="FF1155CC"/>
        <rFont val="Roboto"/>
      </rPr>
      <t>https://drive.google.com/open?id=1_UmcfdovAHc7Trg7WY9uNkf8VqBFhE5s</t>
    </r>
  </si>
  <si>
    <t>DETERMINANTS OF NON-PERFORMING LOANS IN VIETNAMESE COMMERCIAL BANKS</t>
  </si>
  <si>
    <r>
      <rPr>
        <u/>
        <sz val="10"/>
        <color rgb="FF1155CC"/>
        <rFont val="Roboto"/>
      </rPr>
      <t>https://drive.google.com/open?id=1hldMmJfcxpGlXTxLGRQEqbAR3zTAGcsT</t>
    </r>
  </si>
  <si>
    <r>
      <rPr>
        <u/>
        <sz val="10"/>
        <color rgb="FF1155CC"/>
        <rFont val="Roboto"/>
      </rPr>
      <t>https://drive.google.com/open?id=1TXkbNt5M-Pk7MDtugny0dJ6szafeBiA1</t>
    </r>
  </si>
  <si>
    <r>
      <rPr>
        <u/>
        <sz val="10"/>
        <color rgb="FF1155CC"/>
        <rFont val="Roboto"/>
      </rPr>
      <t>https://drive.google.com/open?id=1LpOXVN9Ye9IAHjOeK63Sr5JRlxOeyG4Y</t>
    </r>
  </si>
  <si>
    <t>ĐÁNH GIÁ HIỆU QUẢ HUY ĐỘNG VỐN TẠI NGÂN HÀNG THƯƠNG MẠI CỔ PHẦN ĐẦU TƯ VÀ PHÁT TRIỂN VIỆT NAM GIAI ĐOẠN 2022 – 2024</t>
  </si>
  <si>
    <r>
      <rPr>
        <u/>
        <sz val="10"/>
        <color rgb="FF1155CC"/>
        <rFont val="Roboto"/>
      </rPr>
      <t>https://drive.google.com/open?id=1nA7K7Vhn69dboRl01c9mQeXuXl1Tskg_</t>
    </r>
  </si>
  <si>
    <r>
      <rPr>
        <u/>
        <sz val="10"/>
        <color rgb="FF1155CC"/>
        <rFont val="Roboto"/>
      </rPr>
      <t>https://drive.google.com/open?id=11CYBTNHqcco5U-6f9ryLtYN3qVjNRIDo</t>
    </r>
  </si>
  <si>
    <r>
      <rPr>
        <u/>
        <sz val="10"/>
        <color rgb="FF1155CC"/>
        <rFont val="Roboto"/>
      </rPr>
      <t>https://drive.google.com/open?id=1jevEfvHDUB3Ta6ZINIULoZAqvfXwcjtI</t>
    </r>
  </si>
  <si>
    <t>AN ANALYSIS OF THE BUSINESS PROCESS OF BUSINESS PROCESS SOLUTIONS (BPS) SERVICES AT RSM VIETNAM AUDITING AND CONSULTING COMPANY LIMITED</t>
  </si>
  <si>
    <r>
      <rPr>
        <u/>
        <sz val="10"/>
        <color rgb="FF1155CC"/>
        <rFont val="Roboto"/>
      </rPr>
      <t>https://drive.google.com/open?id=1fDvbbo2zQ1LxyOouNhSKWp6GOAdJa3JO</t>
    </r>
  </si>
  <si>
    <r>
      <rPr>
        <u/>
        <sz val="10"/>
        <color rgb="FF1155CC"/>
        <rFont val="Roboto"/>
      </rPr>
      <t>https://drive.google.com/open?id=1sLiGrDnV7IG4h0Znjc3mMTXX-KThElYX</t>
    </r>
  </si>
  <si>
    <r>
      <rPr>
        <u/>
        <sz val="10"/>
        <color rgb="FF1155CC"/>
        <rFont val="Roboto"/>
      </rPr>
      <t>https://drive.google.com/open?id=1xpBCQY8ivn792AhVl9I2Or-HAr_8j1RF</t>
    </r>
  </si>
  <si>
    <t>Ứng dụng mô hình CAMEL để phân tích hiệu quả hoạt động của Ngân hàng TMCP Quân đội</t>
  </si>
  <si>
    <r>
      <rPr>
        <u/>
        <sz val="10"/>
        <color rgb="FF1155CC"/>
        <rFont val="Roboto"/>
      </rPr>
      <t>https://drive.google.com/open?id=1P0r-M7OY6zhalS5Zz_B1BUsyhp_2NwGq</t>
    </r>
  </si>
  <si>
    <r>
      <rPr>
        <u/>
        <sz val="10"/>
        <color rgb="FF1155CC"/>
        <rFont val="Roboto"/>
      </rPr>
      <t>https://drive.google.com/open?id=1Jc4GX3_xcnOoejMTxfK5VexoBcer3t25</t>
    </r>
  </si>
  <si>
    <r>
      <rPr>
        <u/>
        <sz val="10"/>
        <color rgb="FF1155CC"/>
        <rFont val="Roboto"/>
      </rPr>
      <t>https://drive.google.com/open?id=1EftjmL-NDQGwumacrrLxLX-dheGvSItW</t>
    </r>
  </si>
  <si>
    <t>TÁC ĐỘNG CỦA QUÁ TRÌNH TÁI CƠ CẤU ĐẾN HIỆU QUẢ HOẠT ĐỘNG TÍN DỤNG TẠI NGÂN HÀNG MBV – CHI NHÁNH THỦ THIÊM</t>
  </si>
  <si>
    <r>
      <rPr>
        <u/>
        <sz val="10"/>
        <color rgb="FF1155CC"/>
        <rFont val="Roboto"/>
      </rPr>
      <t>https://drive.google.com/open?id=13cI9fRwQi8A2iTFIsx8RE2Yg0ZxO05BS</t>
    </r>
  </si>
  <si>
    <r>
      <rPr>
        <u/>
        <sz val="10"/>
        <color rgb="FF1155CC"/>
        <rFont val="Roboto"/>
      </rPr>
      <t>https://drive.google.com/open?id=1kuZMBgh2CGjHIIJlwndV9ItZRH7njz0Z</t>
    </r>
  </si>
  <si>
    <r>
      <rPr>
        <u/>
        <sz val="10"/>
        <color rgb="FF1155CC"/>
        <rFont val="Roboto"/>
      </rPr>
      <t>https://drive.google.com/open?id=1bCHw5PhdUl_7SQCMHyLSQ-OLAhyrC2KQ</t>
    </r>
  </si>
  <si>
    <t>ĐÁNH GIÁ RỦI RO TÍN DỤNG DOANH NGHIỆP TẠI NGÂN HÀNG TMCP PHÁT TRIỂN TP.HCM (HDBANK) – CHI NHÁNH HÀNG XANH</t>
  </si>
  <si>
    <r>
      <rPr>
        <u/>
        <sz val="10"/>
        <color rgb="FF1155CC"/>
        <rFont val="Roboto"/>
      </rPr>
      <t>https://drive.google.com/open?id=1yofo63fawDqReVnZWKC6McytT12u3qhc</t>
    </r>
  </si>
  <si>
    <r>
      <rPr>
        <u/>
        <sz val="10"/>
        <color rgb="FF1155CC"/>
        <rFont val="Roboto"/>
      </rPr>
      <t>https://drive.google.com/open?id=1LcXoftxxG7-s_RW0fIpkWfv0TIkDR5It</t>
    </r>
  </si>
  <si>
    <r>
      <rPr>
        <u/>
        <sz val="10"/>
        <color rgb="FF1155CC"/>
        <rFont val="Roboto"/>
      </rPr>
      <t>https://drive.google.com/open?id=1SipAGX1Wk1G1Jqg9V05aMmyXQe3EZkt3</t>
    </r>
  </si>
  <si>
    <t>Phân tích hoạt động tín dụng Khách hàng cá nhân Ngân hàng TMCP Quốc Tế Việt Nam - VIB</t>
  </si>
  <si>
    <r>
      <rPr>
        <u/>
        <sz val="10"/>
        <color rgb="FF1155CC"/>
        <rFont val="Roboto"/>
      </rPr>
      <t>https://drive.google.com/open?id=1Yt6qzuVkshC_R2BZuCdMiJUafyPOk7eu</t>
    </r>
  </si>
  <si>
    <r>
      <rPr>
        <u/>
        <sz val="10"/>
        <color rgb="FF1155CC"/>
        <rFont val="Roboto"/>
      </rPr>
      <t>https://drive.google.com/open?id=1Ta2xVGTXikDcxe_CdeQjfiyR77meMr2p</t>
    </r>
  </si>
  <si>
    <r>
      <rPr>
        <u/>
        <sz val="10"/>
        <color rgb="FF1155CC"/>
        <rFont val="Roboto"/>
      </rPr>
      <t>https://drive.google.com/open?id=1TgeOOunnCUA52DvmInUyOOn3Qe24sM7d</t>
    </r>
  </si>
  <si>
    <t>CSR và hiệu quả tài chính các doanh nghiệp niêm yết tại Việt Nam</t>
  </si>
  <si>
    <r>
      <rPr>
        <u/>
        <sz val="10"/>
        <color rgb="FF1155CC"/>
        <rFont val="Roboto"/>
      </rPr>
      <t>https://drive.google.com/open?id=1IDPOlKsqLLNMDxIlcONnP1dhnmhpG3e2</t>
    </r>
  </si>
  <si>
    <r>
      <rPr>
        <u/>
        <sz val="10"/>
        <color rgb="FF1155CC"/>
        <rFont val="Roboto"/>
      </rPr>
      <t>https://drive.google.com/open?id=1cRP1eJaxpoDcx0wnmMJxLIlCRHkje5Vo</t>
    </r>
  </si>
  <si>
    <r>
      <rPr>
        <u/>
        <sz val="10"/>
        <color rgb="FF1155CC"/>
        <rFont val="Roboto"/>
      </rPr>
      <t>https://drive.google.com/open?id=17LOd93CnW4oauoPX5OpPGKbNuIMslXQf</t>
    </r>
  </si>
  <si>
    <t>An Assessment of Digital Transformation at Asia Commercial Joint Stock Bank</t>
  </si>
  <si>
    <r>
      <rPr>
        <u/>
        <sz val="10"/>
        <color rgb="FF1155CC"/>
        <rFont val="Roboto"/>
      </rPr>
      <t>https://drive.google.com/open?id=174qWnzIUwu3xhiZfD8biTJ16pOHlnNdQ</t>
    </r>
  </si>
  <si>
    <r>
      <rPr>
        <u/>
        <sz val="10"/>
        <color rgb="FF1155CC"/>
        <rFont val="Roboto"/>
      </rPr>
      <t>https://drive.google.com/open?id=163W2WXqlFzr4shovAoFb6uMLUbe-NSq0</t>
    </r>
  </si>
  <si>
    <r>
      <rPr>
        <u/>
        <sz val="10"/>
        <color rgb="FF1155CC"/>
        <rFont val="Roboto"/>
      </rPr>
      <t>https://drive.google.com/open?id=1BnIVncCOcdJF6v84NxGLYeyKkujImA0X</t>
    </r>
  </si>
  <si>
    <t>FACTORS AFFECTING CREDIT RISK IN THE CONSUMER LOAN PORTFOLIO AT VIETNAM EXPORT IMPORT COMMERCIAL JOINT STOCK BANK (EIB) FOR THE PERIOD 2022-2024</t>
  </si>
  <si>
    <r>
      <rPr>
        <u/>
        <sz val="10"/>
        <color rgb="FF1155CC"/>
        <rFont val="Roboto"/>
      </rPr>
      <t>https://drive.google.com/open?id=17BEXSfx0QKUT4_TtDuQP-LMLbs554c8d</t>
    </r>
  </si>
  <si>
    <t>Xây dựng hệ thống RAG phân tích báo cáo tài chính tự động</t>
  </si>
  <si>
    <r>
      <rPr>
        <u/>
        <sz val="10"/>
        <color rgb="FF1155CC"/>
        <rFont val="Roboto"/>
      </rPr>
      <t>https://drive.google.com/open?id=1Ag5D6utNIKCVxPXwweCPQCxkS7lPhB1c</t>
    </r>
  </si>
  <si>
    <r>
      <rPr>
        <u/>
        <sz val="10"/>
        <color rgb="FF1155CC"/>
        <rFont val="Roboto"/>
      </rPr>
      <t>https://drive.google.com/open?id=1DpLlA7ntdcCv94TurUbt9tzkKJRmtR6W</t>
    </r>
  </si>
  <si>
    <r>
      <rPr>
        <u/>
        <sz val="10"/>
        <color rgb="FF1155CC"/>
        <rFont val="Roboto"/>
      </rPr>
      <t>https://drive.google.com/open?id=1cmsLf-6_xmxl1dlYyznFpzsWa9yjYVzp</t>
    </r>
  </si>
  <si>
    <t>LÊ BẢO NGÂN</t>
  </si>
  <si>
    <t>EVALUATION OF LENDING ACTIVITIES AT FORTUNE VIETNAM JOINT STOCK COMMERCIAL BANK</t>
  </si>
  <si>
    <r>
      <rPr>
        <u/>
        <sz val="10"/>
        <color rgb="FF1155CC"/>
        <rFont val="Roboto"/>
      </rPr>
      <t>https://drive.google.com/open?id=1Fdip9shDOGotAU6dYud5DuVjXhAE7J2V</t>
    </r>
  </si>
  <si>
    <r>
      <rPr>
        <u/>
        <sz val="10"/>
        <color rgb="FF1155CC"/>
        <rFont val="Roboto"/>
      </rPr>
      <t>https://drive.google.com/open?id=1Irfq0QCOeafOKhtbWVaq3tXrBM-WPXUJ</t>
    </r>
  </si>
  <si>
    <r>
      <rPr>
        <u/>
        <sz val="10"/>
        <color rgb="FF1155CC"/>
        <rFont val="Roboto"/>
      </rPr>
      <t>https://drive.google.com/open?id=1rCaXrFMUF0cCSLI0u_2dWD5Dsb76P0vE</t>
    </r>
  </si>
  <si>
    <t>Lending activities to individual customers for home purchases at Joint Stock Commercial Bank for Investment and Development of Vietnam (BIDV) - East Saigon Branch</t>
  </si>
  <si>
    <r>
      <rPr>
        <u/>
        <sz val="10"/>
        <color rgb="FF1155CC"/>
        <rFont val="Roboto"/>
      </rPr>
      <t>https://drive.google.com/open?id=1XvwWo1Up79UlVSR0gkFNjLdaBtyXAztC</t>
    </r>
  </si>
  <si>
    <r>
      <rPr>
        <u/>
        <sz val="10"/>
        <color rgb="FF1155CC"/>
        <rFont val="Roboto"/>
      </rPr>
      <t>https://drive.google.com/open?id=19m7N2P7Kz6V_Lh_mwGaHlutjXk_Ju26h</t>
    </r>
  </si>
  <si>
    <r>
      <rPr>
        <u/>
        <sz val="10"/>
        <color rgb="FF1155CC"/>
        <rFont val="Roboto"/>
      </rPr>
      <t>https://drive.google.com/open?id=1aVJPNkyxt72OWW4oZI0YmF6HPgd6Zy1_</t>
    </r>
  </si>
  <si>
    <t>ĐÁNH GIÁ QUY TRÌNH KIỂM SOÁT VÀ HOÀN THIỆN LƯU TRỮ HỒ SƠ TÍN DỤNG TẠI NGÂN HÀNG TMCP CÔNG THƯƠNG VIỆT NAM (VIETINBANK) – CHI NHÁNH THỦ ĐỨC</t>
  </si>
  <si>
    <r>
      <rPr>
        <u/>
        <sz val="10"/>
        <color rgb="FF1155CC"/>
        <rFont val="Roboto"/>
      </rPr>
      <t>https://drive.google.com/open?id=1oyu1JSRH08enJQtF7rSrZdieCyAIKxow</t>
    </r>
  </si>
  <si>
    <r>
      <rPr>
        <u/>
        <sz val="10"/>
        <color rgb="FF1155CC"/>
        <rFont val="Roboto"/>
      </rPr>
      <t>https://drive.google.com/open?id=1IfcrmeGy2Iw2ygjQQOl3s97hYDiPdXrB</t>
    </r>
  </si>
  <si>
    <r>
      <rPr>
        <u/>
        <sz val="10"/>
        <color rgb="FF1155CC"/>
        <rFont val="Roboto"/>
      </rPr>
      <t>https://drive.google.com/open?id=1Xma61F0WgO4Sg6PXa3_vX0FflQhn1xnS</t>
    </r>
  </si>
  <si>
    <t>Đánh giá hiệu quả huy động vốn của Ngân hàng TMCP Đầu tư và Phát triển Việt Nam (BIDV)</t>
  </si>
  <si>
    <r>
      <rPr>
        <u/>
        <sz val="10"/>
        <color rgb="FF1155CC"/>
        <rFont val="Roboto"/>
      </rPr>
      <t>https://drive.google.com/open?id=1tSBKQMPAxGt2jLIhSMRiBOihgV1Ly3Xg</t>
    </r>
  </si>
  <si>
    <r>
      <rPr>
        <u/>
        <sz val="10"/>
        <color rgb="FF1155CC"/>
        <rFont val="Roboto"/>
      </rPr>
      <t>https://drive.google.com/open?id=1v3jlv1Z8oGRnQintXpBv6AJNrvdrZ326</t>
    </r>
  </si>
  <si>
    <r>
      <rPr>
        <u/>
        <sz val="10"/>
        <color rgb="FF1155CC"/>
        <rFont val="Roboto"/>
      </rPr>
      <t>https://drive.google.com/open?id=1xdWm_hEkgsfxEmhh6q4r-C41nCQ2gZfO</t>
    </r>
  </si>
  <si>
    <t>Nộp Báo cáo thực tập và Khóa luận tốt nghiệp</t>
  </si>
  <si>
    <r>
      <rPr>
        <u/>
        <sz val="10"/>
        <color rgb="FF1155CC"/>
        <rFont val="Roboto"/>
      </rPr>
      <t>https://drive.google.com/open?id=1GZZ-i-oASBLWM_Xd12YThhxdlE5G7yCt</t>
    </r>
  </si>
  <si>
    <r>
      <rPr>
        <u/>
        <sz val="10"/>
        <color rgb="FF1155CC"/>
        <rFont val="Roboto"/>
      </rPr>
      <t>https://drive.google.com/open?id=1V_zp4exDbaylBSD8HZfPMfGkNUYisvQm</t>
    </r>
  </si>
  <si>
    <r>
      <rPr>
        <u/>
        <sz val="10"/>
        <color rgb="FF1155CC"/>
        <rFont val="Roboto"/>
      </rPr>
      <t>https://drive.google.com/open?id=1teVeQvKnkxgPoK2cZ4BZQLcDbAMe9Lxv</t>
    </r>
  </si>
  <si>
    <r>
      <rPr>
        <u/>
        <sz val="10"/>
        <color rgb="FF1155CC"/>
        <rFont val="Roboto"/>
      </rPr>
      <t>https://drive.google.com/open?id=1GHkdn3sqgcwT1dyaKtr2HHdGYl5sGDfg</t>
    </r>
  </si>
  <si>
    <r>
      <rPr>
        <u/>
        <sz val="10"/>
        <color rgb="FF1155CC"/>
        <rFont val="Roboto"/>
      </rPr>
      <t>https://drive.google.com/open?id=1vM7CE9t45D1zVKTv_nN1Sl8NgF0nvaKN</t>
    </r>
  </si>
  <si>
    <r>
      <rPr>
        <u/>
        <sz val="10"/>
        <color rgb="FF1155CC"/>
        <rFont val="Roboto"/>
      </rPr>
      <t>https://drive.google.com/open?id=1osmXkI567a34b2AyD5AqFVQKABHH_t9_</t>
    </r>
  </si>
  <si>
    <r>
      <rPr>
        <u/>
        <sz val="10"/>
        <color rgb="FF1155CC"/>
        <rFont val="Roboto"/>
      </rPr>
      <t>https://drive.google.com/open?id=1wq0UPsQPRRJJi6aCaOsYlDy2iVOIzeV2</t>
    </r>
  </si>
  <si>
    <r>
      <rPr>
        <u/>
        <sz val="10"/>
        <color rgb="FF1155CC"/>
        <rFont val="Roboto"/>
      </rPr>
      <t>https://drive.google.com/open?id=1j3VkCpHi14ZozTjXxGVtI1xsBZAEIS6H</t>
    </r>
  </si>
  <si>
    <r>
      <rPr>
        <u/>
        <sz val="10"/>
        <color rgb="FF1155CC"/>
        <rFont val="Roboto"/>
      </rPr>
      <t>https://drive.google.com/open?id=1jmYE8Sp2ntU7UR_ZOWxu7RL1_zROlBP_</t>
    </r>
  </si>
  <si>
    <r>
      <rPr>
        <u/>
        <sz val="10"/>
        <color rgb="FF1155CC"/>
        <rFont val="Roboto"/>
      </rPr>
      <t>https://drive.google.com/open?id=1kya26-NPUvOma88JNHpEfC91nIi5w3p2</t>
    </r>
  </si>
  <si>
    <r>
      <rPr>
        <u/>
        <sz val="10"/>
        <color rgb="FF1155CC"/>
        <rFont val="Roboto"/>
      </rPr>
      <t>https://drive.google.com/open?id=1C9PPQymOOu9FxcPWy1KNGIASBoUJ1k_j</t>
    </r>
  </si>
  <si>
    <r>
      <rPr>
        <u/>
        <sz val="10"/>
        <color rgb="FF1155CC"/>
        <rFont val="Roboto"/>
      </rPr>
      <t>https://drive.google.com/open?id=1zjmZW8vVWZ9eXIQdyqmPkMCaO2bFofKe</t>
    </r>
  </si>
  <si>
    <r>
      <rPr>
        <u/>
        <sz val="10"/>
        <color rgb="FF1155CC"/>
        <rFont val="Roboto"/>
      </rPr>
      <t>https://drive.google.com/open?id=11L4fW4WtnDIuCshuoUdjXqKbIGEXW13h</t>
    </r>
  </si>
  <si>
    <r>
      <rPr>
        <u/>
        <sz val="10"/>
        <color rgb="FF1155CC"/>
        <rFont val="Roboto"/>
      </rPr>
      <t>https://drive.google.com/open?id=1IaMRYSPeRnM8BPlKUZJOzUC3D2eFit66</t>
    </r>
  </si>
  <si>
    <t>PHAN TRỌNG QUÍ</t>
  </si>
  <si>
    <t>404ca</t>
  </si>
  <si>
    <t>HOẠT ĐỘNG CHO VAY SẢN XUẤT KINH DOANH ĐỐI VỚI KHÁCH HÀNG CÁ NHÂN TẠI NGÂN HÀNG THƯƠNG MẠI CỔ PHẦN PHÁT TRIỂN THÀNH PHỐ HỒ CHÍ MINH – CHI NHÁNH GIA ĐỊNH – PHÒNG GIAO DỊCH NAM SÀI GÒN</t>
  </si>
  <si>
    <r>
      <rPr>
        <u/>
        <sz val="10"/>
        <color rgb="FF1155CC"/>
        <rFont val="Roboto"/>
      </rPr>
      <t>https://drive.google.com/open?id=16QJLHghsRBKPh1rWSFi9ZZ0IT3-4qmOD</t>
    </r>
  </si>
  <si>
    <r>
      <rPr>
        <u/>
        <sz val="10"/>
        <color rgb="FF1155CC"/>
        <rFont val="Roboto"/>
      </rPr>
      <t>https://drive.google.com/open?id=1UYaDws5tqwrllIoPgSPpPTzSsxJfHOm7</t>
    </r>
  </si>
  <si>
    <r>
      <rPr>
        <u/>
        <sz val="10"/>
        <color rgb="FF1155CC"/>
        <rFont val="Roboto"/>
      </rPr>
      <t>https://drive.google.com/open?id=13m23uLAStHyxZqDD5PTUP137-UARmYlm</t>
    </r>
  </si>
  <si>
    <r>
      <rPr>
        <u/>
        <sz val="10"/>
        <color rgb="FF1155CC"/>
        <rFont val="Roboto"/>
      </rPr>
      <t>https://drive.google.com/open?id=1zV0AxzFWbckwNf0kiz2DTMLGHOlco-wW</t>
    </r>
  </si>
  <si>
    <r>
      <rPr>
        <u/>
        <sz val="10"/>
        <color rgb="FF1155CC"/>
        <rFont val="Roboto"/>
      </rPr>
      <t>https://drive.google.com/open?id=110H8X-dw2HSEOhomYFYPOzL6C3Gqrfcs</t>
    </r>
  </si>
  <si>
    <r>
      <rPr>
        <u/>
        <sz val="10"/>
        <color rgb="FF1155CC"/>
        <rFont val="Roboto"/>
      </rPr>
      <t>https://drive.google.com/open?id=15cuhP7X0kFiEFjHfzu6A2QaGrxHJQz5l</t>
    </r>
  </si>
  <si>
    <t>Xây dựng hệ thống Chatbot tư vấn sản phẩm dịch vụ ngân hàng tích hợp AI cho tệp khách hàng cá nhân của Ngân hàng MBV</t>
  </si>
  <si>
    <r>
      <rPr>
        <u/>
        <sz val="10"/>
        <color rgb="FF1155CC"/>
        <rFont val="Roboto"/>
      </rPr>
      <t>https://drive.google.com/open?id=1UlLjmX6BriGlw_iurNNlMJ8lyZhZlwQp</t>
    </r>
  </si>
  <si>
    <r>
      <rPr>
        <u/>
        <sz val="10"/>
        <color rgb="FF1155CC"/>
        <rFont val="Roboto"/>
      </rPr>
      <t>https://drive.google.com/open?id=1-lpECFek7Fi4mZZ7d2yurXBNdeatoj5j</t>
    </r>
  </si>
  <si>
    <r>
      <rPr>
        <u/>
        <sz val="10"/>
        <color rgb="FF1155CC"/>
        <rFont val="Roboto"/>
      </rPr>
      <t>https://drive.google.com/open?id=1iUtXqJVB40o8_2D_N1MFwy-nkPPTHleL</t>
    </r>
  </si>
  <si>
    <r>
      <rPr>
        <u/>
        <sz val="10"/>
        <color rgb="FF1155CC"/>
        <rFont val="Roboto"/>
      </rPr>
      <t>https://drive.google.com/open?id=1RvKcqo8SySvvbr_jmQ3b5GjRG1FCT5Ac</t>
    </r>
  </si>
  <si>
    <r>
      <rPr>
        <u/>
        <sz val="10"/>
        <color rgb="FF1155CC"/>
        <rFont val="Roboto"/>
      </rPr>
      <t>https://drive.google.com/open?id=1t5-pgW_hABSPnr8a7HZ4IYkNEp7OXIzt</t>
    </r>
  </si>
  <si>
    <r>
      <rPr>
        <u/>
        <sz val="10"/>
        <color rgb="FF1155CC"/>
        <rFont val="Roboto"/>
      </rPr>
      <t>https://drive.google.com/open?id=1yD169K8t4wO1Xdligi8fcduKjaNp5sWf</t>
    </r>
  </si>
  <si>
    <r>
      <rPr>
        <u/>
        <sz val="10"/>
        <color rgb="FF1155CC"/>
        <rFont val="Roboto"/>
      </rPr>
      <t>https://drive.google.com/open?id=1aE41IHUfgLFXxUzcxHF8y7ZaWU-6dMRZ</t>
    </r>
  </si>
  <si>
    <r>
      <rPr>
        <u/>
        <sz val="10"/>
        <color rgb="FF1155CC"/>
        <rFont val="Roboto"/>
      </rPr>
      <t>https://drive.google.com/open?id=1y7TOegs3z_T7eIDnSdP-ssisxEsS-w7Y</t>
    </r>
  </si>
  <si>
    <t>Factors affecting financial distress risk measured by Altman Z-score: Evidence from manufacturing firms listed on the Ho Chi Minh Stock Exchange</t>
  </si>
  <si>
    <r>
      <rPr>
        <u/>
        <sz val="10"/>
        <color rgb="FF1155CC"/>
        <rFont val="Roboto"/>
      </rPr>
      <t>https://drive.google.com/open?id=1K9rlE9_aoGuK_-lfK9OA8eSSCxyVgcI3</t>
    </r>
  </si>
  <si>
    <r>
      <rPr>
        <u/>
        <sz val="10"/>
        <color rgb="FF1155CC"/>
        <rFont val="Roboto"/>
      </rPr>
      <t>https://drive.google.com/open?id=1wq2sKRTipdTr4m9r4GDhixXUTaN05Npx</t>
    </r>
  </si>
  <si>
    <r>
      <rPr>
        <u/>
        <sz val="10"/>
        <color rgb="FF1155CC"/>
        <rFont val="Roboto"/>
      </rPr>
      <t>https://drive.google.com/open?id=18cv45otgWX0UzKH6ubkONSU0WTqCL9U_</t>
    </r>
  </si>
  <si>
    <t>Factors affecting the financial distress risk of listed manufacturing firms on the Ho Chi Minh Stock Exchange</t>
  </si>
  <si>
    <r>
      <rPr>
        <u/>
        <sz val="10"/>
        <color rgb="FF1155CC"/>
        <rFont val="Roboto"/>
      </rPr>
      <t>https://drive.google.com/open?id=10JEcyG5CApihiJNYJ3SjlXq_aenQQdqA</t>
    </r>
  </si>
  <si>
    <r>
      <rPr>
        <u/>
        <sz val="10"/>
        <color rgb="FF1155CC"/>
        <rFont val="Roboto"/>
      </rPr>
      <t>https://drive.google.com/open?id=1YMA-p1cH3cRS7DoNnLfM-gS3zWxQa93_</t>
    </r>
  </si>
  <si>
    <r>
      <rPr>
        <u/>
        <sz val="10"/>
        <color rgb="FF1155CC"/>
        <rFont val="Roboto"/>
      </rPr>
      <t>https://drive.google.com/open?id=1IBA-s2nyAvO29ZqaCpVOZGS780cVF996</t>
    </r>
  </si>
  <si>
    <r>
      <rPr>
        <u/>
        <sz val="10"/>
        <color rgb="FF1155CC"/>
        <rFont val="Roboto"/>
      </rPr>
      <t>https://drive.google.com/open?id=1tBlBanfye4TNBESciWvi3zelC-fJNu68</t>
    </r>
  </si>
  <si>
    <t>FACTORS AFFECTING GOLD PRICES AND PREDICTING FUTURE GOLD PRICES</t>
  </si>
  <si>
    <r>
      <rPr>
        <u/>
        <sz val="10"/>
        <color rgb="FF1155CC"/>
        <rFont val="Roboto"/>
      </rPr>
      <t>https://drive.google.com/open?id=1KdqSSsR2mJ3MioMUCKI6jrObJcNC4JrN</t>
    </r>
  </si>
  <si>
    <r>
      <rPr>
        <u/>
        <sz val="10"/>
        <color rgb="FF1155CC"/>
        <rFont val="Roboto"/>
      </rPr>
      <t>https://drive.google.com/open?id=1brJY3N6cXIDK61DiLfuk7LeYd0-4w57L</t>
    </r>
  </si>
  <si>
    <r>
      <rPr>
        <u/>
        <sz val="10"/>
        <color rgb="FF1155CC"/>
        <rFont val="Roboto"/>
      </rPr>
      <t>https://drive.google.com/open?id=1yZ-6xLd0DeHWozgsnfMgai7HDBRm0xLW</t>
    </r>
  </si>
  <si>
    <r>
      <rPr>
        <u/>
        <sz val="10"/>
        <color rgb="FF1155CC"/>
        <rFont val="Roboto"/>
      </rPr>
      <t>https://drive.google.com/open?id=1FoCgeNRKbjFBZPtmu64Kn7oA-ZlEd7eR</t>
    </r>
  </si>
  <si>
    <r>
      <rPr>
        <u/>
        <sz val="10"/>
        <color rgb="FF1155CC"/>
        <rFont val="Roboto"/>
      </rPr>
      <t>https://drive.google.com/open?id=1J_TORVxap7GBA_AwRZRpg-RFm-7C5ADs</t>
    </r>
  </si>
  <si>
    <r>
      <rPr>
        <u/>
        <sz val="10"/>
        <color rgb="FF1155CC"/>
        <rFont val="Roboto"/>
      </rPr>
      <t>https://drive.google.com/open?id=1_lYRQYawl2JmM5cwZtMDxoq7d1lfyz4n</t>
    </r>
  </si>
  <si>
    <r>
      <rPr>
        <u/>
        <sz val="10"/>
        <color rgb="FF1155CC"/>
        <rFont val="Roboto"/>
      </rPr>
      <t>https://drive.google.com/open?id=1uW2jHkRMavj2CNm9ayc1VOAhCNsEfw_T</t>
    </r>
  </si>
  <si>
    <t>ASSESSING THE OPERATIONAL PERFORMANCE OF HO CHI MINH CITY DEVELOPMENT JOINT STOCK COMMERCIAL BANK (HDBANK) USING THE CAMELS MODEL</t>
  </si>
  <si>
    <r>
      <rPr>
        <u/>
        <sz val="10"/>
        <color rgb="FF1155CC"/>
        <rFont val="Roboto"/>
      </rPr>
      <t>https://drive.google.com/open?id=1h38jvDJtjSI6oGyoUyeBOOi8wxdoMcuy</t>
    </r>
  </si>
  <si>
    <r>
      <rPr>
        <u/>
        <sz val="10"/>
        <color rgb="FF1155CC"/>
        <rFont val="Roboto"/>
      </rPr>
      <t>https://drive.google.com/open?id=1nIWx94UqSY_6cwwhyu4Gj5EdBs-dNW_I</t>
    </r>
  </si>
  <si>
    <r>
      <rPr>
        <u/>
        <sz val="10"/>
        <color rgb="FF1155CC"/>
        <rFont val="Roboto"/>
      </rPr>
      <t>https://drive.google.com/open?id=1l6pfdefEagvukaL1D_gKLZenwFghcIS1</t>
    </r>
  </si>
  <si>
    <r>
      <rPr>
        <u/>
        <sz val="10"/>
        <color rgb="FF1155CC"/>
        <rFont val="Roboto"/>
      </rPr>
      <t>https://drive.google.com/open?id=11b_GyBPkt4aVlZCigPrVOxSvf481_Qzi</t>
    </r>
  </si>
  <si>
    <r>
      <rPr>
        <u/>
        <sz val="10"/>
        <color rgb="FF1155CC"/>
        <rFont val="Roboto"/>
      </rPr>
      <t>https://drive.google.com/open?id=1T2LdJWbwQ66_vThWW9HK66xSTHT4Xsgg</t>
    </r>
  </si>
  <si>
    <r>
      <rPr>
        <u/>
        <sz val="10"/>
        <color rgb="FF1155CC"/>
        <rFont val="Roboto"/>
      </rPr>
      <t>https://drive.google.com/open?id=1RQ8OgjPyWIloqkxoc-Hbklr7PEv5nmUJ</t>
    </r>
  </si>
  <si>
    <r>
      <rPr>
        <u/>
        <sz val="10"/>
        <color rgb="FF1155CC"/>
        <rFont val="Roboto"/>
      </rPr>
      <t>https://drive.google.com/open?id=1_U7KBemuZk5WZCbdiVQS2XWQVE3Czd46</t>
    </r>
  </si>
  <si>
    <t>AN ANALYSIS OF LENDING ACTIVITIES UNDER THE ENTRUSTED LENDING MODEL AT VINH THANH TRANSACTION OFFICE OF THE VIETNAM BANK FOR SOCIAL POLICIES</t>
  </si>
  <si>
    <r>
      <rPr>
        <u/>
        <sz val="10"/>
        <color rgb="FF1155CC"/>
        <rFont val="Roboto"/>
      </rPr>
      <t>https://drive.google.com/open?id=1vFqfqkqPanRcAZDgO2uSpqwtah68n5Y3</t>
    </r>
  </si>
  <si>
    <r>
      <rPr>
        <u/>
        <sz val="10"/>
        <color rgb="FF1155CC"/>
        <rFont val="Roboto"/>
      </rPr>
      <t>https://drive.google.com/open?id=1l0NCZO7CCzlPVntDbJUMIJyxlLwMpjnz</t>
    </r>
  </si>
  <si>
    <r>
      <rPr>
        <u/>
        <sz val="10"/>
        <color rgb="FF1155CC"/>
        <rFont val="Roboto"/>
      </rPr>
      <t>https://drive.google.com/open?id=1jCo6juEgdP1BHgypou3GFNK86S2kGsPR</t>
    </r>
  </si>
  <si>
    <r>
      <rPr>
        <u/>
        <sz val="10"/>
        <color rgb="FF1155CC"/>
        <rFont val="Roboto"/>
      </rPr>
      <t>https://drive.google.com/open?id=1b6wAb3ttgtJQQNJuhGHJB_5qG8r9AqtX</t>
    </r>
  </si>
  <si>
    <r>
      <rPr>
        <u/>
        <sz val="10"/>
        <color rgb="FF1155CC"/>
        <rFont val="Roboto"/>
      </rPr>
      <t>https://drive.google.com/open?id=19Ygd-wIugzhfAIcSMQkmmQNQASYxIKzc</t>
    </r>
  </si>
  <si>
    <r>
      <rPr>
        <u/>
        <sz val="10"/>
        <color rgb="FF1155CC"/>
        <rFont val="Roboto"/>
      </rPr>
      <t>https://drive.google.com/open?id=1ot7SVp75D0zQFPpknUPDnWIUkpRw5Ihx</t>
    </r>
  </si>
  <si>
    <r>
      <rPr>
        <u/>
        <sz val="10"/>
        <color rgb="FF1155CC"/>
        <rFont val="Roboto"/>
      </rPr>
      <t>https://drive.google.com/open?id=1WQEE_M4lO3fVKOltWKhBSQkyUDSI5vtR</t>
    </r>
  </si>
  <si>
    <r>
      <rPr>
        <u/>
        <sz val="10"/>
        <color rgb="FF1155CC"/>
        <rFont val="Roboto"/>
      </rPr>
      <t>https://drive.google.com/open?id=17hyHFLQZYFsGy29Y3_TFCrI8XljJYZOm</t>
    </r>
  </si>
  <si>
    <r>
      <rPr>
        <u/>
        <sz val="10"/>
        <color rgb="FF1155CC"/>
        <rFont val="Roboto"/>
      </rPr>
      <t>https://drive.google.com/open?id=1Cq_mNciRZNSPjHd_RAWJs-GgfyfXoJK9</t>
    </r>
  </si>
  <si>
    <r>
      <rPr>
        <u/>
        <sz val="10"/>
        <color rgb="FF1155CC"/>
        <rFont val="Roboto"/>
      </rPr>
      <t>https://drive.google.com/open?id=1Pje4K0AmVeqIdRU8lNubhg3UtqpTskUX</t>
    </r>
  </si>
  <si>
    <r>
      <rPr>
        <u/>
        <sz val="10"/>
        <color rgb="FF1155CC"/>
        <rFont val="Roboto"/>
      </rPr>
      <t>https://drive.google.com/open?id=1rIOzm-is4ZxVw_l0QDmvk6lT5KejVU5V</t>
    </r>
  </si>
  <si>
    <r>
      <rPr>
        <u/>
        <sz val="10"/>
        <color rgb="FF1155CC"/>
        <rFont val="Roboto"/>
      </rPr>
      <t>https://drive.google.com/open?id=14m5-s4KWxTaiN7ms3OOXgIhhEQQqp-RI</t>
    </r>
  </si>
  <si>
    <r>
      <rPr>
        <u/>
        <sz val="10"/>
        <color rgb="FF1155CC"/>
        <rFont val="Roboto"/>
      </rPr>
      <t>https://drive.google.com/open?id=1R0DdOOr_n4WscETSU6Ty10I0et601u7r</t>
    </r>
  </si>
  <si>
    <r>
      <rPr>
        <u/>
        <sz val="10"/>
        <color rgb="FF1155CC"/>
        <rFont val="Roboto"/>
      </rPr>
      <t>https://drive.google.com/open?id=1ITJV2AkhvbptLlbSPuoZvJm_vMqP_1jQ</t>
    </r>
  </si>
  <si>
    <t>Application of Deep Learning Models in Forecasting Stock Trend Reversal Points: A Case Study at KAFI Securities Corporation</t>
  </si>
  <si>
    <r>
      <rPr>
        <u/>
        <sz val="10"/>
        <color rgb="FF1155CC"/>
        <rFont val="Roboto"/>
      </rPr>
      <t>https://drive.google.com/open?id=1MLhDKeYEz_oddqgx5S5oz6ozpTk9IveL</t>
    </r>
  </si>
  <si>
    <r>
      <rPr>
        <u/>
        <sz val="10"/>
        <color rgb="FF1155CC"/>
        <rFont val="Roboto"/>
      </rPr>
      <t>https://drive.google.com/open?id=1BjIQ2aQIx20SKBdgBp63UdsvctVp9qUv</t>
    </r>
  </si>
  <si>
    <r>
      <rPr>
        <u/>
        <sz val="10"/>
        <color rgb="FF1155CC"/>
        <rFont val="Roboto"/>
      </rPr>
      <t>https://drive.google.com/open?id=1XPWiFBJutctu0r8FMIsx5W7QveZshjwj</t>
    </r>
  </si>
  <si>
    <t>Ứng dụng mô hình học sâu lai LSTM-GRU trong dự báo điểm đảo chiều xu hướng cổ phiếu: Thực nghiệm tại thị trường chứng khoán Việt Nam</t>
  </si>
  <si>
    <r>
      <rPr>
        <u/>
        <sz val="10"/>
        <color rgb="FF1155CC"/>
        <rFont val="Roboto"/>
      </rPr>
      <t>https://drive.google.com/open?id=1apeGzQjqsRX5_mRKHRLphzoZ5xItuB0T</t>
    </r>
  </si>
  <si>
    <r>
      <rPr>
        <u/>
        <sz val="10"/>
        <color rgb="FF1155CC"/>
        <rFont val="Roboto"/>
      </rPr>
      <t>https://drive.google.com/open?id=1c3xKZHPVNn6WdQ1ZW2_9f5JgWG-mBp-d</t>
    </r>
  </si>
  <si>
    <r>
      <rPr>
        <u/>
        <sz val="10"/>
        <color rgb="FF1155CC"/>
        <rFont val="Roboto"/>
      </rPr>
      <t>https://drive.google.com/open?id=1d4e1w1Wnde-C0nw6TxMZXsDy9v9JuifF</t>
    </r>
  </si>
  <si>
    <r>
      <rPr>
        <u/>
        <sz val="10"/>
        <color rgb="FF1155CC"/>
        <rFont val="Roboto"/>
      </rPr>
      <t>https://drive.google.com/open?id=1xD4GnQ_DwxqjLUaJxYF8fFY8w7cJ7T4M</t>
    </r>
  </si>
  <si>
    <t>Xây dựng Agent Chatbot hỗ trợ Nhân viên Chăm sóc Khách hàng</t>
  </si>
  <si>
    <r>
      <rPr>
        <u/>
        <sz val="10"/>
        <color rgb="FF1155CC"/>
        <rFont val="Roboto"/>
      </rPr>
      <t>https://drive.google.com/open?id=1hRqSbp4lbhnsBOStTvimXuQVxZ3P9kPE</t>
    </r>
  </si>
  <si>
    <r>
      <rPr>
        <u/>
        <sz val="10"/>
        <color rgb="FF1155CC"/>
        <rFont val="Roboto"/>
      </rPr>
      <t>https://drive.google.com/open?id=1NP9PTScPLps9_NtfUPnBe5-d2VBc6v08</t>
    </r>
  </si>
  <si>
    <r>
      <rPr>
        <u/>
        <sz val="10"/>
        <color rgb="FF1155CC"/>
        <rFont val="Roboto"/>
      </rPr>
      <t>https://drive.google.com/open?id=1rZs5wTNqJLJM04GxrAOdk6_J0tugCpJb</t>
    </r>
  </si>
  <si>
    <t>Xây dựng trợ lý hỗ trợ nghiệp vụ ngân hàng dựa trên mô hình RAG và kỹ thuật OCR trong xử lý văn bản</t>
  </si>
  <si>
    <r>
      <rPr>
        <u/>
        <sz val="10"/>
        <color rgb="FF1155CC"/>
        <rFont val="Roboto"/>
      </rPr>
      <t>https://drive.google.com/open?id=1-CkXnJchq4dIj2pgPHRfaPhDXGfLlDB_</t>
    </r>
  </si>
  <si>
    <r>
      <rPr>
        <u/>
        <sz val="10"/>
        <color rgb="FF1155CC"/>
        <rFont val="Roboto"/>
      </rPr>
      <t>https://drive.google.com/open?id=1VJOXEsJap6q2G9l9pnpPFcVjZ5iY3lmF</t>
    </r>
  </si>
  <si>
    <r>
      <rPr>
        <u/>
        <sz val="10"/>
        <color rgb="FF1155CC"/>
        <rFont val="Roboto"/>
      </rPr>
      <t>https://drive.google.com/open?id=1rQYle3avXXgsmohbqXQdMo2Tafuw4siy</t>
    </r>
  </si>
  <si>
    <r>
      <rPr>
        <u/>
        <sz val="10"/>
        <color rgb="FF1155CC"/>
        <rFont val="Roboto"/>
      </rPr>
      <t>https://drive.google.com/open?id=1KUbWWRi5HdYIXs3hF_WPRqGxfK97CUW7</t>
    </r>
  </si>
  <si>
    <r>
      <rPr>
        <u/>
        <sz val="10"/>
        <color rgb="FF1155CC"/>
        <rFont val="Roboto"/>
      </rPr>
      <t>https://drive.google.com/open?id=1QWyfMe9-2Yw_d5k0e_trAyCbBhF0St6W</t>
    </r>
  </si>
  <si>
    <r>
      <rPr>
        <u/>
        <sz val="10"/>
        <color rgb="FF1155CC"/>
        <rFont val="Roboto"/>
      </rPr>
      <t>https://drive.google.com/open?id=1KivUsWLoJLToDIofd98zRktgO3G1ypF_</t>
    </r>
  </si>
  <si>
    <r>
      <rPr>
        <u/>
        <sz val="10"/>
        <color rgb="FF1155CC"/>
        <rFont val="Roboto"/>
      </rPr>
      <t>https://drive.google.com/open?id=1GCzdV9VoSgQuVtz80IXTmJgiOSezGoF0</t>
    </r>
  </si>
  <si>
    <r>
      <rPr>
        <u/>
        <sz val="10"/>
        <color rgb="FF1155CC"/>
        <rFont val="Roboto"/>
      </rPr>
      <t>https://drive.google.com/open?id=10ZzFlVTxL7Y8SOcNk8CGbkjtQMLBoVyi</t>
    </r>
  </si>
  <si>
    <r>
      <rPr>
        <u/>
        <sz val="10"/>
        <color rgb="FF1155CC"/>
        <rFont val="Roboto"/>
      </rPr>
      <t>https://drive.google.com/open?id=1SKY1-J0MB8tMrNO_BLS3MotISjmE-3ez</t>
    </r>
  </si>
  <si>
    <r>
      <rPr>
        <u/>
        <sz val="10"/>
        <color rgb="FF1155CC"/>
        <rFont val="Roboto"/>
      </rPr>
      <t>https://drive.google.com/open?id=1JYI0AkYczb12UstO1ABPw-5VFUxW8fhn</t>
    </r>
  </si>
  <si>
    <t>Application of Clustering Algorithms to the VN30 Stock Basket</t>
  </si>
  <si>
    <r>
      <rPr>
        <u/>
        <sz val="10"/>
        <color rgb="FF1155CC"/>
        <rFont val="Roboto"/>
      </rPr>
      <t>https://drive.google.com/open?id=1Kjdhvdv_31tSlcoELmrZbCIw1JqoZ5L8</t>
    </r>
  </si>
  <si>
    <r>
      <rPr>
        <u/>
        <sz val="10"/>
        <color rgb="FF1155CC"/>
        <rFont val="Roboto"/>
      </rPr>
      <t>https://drive.google.com/open?id=1tvPZtgVdqyzF4tUBy6q6tORQC-npp6WN</t>
    </r>
  </si>
  <si>
    <r>
      <rPr>
        <u/>
        <sz val="10"/>
        <color rgb="FF1155CC"/>
        <rFont val="Roboto"/>
      </rPr>
      <t>https://drive.google.com/open?id=1_TocPymyK03gJrLnkxY1WfHKs79Y3u4G</t>
    </r>
  </si>
  <si>
    <t>Xây dựng và so sánh hiệu quả danh mục đầu tư theo mô hình Markowitz và Downside risk trên rổ cổ phiếu VN100 kết hợp kỹ thuật phân cụm</t>
  </si>
  <si>
    <r>
      <rPr>
        <u/>
        <sz val="10"/>
        <color rgb="FF1155CC"/>
        <rFont val="Roboto"/>
      </rPr>
      <t>https://drive.google.com/open?id=1HBe6sKVWo57SYNJmGwuMlghonFnmX4hz</t>
    </r>
  </si>
  <si>
    <r>
      <rPr>
        <u/>
        <sz val="10"/>
        <color rgb="FF1155CC"/>
        <rFont val="Roboto"/>
      </rPr>
      <t>https://drive.google.com/open?id=1eO0nM4Ow5C1_Vb6v2-DApEUygeBJrq8r</t>
    </r>
  </si>
  <si>
    <r>
      <rPr>
        <u/>
        <sz val="10"/>
        <color rgb="FF1155CC"/>
        <rFont val="Roboto"/>
      </rPr>
      <t>https://drive.google.com/open?id=1VsNvtPUkM0VfGL8x_pbdCKipe-CAwbwd</t>
    </r>
  </si>
  <si>
    <r>
      <rPr>
        <u/>
        <sz val="10"/>
        <color rgb="FF1155CC"/>
        <rFont val="Roboto"/>
      </rPr>
      <t>https://drive.google.com/open?id=1CBMtWKZzH6HVYhF9vHuwlEhq2dRPom53</t>
    </r>
  </si>
  <si>
    <t>SỬ DỤNG MÁY HỌC DỰ ĐOÁN RỦI RO GIAN LẬN BÁO CÁO TÀI CHÍNH</t>
  </si>
  <si>
    <r>
      <rPr>
        <u/>
        <sz val="10"/>
        <color rgb="FF1155CC"/>
        <rFont val="Roboto"/>
      </rPr>
      <t>https://drive.google.com/open?id=1GbQkuj5jqUOmK-HROkbFAqzCQy78qV0k</t>
    </r>
  </si>
  <si>
    <r>
      <rPr>
        <u/>
        <sz val="10"/>
        <color rgb="FF1155CC"/>
        <rFont val="Roboto"/>
      </rPr>
      <t>https://drive.google.com/open?id=1FOBj-CJS_SFfIrg2n6_UXowvXyYthhtQ</t>
    </r>
  </si>
  <si>
    <r>
      <rPr>
        <u/>
        <sz val="10"/>
        <color rgb="FF1155CC"/>
        <rFont val="Roboto"/>
      </rPr>
      <t>https://drive.google.com/open?id=1KdDjoilKw-DA-egkuNSE2L59MZDKAjBA</t>
    </r>
  </si>
  <si>
    <r>
      <rPr>
        <u/>
        <sz val="10"/>
        <color rgb="FF1155CC"/>
        <rFont val="Roboto"/>
      </rPr>
      <t>https://drive.google.com/open?id=1x6N9A5xvj3l1952kvKryUl6h8W4FJ96l</t>
    </r>
  </si>
  <si>
    <r>
      <rPr>
        <u/>
        <sz val="10"/>
        <color rgb="FF1155CC"/>
        <rFont val="Roboto"/>
      </rPr>
      <t>https://drive.google.com/open?id=1RGztSfMTytFn7nu9Od7sVqan9VrhPsvP</t>
    </r>
  </si>
  <si>
    <r>
      <rPr>
        <u/>
        <sz val="10"/>
        <color rgb="FF1155CC"/>
        <rFont val="Roboto"/>
      </rPr>
      <t>https://drive.google.com/open?id=1MWfb7ytxGKfDpJdZDJ7snm7-mt6DeBrK</t>
    </r>
  </si>
  <si>
    <r>
      <rPr>
        <u/>
        <sz val="10"/>
        <color rgb="FF1155CC"/>
        <rFont val="Roboto"/>
      </rPr>
      <t>https://drive.google.com/open?id=1wPD3zN-2pyvg_yrhCNT0Y6ysJcsCy1OO</t>
    </r>
  </si>
  <si>
    <t>FINANCIAL PERFORMANCE AND OPPORTUNITY COST OF ESG-INTEGRATED PORTFOLIOS IN THE VIETNAM STOCK MARKET: AN APPROACH USING THE MARKOWITZ MODEL AND THE NSGA-II ALGORITHM</t>
  </si>
  <si>
    <r>
      <rPr>
        <u/>
        <sz val="10"/>
        <color rgb="FF1155CC"/>
        <rFont val="Roboto"/>
      </rPr>
      <t>https://drive.google.com/open?id=1qGk98rQ3khmqNE_adec0gpK31tPJt8kL</t>
    </r>
  </si>
  <si>
    <r>
      <rPr>
        <u/>
        <sz val="10"/>
        <color rgb="FF1155CC"/>
        <rFont val="Roboto"/>
      </rPr>
      <t>https://drive.google.com/open?id=1fU4FeL8ShvpbnSTnUPWQwJFRUvB3IHd3</t>
    </r>
  </si>
  <si>
    <r>
      <rPr>
        <u/>
        <sz val="10"/>
        <color rgb="FF1155CC"/>
        <rFont val="Roboto"/>
      </rPr>
      <t>https://drive.google.com/open?id=16-xOibueHCR2LpvsiZthEqQ36ugyVZuM</t>
    </r>
  </si>
  <si>
    <r>
      <rPr>
        <u/>
        <sz val="10"/>
        <color rgb="FF1155CC"/>
        <rFont val="Roboto"/>
      </rPr>
      <t>https://drive.google.com/open?id=1xSfqh-DHR1Rawo8iMrafNTP9XhVOIfBZ</t>
    </r>
  </si>
  <si>
    <r>
      <rPr>
        <u/>
        <sz val="10"/>
        <color rgb="FF1155CC"/>
        <rFont val="Roboto"/>
      </rPr>
      <t>https://drive.google.com/open?id=1KYC_-GVYf9AY--ccGxP5fJPNcyL1d49P</t>
    </r>
  </si>
  <si>
    <r>
      <rPr>
        <u/>
        <sz val="10"/>
        <color rgb="FF1155CC"/>
        <rFont val="Roboto"/>
      </rPr>
      <t>https://drive.google.com/open?id=1sBH4U539CsU4R91SLQV138bzQ890RZ9B</t>
    </r>
  </si>
  <si>
    <r>
      <rPr>
        <u/>
        <sz val="10"/>
        <color rgb="FF1155CC"/>
        <rFont val="Roboto"/>
      </rPr>
      <t>https://drive.google.com/open?id=1foJXo5vyJyZCXNtdlXHLZjjNg_TwoUqd</t>
    </r>
  </si>
  <si>
    <r>
      <rPr>
        <u/>
        <sz val="10"/>
        <color rgb="FF1155CC"/>
        <rFont val="Roboto"/>
      </rPr>
      <t>https://drive.google.com/open?id=1856Q8WWFFxfP8g7-tsfxljOcDqBUrYSo</t>
    </r>
  </si>
  <si>
    <r>
      <rPr>
        <u/>
        <sz val="10"/>
        <color rgb="FF1155CC"/>
        <rFont val="Roboto"/>
      </rPr>
      <t>https://drive.google.com/open?id=16TAzlpGz82euNV0RFnQDkq_DFMXwNUlH</t>
    </r>
  </si>
  <si>
    <r>
      <rPr>
        <u/>
        <sz val="10"/>
        <color rgb="FF1155CC"/>
        <rFont val="Roboto"/>
      </rPr>
      <t>https://drive.google.com/open?id=187IFV9QFG8b4cFl3fGsuxjgquLu6CqcM</t>
    </r>
  </si>
  <si>
    <r>
      <rPr>
        <u/>
        <sz val="10"/>
        <color rgb="FF1155CC"/>
        <rFont val="Roboto"/>
      </rPr>
      <t>https://drive.google.com/open?id=1_4WoNPmeGOdzuEQ5tydrLhD2UoON2KFv</t>
    </r>
  </si>
  <si>
    <r>
      <rPr>
        <u/>
        <sz val="10"/>
        <color rgb="FF1155CC"/>
        <rFont val="Roboto"/>
      </rPr>
      <t>https://drive.google.com/open?id=1VPP7NhXpD7CXszUkbpX5i9_i9-BMqPVG</t>
    </r>
  </si>
  <si>
    <r>
      <rPr>
        <u/>
        <sz val="10"/>
        <color rgb="FF1155CC"/>
        <rFont val="Roboto"/>
      </rPr>
      <t>https://drive.google.com/open?id=1EPNhUl4O4yR8oI9faa2k4qzYIpY7uFVJ</t>
    </r>
  </si>
  <si>
    <r>
      <rPr>
        <u/>
        <sz val="10"/>
        <color rgb="FF1155CC"/>
        <rFont val="Roboto"/>
      </rPr>
      <t>https://drive.google.com/open?id=1BvsqiOgrESwb3DnRjhzC0xoNhdLDea7P</t>
    </r>
  </si>
  <si>
    <t>HOẠT ĐỘNG CỦA BỘ PHẬN KINH DOANH TẠI CÔNG TY TRÁCH NHIỆM HỮU HẠN MỘT THÀNH VIÊN THƯƠNG MẠI DỊCH VỤ XUẤT NHẬP KHẨU NHẬT MỸ</t>
  </si>
  <si>
    <r>
      <rPr>
        <u/>
        <sz val="10"/>
        <color rgb="FF1155CC"/>
        <rFont val="Roboto"/>
      </rPr>
      <t>https://drive.google.com/open?id=1BMWzPLbc2kuqbs6nfc0I3CyP8W0FaeOM</t>
    </r>
  </si>
  <si>
    <r>
      <rPr>
        <u/>
        <sz val="10"/>
        <color rgb="FF1155CC"/>
        <rFont val="Roboto"/>
      </rPr>
      <t>https://drive.google.com/open?id=1eEHEOgyQwAkpnOFsOhVsvYwYESHzJ7Vj</t>
    </r>
  </si>
  <si>
    <r>
      <rPr>
        <u/>
        <sz val="10"/>
        <color rgb="FF1155CC"/>
        <rFont val="Roboto"/>
      </rPr>
      <t>https://drive.google.com/open?id=17PVZ2u7ns_goO5NfXBNoQO-8lKOtHQTY</t>
    </r>
  </si>
  <si>
    <r>
      <rPr>
        <u/>
        <sz val="10"/>
        <color rgb="FF1155CC"/>
        <rFont val="Roboto"/>
      </rPr>
      <t>https://drive.google.com/open?id=1nfvXbXBBOl55YDqEI_K3x-gNOV88_xgM</t>
    </r>
  </si>
  <si>
    <r>
      <rPr>
        <u/>
        <sz val="10"/>
        <color rgb="FF1155CC"/>
        <rFont val="Roboto"/>
      </rPr>
      <t>https://drive.google.com/open?id=1lwOP_mrSq1s2GMWzTBodQADxIirLGyqH</t>
    </r>
  </si>
  <si>
    <r>
      <rPr>
        <u/>
        <sz val="10"/>
        <color rgb="FF1155CC"/>
        <rFont val="Roboto"/>
      </rPr>
      <t>https://drive.google.com/open?id=1WtN9DGNOJWmV5jprpHk0Hp3HfwfopWiy</t>
    </r>
  </si>
  <si>
    <t>K22404619</t>
  </si>
  <si>
    <t>The impact of Agency Cost on Overinvestment and the Moderating Role of Free Cash Flow: Evidence in Vietnam Non-financial listed companies</t>
  </si>
  <si>
    <r>
      <rPr>
        <u/>
        <sz val="10"/>
        <color rgb="FF1155CC"/>
        <rFont val="Roboto"/>
      </rPr>
      <t>https://drive.google.com/open?id=1dqhgcS1zXIflOrXsmk3VKr3VWfieqii8</t>
    </r>
  </si>
  <si>
    <r>
      <rPr>
        <u/>
        <sz val="10"/>
        <color rgb="FF1155CC"/>
        <rFont val="Roboto"/>
      </rPr>
      <t>https://drive.google.com/open?id=1C2P2hf0V-cTK7IjQ5JUFe0Snd8kZluHk</t>
    </r>
  </si>
  <si>
    <r>
      <rPr>
        <u/>
        <sz val="10"/>
        <color rgb="FF1155CC"/>
        <rFont val="Roboto"/>
      </rPr>
      <t>https://drive.google.com/open?id=1caUCkfIJd3-NASLYcHL9fPJ0jlYXowWd</t>
    </r>
  </si>
  <si>
    <r>
      <rPr>
        <u/>
        <sz val="10"/>
        <color rgb="FF1155CC"/>
        <rFont val="Roboto"/>
      </rPr>
      <t>https://drive.google.com/open?id=1wgnNPwwir_WOuP4_yGlPuyEJpI854wIZ</t>
    </r>
  </si>
  <si>
    <r>
      <rPr>
        <u/>
        <sz val="10"/>
        <color rgb="FF1155CC"/>
        <rFont val="Roboto"/>
      </rPr>
      <t>https://drive.google.com/open?id=1pcDE6Ohuz8ad8CSwW9CBVypj8semxzKK</t>
    </r>
  </si>
  <si>
    <r>
      <rPr>
        <u/>
        <sz val="10"/>
        <color rgb="FF1155CC"/>
        <rFont val="Roboto"/>
      </rPr>
      <t>https://drive.google.com/open?id=1KSW7hLtpiOQ1qi4fgVxTQnodY41_YtRU</t>
    </r>
  </si>
  <si>
    <t>ANALYSIS OF INDIVIDUAL CUSTOMER LENDING ACTIVITIES AT THE VIETNAM BANK FOR AGRICULTURE AND RURAL DEVELOPMENT</t>
  </si>
  <si>
    <r>
      <rPr>
        <u/>
        <sz val="10"/>
        <color rgb="FF1155CC"/>
        <rFont val="Roboto"/>
      </rPr>
      <t>https://drive.google.com/open?id=1X3sB_oLKEJQhf_Mkqpqp-BdeKCJ2Ie-v</t>
    </r>
  </si>
  <si>
    <r>
      <rPr>
        <u/>
        <sz val="10"/>
        <color rgb="FF1155CC"/>
        <rFont val="Roboto"/>
      </rPr>
      <t>https://drive.google.com/open?id=1SsSI51UTy7OiOI6gEfzbjvVpapB1JBuB</t>
    </r>
  </si>
  <si>
    <r>
      <rPr>
        <u/>
        <sz val="10"/>
        <color rgb="FF1155CC"/>
        <rFont val="Roboto"/>
      </rPr>
      <t>https://drive.google.com/open?id=1hdYuwZZ9VK_HNUexm8NuZameSkNlhGVE</t>
    </r>
  </si>
  <si>
    <r>
      <rPr>
        <u/>
        <sz val="10"/>
        <color rgb="FF1155CC"/>
        <rFont val="Roboto"/>
      </rPr>
      <t>https://drive.google.com/open?id=1-fSe6ljPODfmDnuw0i9YLGHJuwBMowKW</t>
    </r>
  </si>
  <si>
    <r>
      <rPr>
        <u/>
        <sz val="10"/>
        <color rgb="FF1155CC"/>
        <rFont val="Roboto"/>
      </rPr>
      <t>https://drive.google.com/open?id=1kuch92MH67O90sGFYLWAJS1ayM9kxLQa</t>
    </r>
  </si>
  <si>
    <r>
      <rPr>
        <u/>
        <sz val="10"/>
        <color rgb="FF1155CC"/>
        <rFont val="Roboto"/>
      </rPr>
      <t>https://drive.google.com/open?id=1XMnQDn5kp4i7xZPaNh-FSBIVvG80Vws9</t>
    </r>
  </si>
  <si>
    <r>
      <rPr>
        <u/>
        <sz val="10"/>
        <color rgb="FF1155CC"/>
        <rFont val="Roboto"/>
      </rPr>
      <t>https://drive.google.com/open?id=1z1AhKmQcGeKUtuKtyn0EVKI_6MNf_Sp_</t>
    </r>
  </si>
  <si>
    <r>
      <rPr>
        <u/>
        <sz val="10"/>
        <color rgb="FF1155CC"/>
        <rFont val="Roboto"/>
      </rPr>
      <t>https://drive.google.com/open?id=1O2QGou6feFBaLvpDL53oCTcf3hIx0BK9</t>
    </r>
  </si>
  <si>
    <r>
      <rPr>
        <u/>
        <sz val="10"/>
        <color rgb="FF1155CC"/>
        <rFont val="Roboto"/>
      </rPr>
      <t>https://drive.google.com/open?id=1UZ0UgdUXIs6dQodb-RCcT9dkdSXnZo8_</t>
    </r>
  </si>
  <si>
    <r>
      <rPr>
        <u/>
        <sz val="10"/>
        <color rgb="FF1155CC"/>
        <rFont val="Roboto"/>
      </rPr>
      <t>https://drive.google.com/open?id=1S1aP9MNRxraI0Wqe-6fa3C_h6y1Ybksb</t>
    </r>
  </si>
  <si>
    <r>
      <rPr>
        <u/>
        <sz val="10"/>
        <color rgb="FF1155CC"/>
        <rFont val="Roboto"/>
      </rPr>
      <t>https://drive.google.com/open?id=1pV3dCYZAj-pE5bgCdYuZjTNK9r2yHBLF</t>
    </r>
  </si>
  <si>
    <r>
      <rPr>
        <u/>
        <sz val="10"/>
        <color rgb="FF1155CC"/>
        <rFont val="Roboto"/>
      </rPr>
      <t>https://drive.google.com/open?id=1W8MQWV4sanwhYD4NafoB-J7swZrvDuWW</t>
    </r>
  </si>
  <si>
    <r>
      <rPr>
        <u/>
        <sz val="10"/>
        <color rgb="FF1155CC"/>
        <rFont val="Roboto"/>
      </rPr>
      <t>https://drive.google.com/open?id=1UTADVLOpFqBMJR13M3GIHYLz68beUkyu</t>
    </r>
  </si>
  <si>
    <r>
      <rPr>
        <u/>
        <sz val="10"/>
        <color rgb="FF1155CC"/>
        <rFont val="Roboto"/>
      </rPr>
      <t>https://drive.google.com/open?id=1gV5fvJlvJtiqJ9kXdWw8uAtxTaoIPpPX</t>
    </r>
  </si>
  <si>
    <t>MACHINE LEARNING – BASED ESTIMATION OF OPTIMAL CORPORATE CASH HOLDING FOR NON-FINANCIAL FIRMS IN VIETNAM</t>
  </si>
  <si>
    <r>
      <rPr>
        <u/>
        <sz val="10"/>
        <color rgb="FF1155CC"/>
        <rFont val="Roboto"/>
      </rPr>
      <t>https://drive.google.com/open?id=15AVWGF0I_ywFNXJzkJHYeK3ymkBulseE</t>
    </r>
  </si>
  <si>
    <r>
      <rPr>
        <u/>
        <sz val="10"/>
        <color rgb="FF1155CC"/>
        <rFont val="Roboto"/>
      </rPr>
      <t>https://drive.google.com/open?id=1ne0wMLKGInRhVCnAJGYszBCSJsWdaGtM</t>
    </r>
  </si>
  <si>
    <r>
      <rPr>
        <u/>
        <sz val="10"/>
        <color rgb="FF1155CC"/>
        <rFont val="Roboto"/>
      </rPr>
      <t>https://drive.google.com/open?id=1UtN_BuOY7kGce6qz6sjJbuMFyVz2Z9yy</t>
    </r>
  </si>
  <si>
    <t>ỨNG DỤNG HỌC MÁY TRONG XÁC ĐỊNH TỶ LỆ NẮM GIỮ TIỀN MẶT TỐI ƯU CỦA DOANH NGHIỆP PHI TÀI CHÍNH TẠI VIỆT NAM</t>
  </si>
  <si>
    <r>
      <rPr>
        <u/>
        <sz val="10"/>
        <color rgb="FF1155CC"/>
        <rFont val="Roboto"/>
      </rPr>
      <t>https://drive.google.com/open?id=1IHmCXj6UpzuYT5Tf4zUozICgocSzpAV-</t>
    </r>
  </si>
  <si>
    <r>
      <rPr>
        <u/>
        <sz val="10"/>
        <color rgb="FF1155CC"/>
        <rFont val="Roboto"/>
      </rPr>
      <t>https://drive.google.com/open?id=1ZNE3Q8QO5Lt80cjNExoNwJTK7kHSTPQK</t>
    </r>
  </si>
  <si>
    <r>
      <rPr>
        <u/>
        <sz val="10"/>
        <color rgb="FF1155CC"/>
        <rFont val="Roboto"/>
      </rPr>
      <t>https://drive.google.com/open?id=1Q5gyEZfKzPBc5ZpfxbJO8DLThEJcbhWY</t>
    </r>
  </si>
  <si>
    <r>
      <rPr>
        <u/>
        <sz val="10"/>
        <color rgb="FF1155CC"/>
        <rFont val="Roboto"/>
      </rPr>
      <t>https://drive.google.com/open?id=1w5NbhxQ4Y6HEr6t2h2MX4UMNz_bSmaVN</t>
    </r>
  </si>
  <si>
    <t>huongly11052004@gmail.com</t>
  </si>
  <si>
    <t>Analysis of factors affecting the issuance of green bonds in developing countries</t>
  </si>
  <si>
    <r>
      <rPr>
        <u/>
        <sz val="10"/>
        <color rgb="FF1155CC"/>
        <rFont val="Roboto"/>
      </rPr>
      <t>https://drive.google.com/open?id=1mKvYKRkaD_6LgFXFWfElOye2zeFeAf8F</t>
    </r>
  </si>
  <si>
    <r>
      <rPr>
        <u/>
        <sz val="10"/>
        <color rgb="FF1155CC"/>
        <rFont val="Roboto"/>
      </rPr>
      <t>https://drive.google.com/open?id=1DJ67IZK9fbkroKFZfxHfzWwJry6OlMZc</t>
    </r>
  </si>
  <si>
    <r>
      <rPr>
        <u/>
        <sz val="10"/>
        <color rgb="FF1155CC"/>
        <rFont val="Roboto"/>
      </rPr>
      <t>https://drive.google.com/open?id=1lK5a1AvKPLqanKH_ycr0id4qESA8lyFy</t>
    </r>
  </si>
  <si>
    <r>
      <rPr>
        <u/>
        <sz val="10"/>
        <color rgb="FF1155CC"/>
        <rFont val="Roboto"/>
      </rPr>
      <t>https://drive.google.com/open?id=14rZm4z7f6_rVmj3r_6voMl_4U8rtox5F</t>
    </r>
  </si>
  <si>
    <r>
      <rPr>
        <u/>
        <sz val="10"/>
        <color rgb="FF1155CC"/>
        <rFont val="Roboto"/>
      </rPr>
      <t>https://drive.google.com/open?id=1Gv4S7HuIAS7YFM08pRlXEbQoAhJabRo3</t>
    </r>
  </si>
  <si>
    <r>
      <rPr>
        <u/>
        <sz val="10"/>
        <color rgb="FF1155CC"/>
        <rFont val="Roboto"/>
      </rPr>
      <t>https://drive.google.com/open?id=1vkWRD-FF5tvoYjw78YgKJqhEArop8JJM</t>
    </r>
  </si>
  <si>
    <r>
      <rPr>
        <u/>
        <sz val="10"/>
        <color rgb="FF1155CC"/>
        <rFont val="Roboto"/>
      </rPr>
      <t>https://drive.google.com/open?id=1WN9FMXcEch3XtjPFCAulZI0JXYDLivcs</t>
    </r>
  </si>
  <si>
    <r>
      <rPr>
        <u/>
        <sz val="10"/>
        <color rgb="FF1155CC"/>
        <rFont val="Roboto"/>
      </rPr>
      <t>https://drive.google.com/open?id=1cTOiSEPwzk0syQ-NXgLQHz0WQSNLLc6X</t>
    </r>
  </si>
  <si>
    <r>
      <rPr>
        <u/>
        <sz val="10"/>
        <color rgb="FF1155CC"/>
        <rFont val="Roboto"/>
      </rPr>
      <t>https://drive.google.com/open?id=1zxtJnmXIZDDwwI-6dKayZl89lfv7I6p4</t>
    </r>
  </si>
  <si>
    <r>
      <rPr>
        <u/>
        <sz val="10"/>
        <color rgb="FF1155CC"/>
        <rFont val="Roboto"/>
      </rPr>
      <t>https://drive.google.com/open?id=1j90coO--xBBbO1M6WnEQRC7haG5fPAZy</t>
    </r>
  </si>
  <si>
    <r>
      <rPr>
        <u/>
        <sz val="10"/>
        <color rgb="FF1155CC"/>
        <rFont val="Roboto"/>
      </rPr>
      <t>https://drive.google.com/open?id=10lpHY1hjMRfvFeUJEwOX4In0mDiuXT3J</t>
    </r>
  </si>
  <si>
    <r>
      <rPr>
        <u/>
        <sz val="10"/>
        <color rgb="FF1155CC"/>
        <rFont val="Roboto"/>
      </rPr>
      <t>https://drive.google.com/open?id=1lqSr7hotTE5eTp9mKVBsZe0V9TAtCz87</t>
    </r>
  </si>
  <si>
    <r>
      <rPr>
        <u/>
        <sz val="10"/>
        <color rgb="FF1155CC"/>
        <rFont val="Roboto"/>
      </rPr>
      <t>https://drive.google.com/open?id=1ew9hYnVDuazZ4MgYuhKpx8-ovo51tl_o</t>
    </r>
  </si>
  <si>
    <t>Unveiling Hidden Financial Statement Fraud Through Weak Supervision and Dynamic Ensemble Selection: Evidence from Vietnam</t>
  </si>
  <si>
    <r>
      <rPr>
        <u/>
        <sz val="10"/>
        <color rgb="FF1155CC"/>
        <rFont val="Roboto"/>
      </rPr>
      <t>https://drive.google.com/open?id=1a-F88-3rhsEyyPjZ5Cdn0p-ae2jxJzk3</t>
    </r>
  </si>
  <si>
    <r>
      <rPr>
        <u/>
        <sz val="10"/>
        <color rgb="FF1155CC"/>
        <rFont val="Roboto"/>
      </rPr>
      <t>https://drive.google.com/open?id=1MRFIvT2a7MbpVW9iWmNZPjjKo6Z_NFHo</t>
    </r>
  </si>
  <si>
    <r>
      <rPr>
        <u/>
        <sz val="10"/>
        <color rgb="FF1155CC"/>
        <rFont val="Roboto"/>
      </rPr>
      <t>https://drive.google.com/open?id=1hTiZVmtz1BIzOjXP90AS0HPLW9K2ezdT</t>
    </r>
  </si>
  <si>
    <r>
      <rPr>
        <u/>
        <sz val="10"/>
        <color rgb="FF1155CC"/>
        <rFont val="Roboto"/>
      </rPr>
      <t>https://drive.google.com/open?id=1XohfkH1kyZdLJBcurOVOABNzd9VZckoM</t>
    </r>
  </si>
  <si>
    <r>
      <rPr>
        <u/>
        <sz val="10"/>
        <color rgb="FF1155CC"/>
        <rFont val="Roboto"/>
      </rPr>
      <t>https://drive.google.com/open?id=1AxVTTjqBcIHDaIqg2DHdY_DNTLUa7CZ5</t>
    </r>
  </si>
  <si>
    <r>
      <rPr>
        <u/>
        <sz val="10"/>
        <color rgb="FF1155CC"/>
        <rFont val="Roboto"/>
      </rPr>
      <t>https://drive.google.com/open?id=1gaU5GJhiohPJ6vwiM1PvUN99B7Bn-94s</t>
    </r>
  </si>
  <si>
    <r>
      <rPr>
        <u/>
        <sz val="10"/>
        <color rgb="FF1155CC"/>
        <rFont val="Roboto"/>
      </rPr>
      <t>https://drive.google.com/open?id=1yAe2sD1cqBcWaV0Lm7DEmLIiyizeAO8m</t>
    </r>
  </si>
  <si>
    <r>
      <rPr>
        <u/>
        <sz val="10"/>
        <color rgb="FF1155CC"/>
        <rFont val="Roboto"/>
      </rPr>
      <t>https://drive.google.com/open?id=1TuU7-9V8ZnXcYqlKxMJMTa61STtcMv_T</t>
    </r>
  </si>
  <si>
    <r>
      <rPr>
        <u/>
        <sz val="10"/>
        <color rgb="FF1155CC"/>
        <rFont val="Roboto"/>
      </rPr>
      <t>https://drive.google.com/open?id=1qP2kBahmzpZEXRrgJJTWQLRQLAe0IPrA</t>
    </r>
  </si>
  <si>
    <r>
      <rPr>
        <u/>
        <sz val="10"/>
        <color rgb="FF1155CC"/>
        <rFont val="Roboto"/>
      </rPr>
      <t>https://drive.google.com/open?id=12WZbrcWvJeN7Dda77548IP-RmCj7OcXq</t>
    </r>
  </si>
  <si>
    <r>
      <rPr>
        <u/>
        <sz val="10"/>
        <color rgb="FF1155CC"/>
        <rFont val="Roboto"/>
      </rPr>
      <t>https://drive.google.com/open?id=1gj0XTcKScoi3VbTJQb61Kdfhp66i-Kbn</t>
    </r>
  </si>
  <si>
    <r>
      <rPr>
        <u/>
        <sz val="10"/>
        <color rgb="FF1155CC"/>
        <rFont val="Roboto"/>
      </rPr>
      <t>https://drive.google.com/open?id=1BIXksgy_Q9vgje3vPnDJv-qGyxAZR6Xd</t>
    </r>
  </si>
  <si>
    <r>
      <rPr>
        <u/>
        <sz val="10"/>
        <color rgb="FF1155CC"/>
        <rFont val="Roboto"/>
      </rPr>
      <t>https://drive.google.com/open?id=1LNI6b4ktxsZzBTtpoqDqjV8xkCHdXJYL</t>
    </r>
  </si>
  <si>
    <r>
      <rPr>
        <u/>
        <sz val="10"/>
        <color rgb="FF1155CC"/>
        <rFont val="Roboto"/>
      </rPr>
      <t>https://drive.google.com/open?id=1Ok-VdvWDlv7pFaDiLIizN1izbYt3F68w</t>
    </r>
  </si>
  <si>
    <t>nhatvyho04@gmail.com</t>
  </si>
  <si>
    <t>BUILDING STOCK TRADING SYSTEM: COMPARING TRADITIONAL TECHNICAL INDICATORS WITH MACHINE LEARNING FOR TRADING SIGNAL GENERATION</t>
  </si>
  <si>
    <r>
      <rPr>
        <u/>
        <sz val="10"/>
        <color rgb="FF1155CC"/>
        <rFont val="Roboto"/>
      </rPr>
      <t>https://drive.google.com/open?id=17m0KfdZXqUUUl9GK087cBC0EYQ7_NaxY</t>
    </r>
  </si>
  <si>
    <r>
      <rPr>
        <u/>
        <sz val="10"/>
        <color rgb="FF1155CC"/>
        <rFont val="Roboto"/>
      </rPr>
      <t>https://drive.google.com/open?id=1FUs6mNzfUD3uNRtui8OTiyLz62bCxCsQ</t>
    </r>
  </si>
  <si>
    <r>
      <rPr>
        <u/>
        <sz val="10"/>
        <color rgb="FF1155CC"/>
        <rFont val="Roboto"/>
      </rPr>
      <t>https://drive.google.com/open?id=1hdIp_z_on1rF6kBAOldgAodt6TO01WaA</t>
    </r>
  </si>
  <si>
    <t>XÂY DỰNG HỆ THỐNG GIAO DỊCH CỔ PHIẾU: SO SÁNH DỰ BÁO TÍN HIỆU GIAO DỊCH: PHƯƠNG PHÁP KỸ THUẬT TRUYỀN THỐNG VÀ MACHINE LEARNING</t>
  </si>
  <si>
    <r>
      <rPr>
        <u/>
        <sz val="10"/>
        <color rgb="FF1155CC"/>
        <rFont val="Roboto"/>
      </rPr>
      <t>https://drive.google.com/open?id=1PxZ3CQdJ6MRHVAhJxcILeCY7uISOQ9sx</t>
    </r>
  </si>
  <si>
    <r>
      <rPr>
        <u/>
        <sz val="10"/>
        <color rgb="FF1155CC"/>
        <rFont val="Roboto"/>
      </rPr>
      <t>https://drive.google.com/open?id=1tk3deYnlBT_HQvyVtnWPQhx0VnzLw-kW</t>
    </r>
  </si>
  <si>
    <r>
      <rPr>
        <u/>
        <sz val="10"/>
        <color rgb="FF1155CC"/>
        <rFont val="Roboto"/>
      </rPr>
      <t>https://drive.google.com/open?id=1w_th_o_oe1e9BQ4ktSyCKPPYP1bB4l8j</t>
    </r>
  </si>
  <si>
    <r>
      <rPr>
        <u/>
        <sz val="10"/>
        <color rgb="FF1155CC"/>
        <rFont val="Roboto"/>
      </rPr>
      <t>https://drive.google.com/open?id=1tum6Kd_DrW-48EL4cRjW1SFoo-t_mtkA</t>
    </r>
  </si>
  <si>
    <t>PHÂN TÍCH CHẤT LƯỢNG DỊCH VỤ KHÁCH HÀNG TẠI NGÂN HÀNG THƯƠNG MẠI CỔ PHẦN SÀI GÒN – HÀ NỘI – CHI NHÁNH QUẢNG NGÃI</t>
  </si>
  <si>
    <r>
      <rPr>
        <u/>
        <sz val="10"/>
        <color rgb="FF1155CC"/>
        <rFont val="Roboto"/>
      </rPr>
      <t>https://drive.google.com/open?id=1Du5K4AR_-OV5I0XdOGeWWY1N1y4MqxSD</t>
    </r>
  </si>
  <si>
    <r>
      <rPr>
        <u/>
        <sz val="10"/>
        <color rgb="FF1155CC"/>
        <rFont val="Roboto"/>
      </rPr>
      <t>https://drive.google.com/open?id=1tXRBO_-jJcFXyb4HfjTbL2UvXus1gBy_</t>
    </r>
  </si>
  <si>
    <r>
      <rPr>
        <u/>
        <sz val="10"/>
        <color rgb="FF1155CC"/>
        <rFont val="Roboto"/>
      </rPr>
      <t>https://drive.google.com/open?id=1cwc9foRx38U2OOaSqjE9TTQJpJUR4djW</t>
    </r>
  </si>
  <si>
    <r>
      <rPr>
        <u/>
        <sz val="10"/>
        <color rgb="FF1155CC"/>
        <rFont val="Roboto"/>
      </rPr>
      <t>https://drive.google.com/open?id=1jc7fXPv1wf52g4ApMQpNbwU67t9CZQbi</t>
    </r>
  </si>
  <si>
    <r>
      <rPr>
        <u/>
        <sz val="10"/>
        <color rgb="FF1155CC"/>
        <rFont val="Roboto"/>
      </rPr>
      <t>https://drive.google.com/open?id=1SYeFmtmRykFwc-pi5hsOEnlYvWqTKBIB</t>
    </r>
  </si>
  <si>
    <r>
      <rPr>
        <u/>
        <sz val="10"/>
        <color rgb="FF1155CC"/>
        <rFont val="Roboto"/>
      </rPr>
      <t>https://drive.google.com/open?id=1FJgp55cUD7GB_Zh0Hj2CLxe9d54wRIvf</t>
    </r>
  </si>
  <si>
    <r>
      <rPr>
        <u/>
        <sz val="10"/>
        <color rgb="FF1155CC"/>
        <rFont val="Roboto"/>
      </rPr>
      <t>https://drive.google.com/open?id=1emqedl2UEuxo5dzjZ7EUstQuMBccP_Qb</t>
    </r>
  </si>
  <si>
    <t>XÂY DỰNG HỆ THỐNG HỖ TRỢ QUYẾT ĐỊNH ĐẦU TƯ CHỨNG KHOÁN DỰA TRÊN MACHINE LEARNING, TỐI ƯU DANH MỤC THEO MARKOWITZ VÀ CHATBOT SỬ DỤNG MÔ HÌNH NGÔN NGỮ LỚN</t>
  </si>
  <si>
    <r>
      <rPr>
        <u/>
        <sz val="10"/>
        <color rgb="FF1155CC"/>
        <rFont val="Roboto"/>
      </rPr>
      <t>https://drive.google.com/open?id=1Yydyi4DgM9JB8k4WYKpKmUuokDuhxgSZ</t>
    </r>
  </si>
  <si>
    <r>
      <rPr>
        <u/>
        <sz val="10"/>
        <color rgb="FF1155CC"/>
        <rFont val="Roboto"/>
      </rPr>
      <t>https://drive.google.com/open?id=1POTSd8KRPk892pkuttvy3UVpfAtFlAwf</t>
    </r>
  </si>
  <si>
    <r>
      <rPr>
        <u/>
        <sz val="10"/>
        <color rgb="FF1155CC"/>
        <rFont val="Roboto"/>
      </rPr>
      <t>https://drive.google.com/open?id=1yXwxtcn2TSosQTcyGwWeRRE0_lCau0SJ</t>
    </r>
  </si>
  <si>
    <r>
      <rPr>
        <u/>
        <sz val="10"/>
        <color rgb="FF1155CC"/>
        <rFont val="Roboto"/>
      </rPr>
      <t>https://drive.google.com/open?id=1lGSvce6eokP8gde93QUuRwi_6C08vTCI</t>
    </r>
  </si>
  <si>
    <r>
      <rPr>
        <u/>
        <sz val="10"/>
        <color rgb="FF1155CC"/>
        <rFont val="Roboto"/>
      </rPr>
      <t>https://drive.google.com/open?id=1iGYCMu1VvjzMptAvGw8G67q-Jc7vwTFv</t>
    </r>
  </si>
  <si>
    <r>
      <rPr>
        <u/>
        <sz val="10"/>
        <color rgb="FF1155CC"/>
        <rFont val="Roboto"/>
      </rPr>
      <t>https://drive.google.com/open?id=1U3CnEa6ocFvdc8GHJVYyNGYQtbzw-W8U</t>
    </r>
  </si>
  <si>
    <r>
      <rPr>
        <u/>
        <sz val="10"/>
        <color rgb="FF1155CC"/>
        <rFont val="Roboto"/>
      </rPr>
      <t>https://drive.google.com/open?id=19usFsYWjPQJXbuF8xQcnqahwXwxLIFDW</t>
    </r>
  </si>
  <si>
    <r>
      <rPr>
        <u/>
        <sz val="10"/>
        <color rgb="FF1155CC"/>
        <rFont val="Roboto"/>
      </rPr>
      <t>https://drive.google.com/open?id=1kGS2UfMW4YwWBWHHWgz84TahRH_405Dc</t>
    </r>
  </si>
  <si>
    <r>
      <rPr>
        <u/>
        <sz val="10"/>
        <color rgb="FF1155CC"/>
        <rFont val="Roboto"/>
      </rPr>
      <t>https://drive.google.com/open?id=1lIBbvy7zZAFYjIci8_JwV4AJICHWQF25</t>
    </r>
  </si>
  <si>
    <r>
      <rPr>
        <u/>
        <sz val="10"/>
        <color rgb="FF1155CC"/>
        <rFont val="Roboto"/>
      </rPr>
      <t>https://drive.google.com/open?id=1hPd-y0QRyP7xAS-Ua-vkhwZN1TUpFtAI</t>
    </r>
  </si>
  <si>
    <r>
      <rPr>
        <u/>
        <sz val="10"/>
        <color rgb="FF1155CC"/>
        <rFont val="Roboto"/>
      </rPr>
      <t>https://drive.google.com/open?id=1xltPUoWnClLWrv2nWIgqT_Aw1VBJxBLB</t>
    </r>
  </si>
  <si>
    <r>
      <rPr>
        <u/>
        <sz val="10"/>
        <color rgb="FF1155CC"/>
        <rFont val="Roboto"/>
      </rPr>
      <t>https://drive.google.com/open?id=1SNM4D0O4WnYwmkuTkTN5VCsW2C0cWmBM</t>
    </r>
  </si>
  <si>
    <r>
      <rPr>
        <u/>
        <sz val="10"/>
        <color rgb="FF1155CC"/>
        <rFont val="Roboto"/>
      </rPr>
      <t>https://drive.google.com/open?id=1cOInpL22aN1zqpejWt5Rz5RJmWVP8b9A</t>
    </r>
  </si>
  <si>
    <r>
      <rPr>
        <u/>
        <sz val="10"/>
        <color rgb="FF1155CC"/>
        <rFont val="Roboto"/>
      </rPr>
      <t>https://drive.google.com/open?id=1bRmRcOoyot2eNBXY4xcJjG9itcztWplK</t>
    </r>
  </si>
  <si>
    <r>
      <rPr>
        <u/>
        <sz val="10"/>
        <color rgb="FF1155CC"/>
        <rFont val="Roboto"/>
      </rPr>
      <t>https://drive.google.com/open?id=1N-metQOioBkML6eHKGqkjOa-ojxspUaw</t>
    </r>
  </si>
  <si>
    <r>
      <rPr>
        <u/>
        <sz val="10"/>
        <color rgb="FF1155CC"/>
        <rFont val="Roboto"/>
      </rPr>
      <t>https://drive.google.com/open?id=1UtSbpdL0wgV7fYMMRFGRvdpYQqAWiXGn</t>
    </r>
  </si>
  <si>
    <r>
      <rPr>
        <u/>
        <sz val="10"/>
        <color rgb="FF1155CC"/>
        <rFont val="Roboto"/>
      </rPr>
      <t>https://drive.google.com/open?id=1153IDWCNz6trk9W6EzfQ2m3DdjqONwc1</t>
    </r>
  </si>
  <si>
    <r>
      <rPr>
        <u/>
        <sz val="10"/>
        <color rgb="FF1155CC"/>
        <rFont val="Roboto"/>
      </rPr>
      <t>https://drive.google.com/open?id=10UiWBXmtXE6rN1vZae6BNOE4nnwOV4P9</t>
    </r>
  </si>
  <si>
    <r>
      <rPr>
        <u/>
        <sz val="10"/>
        <color rgb="FF1155CC"/>
        <rFont val="Roboto"/>
      </rPr>
      <t>https://drive.google.com/open?id=1sLcI2HtyjXJSjXc-km5CZooJ1hbszcx5</t>
    </r>
  </si>
  <si>
    <r>
      <rPr>
        <u/>
        <sz val="10"/>
        <color rgb="FF1155CC"/>
        <rFont val="Roboto"/>
      </rPr>
      <t>https://drive.google.com/open?id=1VFwLWPENj83jC1zsdzhw3kSg_M2KEelZ</t>
    </r>
  </si>
  <si>
    <t>Xếp hạng tín nhiệm các Ngân hàng thương mại tại Việt Nam dựa trên chỉ số tài chính tổng hợp</t>
  </si>
  <si>
    <r>
      <rPr>
        <u/>
        <sz val="10"/>
        <color rgb="FF1155CC"/>
        <rFont val="Roboto"/>
      </rPr>
      <t>https://drive.google.com/open?id=1jX-4KaRAtsygnkcFdI_zbYTxjI4hAoHV</t>
    </r>
  </si>
  <si>
    <r>
      <rPr>
        <u/>
        <sz val="10"/>
        <color rgb="FF1155CC"/>
        <rFont val="Roboto"/>
      </rPr>
      <t>https://drive.google.com/open?id=1GCGMDJf8Nawi7L4r0390eIF5MEyTD17o</t>
    </r>
  </si>
  <si>
    <r>
      <rPr>
        <u/>
        <sz val="10"/>
        <color rgb="FF1155CC"/>
        <rFont val="Roboto"/>
      </rPr>
      <t>https://drive.google.com/open?id=1MR6Xehd9yJupvdOpSpMTs_Nfote25Hda</t>
    </r>
  </si>
  <si>
    <r>
      <rPr>
        <u/>
        <sz val="10"/>
        <color rgb="FF1155CC"/>
        <rFont val="Roboto"/>
      </rPr>
      <t>https://drive.google.com/open?id=1Eh72Ph2M1E1oyxl12YcWeHNOexQk04dD</t>
    </r>
  </si>
  <si>
    <r>
      <rPr>
        <u/>
        <sz val="10"/>
        <color rgb="FF1155CC"/>
        <rFont val="Roboto"/>
      </rPr>
      <t>https://drive.google.com/open?id=1-mXPqR0BOmaZwqXMfMy1MvUJ7ZoJp7VF</t>
    </r>
  </si>
  <si>
    <r>
      <rPr>
        <u/>
        <sz val="10"/>
        <color rgb="FF1155CC"/>
        <rFont val="Roboto"/>
      </rPr>
      <t>https://drive.google.com/open?id=1oE3_zoS4AASoCgR4CmnkuyUvMot1MB2g</t>
    </r>
  </si>
  <si>
    <r>
      <rPr>
        <u/>
        <sz val="10"/>
        <color rgb="FF1155CC"/>
        <rFont val="Roboto"/>
      </rPr>
      <t>https://drive.google.com/open?id=1vk7iVXK4oTHRGQoO6Pw0R49Clq_9MYsO</t>
    </r>
  </si>
  <si>
    <r>
      <rPr>
        <u/>
        <sz val="10"/>
        <color rgb="FF1155CC"/>
        <rFont val="Roboto"/>
      </rPr>
      <t>https://drive.google.com/open?id=1QrmTPSqdJ7-b-afzBFfSZSES4mQ4fuzF</t>
    </r>
  </si>
  <si>
    <r>
      <rPr>
        <u/>
        <sz val="10"/>
        <color rgb="FF1155CC"/>
        <rFont val="Roboto"/>
      </rPr>
      <t>https://drive.google.com/open?id=12SSXRqShHzQxlToSS9ggufQz1OLWAqet</t>
    </r>
  </si>
  <si>
    <r>
      <rPr>
        <u/>
        <sz val="10"/>
        <color rgb="FF1155CC"/>
        <rFont val="Roboto"/>
      </rPr>
      <t>https://drive.google.com/open?id=1gnHRtxvnFb5EhOlF_MKmIUfnjyxb6znk</t>
    </r>
  </si>
  <si>
    <r>
      <rPr>
        <u/>
        <sz val="10"/>
        <color rgb="FF1155CC"/>
        <rFont val="Roboto"/>
      </rPr>
      <t>https://drive.google.com/open?id=12cFSDH0GuX9HjaeSIOjZeugd06MdvNM8</t>
    </r>
  </si>
  <si>
    <r>
      <rPr>
        <u/>
        <sz val="10"/>
        <color rgb="FF1155CC"/>
        <rFont val="Roboto"/>
      </rPr>
      <t>https://drive.google.com/open?id=1RUsP3lf_PIf8K92_Sf-uef0JrX0FzhPk</t>
    </r>
  </si>
  <si>
    <r>
      <rPr>
        <u/>
        <sz val="10"/>
        <color rgb="FF1155CC"/>
        <rFont val="Roboto"/>
      </rPr>
      <t>https://drive.google.com/open?id=1H9pMCTQ3YQ0IoaI6G8LvRqpqB4VajsU0</t>
    </r>
  </si>
  <si>
    <r>
      <rPr>
        <u/>
        <sz val="10"/>
        <color rgb="FF1155CC"/>
        <rFont val="Roboto"/>
      </rPr>
      <t>https://drive.google.com/open?id=1mLHOl0k_jH9DZv1QaQPdVLLOqHT__zd_</t>
    </r>
  </si>
  <si>
    <r>
      <rPr>
        <u/>
        <sz val="10"/>
        <color rgb="FF1155CC"/>
        <rFont val="Roboto"/>
      </rPr>
      <t>https://drive.google.com/open?id=1tzdiUNyM9R5UmezcOyUZWyhMOJ1OXSZf</t>
    </r>
  </si>
  <si>
    <r>
      <rPr>
        <u/>
        <sz val="10"/>
        <color rgb="FF1155CC"/>
        <rFont val="Roboto"/>
      </rPr>
      <t>https://drive.google.com/open?id=14BueM2JPAWozHYKykmq84vh7X6-tNJFU</t>
    </r>
  </si>
  <si>
    <r>
      <rPr>
        <u/>
        <sz val="10"/>
        <color rgb="FF1155CC"/>
        <rFont val="Roboto"/>
      </rPr>
      <t>https://drive.google.com/open?id=1nEhyjOkz0VE0PBQIhqFTJpv1fKyUfA56</t>
    </r>
  </si>
  <si>
    <r>
      <rPr>
        <u/>
        <sz val="10"/>
        <color rgb="FF1155CC"/>
        <rFont val="Roboto"/>
      </rPr>
      <t>https://drive.google.com/open?id=16-X_PSjs7JIlHm8uxtM_p7IdlbKdl69a</t>
    </r>
  </si>
  <si>
    <r>
      <rPr>
        <u/>
        <sz val="10"/>
        <color rgb="FF1155CC"/>
        <rFont val="Roboto"/>
      </rPr>
      <t>https://drive.google.com/open?id=1SjYXA8vBAtqhSoQB5vBlHx1Ut35nOy6o</t>
    </r>
  </si>
  <si>
    <t>FINTECH PARTNERSHIPS AND THE PERFORMANCE OF VIETNAMESE COMMERCIAL BANKS: EVIDENCE ON THE ROLE OF CEO GENDER</t>
  </si>
  <si>
    <r>
      <rPr>
        <u/>
        <sz val="10"/>
        <color rgb="FF1155CC"/>
        <rFont val="Roboto"/>
      </rPr>
      <t>https://drive.google.com/open?id=1Nd5nggmZWYpCISXzVPp4HxV7W7AErtPs</t>
    </r>
  </si>
  <si>
    <r>
      <rPr>
        <u/>
        <sz val="10"/>
        <color rgb="FF1155CC"/>
        <rFont val="Roboto"/>
      </rPr>
      <t>https://drive.google.com/open?id=1RzWPPha3_M2DmNIyDrNjqQICYCwhXj2H</t>
    </r>
  </si>
  <si>
    <r>
      <rPr>
        <u/>
        <sz val="10"/>
        <color rgb="FF1155CC"/>
        <rFont val="Roboto"/>
      </rPr>
      <t>https://drive.google.com/open?id=1kTWt5tWYpqueLEaUuuH9ExeoaKGnw0Tt</t>
    </r>
  </si>
  <si>
    <r>
      <rPr>
        <u/>
        <sz val="10"/>
        <color rgb="FF1155CC"/>
        <rFont val="Roboto"/>
      </rPr>
      <t>https://drive.google.com/open?id=1w0gYi1WcKDjZDrOpTeDJPi8WuJN5DOLY</t>
    </r>
  </si>
  <si>
    <r>
      <rPr>
        <u/>
        <sz val="10"/>
        <color rgb="FF1155CC"/>
        <rFont val="Roboto"/>
      </rPr>
      <t>https://drive.google.com/open?id=1INN_8HLDZA_E5yBd1V43olBLNB_wbXg_</t>
    </r>
  </si>
  <si>
    <r>
      <rPr>
        <u/>
        <sz val="10"/>
        <color rgb="FF1155CC"/>
        <rFont val="Roboto"/>
      </rPr>
      <t>https://drive.google.com/open?id=1c6fabf-BBpQ7C7ChMP61eHyQl52MRqDv</t>
    </r>
  </si>
  <si>
    <r>
      <rPr>
        <u/>
        <sz val="10"/>
        <color rgb="FF1155CC"/>
        <rFont val="Roboto"/>
      </rPr>
      <t>https://drive.google.com/open?id=12IcXMaMTsWSKeN5AsZz26ePXIPq5MNcU</t>
    </r>
  </si>
  <si>
    <t>ANALYSIS OF FINANCIAL MANAGEMENT EFFICIENCY OF HO CHI MINH CITY DEVELOPMENT JOINT STOCK COMMECIAL BANK (HDBANK) USING THE CAMELS FRAMEWORK DURING THE PERIOD 2019 – 2023</t>
  </si>
  <si>
    <r>
      <rPr>
        <u/>
        <sz val="10"/>
        <color rgb="FF1155CC"/>
        <rFont val="Roboto"/>
      </rPr>
      <t>https://drive.google.com/open?id=1MFZGl7XMlI44-QYpHzglpCtoExUefhQd</t>
    </r>
  </si>
  <si>
    <r>
      <rPr>
        <u/>
        <sz val="10"/>
        <color rgb="FF1155CC"/>
        <rFont val="Roboto"/>
      </rPr>
      <t>https://drive.google.com/open?id=1GrHgtiuGMFVeBOLpCK6CmQIfigbDe2oZ</t>
    </r>
  </si>
  <si>
    <r>
      <rPr>
        <u/>
        <sz val="10"/>
        <color rgb="FF1155CC"/>
        <rFont val="Roboto"/>
      </rPr>
      <t>https://drive.google.com/open?id=1h_TO-sTgcFptcf50OXTslG2EfVTnWSB4</t>
    </r>
  </si>
  <si>
    <r>
      <rPr>
        <u/>
        <sz val="10"/>
        <color rgb="FF1155CC"/>
        <rFont val="Roboto"/>
      </rPr>
      <t>https://drive.google.com/open?id=1IZUczFmSsSUx3cFTANtXrp3D_qMwm_9P</t>
    </r>
  </si>
  <si>
    <r>
      <rPr>
        <u/>
        <sz val="10"/>
        <color rgb="FF1155CC"/>
        <rFont val="Roboto"/>
      </rPr>
      <t>https://drive.google.com/open?id=1G054BX5vZlNLCG-TAWB89PBRP1XdIkde</t>
    </r>
  </si>
  <si>
    <r>
      <rPr>
        <u/>
        <sz val="10"/>
        <color rgb="FF1155CC"/>
        <rFont val="Roboto"/>
      </rPr>
      <t>https://drive.google.com/open?id=10KpeldYPf4sJpud9ge7TWANnBWQH8bwK</t>
    </r>
  </si>
  <si>
    <t>Financial Determinants Of Corporate Cash Holdings: Evidence From Non-Financial Listed Companies In Vietnam</t>
  </si>
  <si>
    <r>
      <rPr>
        <u/>
        <sz val="10"/>
        <color rgb="FF1155CC"/>
        <rFont val="Roboto"/>
      </rPr>
      <t>https://drive.google.com/open?id=15DE4ZDiUrX2Yh0qnS6mae8EIl_6JRhlZ</t>
    </r>
  </si>
  <si>
    <r>
      <rPr>
        <u/>
        <sz val="10"/>
        <color rgb="FF1155CC"/>
        <rFont val="Roboto"/>
      </rPr>
      <t>https://drive.google.com/open?id=1MhUnV9MtNjlLmgXuyUrIMZLZnfRH5TvG</t>
    </r>
  </si>
  <si>
    <r>
      <rPr>
        <u/>
        <sz val="10"/>
        <color rgb="FF1155CC"/>
        <rFont val="Roboto"/>
      </rPr>
      <t>https://drive.google.com/open?id=1JvUxqipLGRDzkgSeYKYh9142XUxwR3mz</t>
    </r>
  </si>
  <si>
    <r>
      <rPr>
        <u/>
        <sz val="10"/>
        <color rgb="FF1155CC"/>
        <rFont val="Roboto"/>
      </rPr>
      <t>https://drive.google.com/open?id=1Rwo5UibdDKr23FYYs5uFNi0kccDucLfJ</t>
    </r>
  </si>
  <si>
    <r>
      <rPr>
        <u/>
        <sz val="10"/>
        <color rgb="FF1155CC"/>
        <rFont val="Roboto"/>
      </rPr>
      <t>https://drive.google.com/open?id=15XhpoL6FG4YGwaGAz25RtvyoaYiLnysp</t>
    </r>
  </si>
  <si>
    <r>
      <rPr>
        <u/>
        <sz val="10"/>
        <color rgb="FF1155CC"/>
        <rFont val="Roboto"/>
      </rPr>
      <t>https://drive.google.com/open?id=1MfWRRsZzZqRjRiU5J6Akt859NdTVSw06</t>
    </r>
  </si>
  <si>
    <r>
      <rPr>
        <u/>
        <sz val="10"/>
        <color rgb="FF1155CC"/>
        <rFont val="Roboto"/>
      </rPr>
      <t>https://drive.google.com/open?id=1FpikhrrgeakMA1jsqRLSHvHCUhNsl2o3</t>
    </r>
  </si>
  <si>
    <r>
      <rPr>
        <u/>
        <sz val="10"/>
        <color rgb="FF1155CC"/>
        <rFont val="Roboto"/>
      </rPr>
      <t>https://drive.google.com/open?id=1uRkJoL8a427wRXKLculD4eqPuSKEKN7S</t>
    </r>
  </si>
  <si>
    <r>
      <rPr>
        <u/>
        <sz val="10"/>
        <color rgb="FF1155CC"/>
        <rFont val="Roboto"/>
      </rPr>
      <t>https://drive.google.com/open?id=1FA9m-ZC85a101ZrFUkIi2_XLadbFGbB2</t>
    </r>
  </si>
  <si>
    <r>
      <rPr>
        <u/>
        <sz val="10"/>
        <color rgb="FF1155CC"/>
        <rFont val="Roboto"/>
      </rPr>
      <t>https://drive.google.com/open?id=1wwwobvHURW1OuA9Svdor_ihBk0_vqV3F</t>
    </r>
  </si>
  <si>
    <r>
      <rPr>
        <u/>
        <sz val="10"/>
        <color rgb="FF1155CC"/>
        <rFont val="Roboto"/>
      </rPr>
      <t>https://drive.google.com/open?id=1MMO2klqiwJmVx71SU3BM3tUGI3JYt4N6</t>
    </r>
  </si>
  <si>
    <r>
      <rPr>
        <u/>
        <sz val="10"/>
        <color rgb="FF1155CC"/>
        <rFont val="Roboto"/>
      </rPr>
      <t>https://drive.google.com/open?id=18c7u_or8pO5n6YHqBse2nhgqnbkgaIq0</t>
    </r>
  </si>
  <si>
    <r>
      <rPr>
        <u/>
        <sz val="10"/>
        <color rgb="FF1155CC"/>
        <rFont val="Roboto"/>
      </rPr>
      <t>https://drive.google.com/open?id=1rNRpMNXiZIcH7bXRVDrbgTdfDrFu198F</t>
    </r>
  </si>
  <si>
    <r>
      <rPr>
        <u/>
        <sz val="10"/>
        <color rgb="FF1155CC"/>
        <rFont val="Roboto"/>
      </rPr>
      <t>https://drive.google.com/open?id=1dReAwzubtvA1aM2eVHwqdU-GcDKZbst4</t>
    </r>
  </si>
  <si>
    <t>Các yếu tố ảnh hưởng đến hành vi sử dụng và duy trì thanh toán số tại Việt Nam: Tiếp cận kết hợp phân tích định lượng và khai phá dữ liệu cảm xúc.</t>
  </si>
  <si>
    <r>
      <rPr>
        <u/>
        <sz val="10"/>
        <color rgb="FF1155CC"/>
        <rFont val="Roboto"/>
      </rPr>
      <t>https://drive.google.com/open?id=1EW521o6EsqDPKN4Ls3xmI5PWrzCECI8r</t>
    </r>
  </si>
  <si>
    <r>
      <rPr>
        <u/>
        <sz val="10"/>
        <color rgb="FF1155CC"/>
        <rFont val="Roboto"/>
      </rPr>
      <t>https://drive.google.com/open?id=1njvmG4_yFT_PxWQEx74dVbsfPKsawp2r</t>
    </r>
  </si>
  <si>
    <r>
      <rPr>
        <u/>
        <sz val="10"/>
        <color rgb="FF1155CC"/>
        <rFont val="Roboto"/>
      </rPr>
      <t>https://drive.google.com/open?id=1BGcY_84iIfOD-LDrayg9hlSzUAZQPejs</t>
    </r>
  </si>
  <si>
    <r>
      <rPr>
        <u/>
        <sz val="10"/>
        <color rgb="FF1155CC"/>
        <rFont val="Roboto"/>
      </rPr>
      <t>https://drive.google.com/open?id=13dM8Jgv_WKqJWF6vFfUqOB9izDPx4iT8</t>
    </r>
  </si>
  <si>
    <t>PHÂN TÍCH VÀ ỨNG DỤNG HỌC MÁY TRONG CẢNH BÁO SỚM RỦI RO TÀI CHÍNH CỦA CÁC DOANH NGHIỆP PHI TÀI CHÍNH NIÊM YẾT TẠI VIỆT NAM</t>
  </si>
  <si>
    <r>
      <rPr>
        <u/>
        <sz val="10"/>
        <color rgb="FF1155CC"/>
        <rFont val="Roboto"/>
      </rPr>
      <t>https://drive.google.com/open?id=1C11FbRgWuRhvRLn0A-GJP71ivs78Nuln</t>
    </r>
  </si>
  <si>
    <r>
      <rPr>
        <u/>
        <sz val="10"/>
        <color rgb="FF1155CC"/>
        <rFont val="Roboto"/>
      </rPr>
      <t>https://drive.google.com/open?id=1rznn3NDPrQrgrAcDtCH0D5xxMSEq083g</t>
    </r>
  </si>
  <si>
    <r>
      <rPr>
        <u/>
        <sz val="10"/>
        <color rgb="FF1155CC"/>
        <rFont val="Roboto"/>
      </rPr>
      <t>https://drive.google.com/open?id=1ck4ueyFOzvWD5YlSQrTG8a1zMr0Xd9lg</t>
    </r>
  </si>
  <si>
    <r>
      <rPr>
        <u/>
        <sz val="10"/>
        <color rgb="FF1155CC"/>
        <rFont val="Roboto"/>
      </rPr>
      <t>https://drive.google.com/open?id=1ik8rS8-FKwXAote9J5tcBc2yA80_AfRp</t>
    </r>
  </si>
  <si>
    <r>
      <rPr>
        <u/>
        <sz val="10"/>
        <color rgb="FF1155CC"/>
        <rFont val="Roboto"/>
      </rPr>
      <t>https://drive.google.com/open?id=1VeJNlV_NkR2K-yCn7sqXIiVDRaLovyQ7</t>
    </r>
  </si>
  <si>
    <r>
      <rPr>
        <u/>
        <sz val="10"/>
        <color rgb="FF1155CC"/>
        <rFont val="Roboto"/>
      </rPr>
      <t>https://drive.google.com/open?id=1t4W2DmEesY7z3Tqr2toaONyeH4hfV1Zb</t>
    </r>
  </si>
  <si>
    <r>
      <rPr>
        <u/>
        <sz val="10"/>
        <color rgb="FF1155CC"/>
        <rFont val="Roboto"/>
      </rPr>
      <t>https://drive.google.com/open?id=113l9gmlaKPrLByxtFxLaMA3khi9h_tHL</t>
    </r>
  </si>
  <si>
    <t>k224040613</t>
  </si>
  <si>
    <t>AN ANALYSIS OF LENDING ACTIVITIES FOR INDIVIDUAL CUSTOMERS AT VIETNAM JOINT STOCK COMMERCIAL BANK FOR INDUSTRY AND TRADE - NAM SAI GON BRANCH</t>
  </si>
  <si>
    <r>
      <rPr>
        <u/>
        <sz val="10"/>
        <color rgb="FF1155CC"/>
        <rFont val="Roboto"/>
      </rPr>
      <t>https://drive.google.com/open?id=1lpz0HdRvb8NV3OCSIrNZurGjEFagzL52</t>
    </r>
  </si>
  <si>
    <r>
      <rPr>
        <u/>
        <sz val="10"/>
        <color rgb="FF1155CC"/>
        <rFont val="Roboto"/>
      </rPr>
      <t>https://drive.google.com/open?id=16uLZJ3LGRSA-b2veqxJByic3IXhf1g16</t>
    </r>
  </si>
  <si>
    <r>
      <rPr>
        <u/>
        <sz val="10"/>
        <color rgb="FF1155CC"/>
        <rFont val="Roboto"/>
      </rPr>
      <t>https://drive.google.com/open?id=1sl_yva5_KwOuMYsJX1ARYwDzq4rlovLE</t>
    </r>
  </si>
  <si>
    <r>
      <rPr>
        <u/>
        <sz val="10"/>
        <color rgb="FF1155CC"/>
        <rFont val="Roboto"/>
      </rPr>
      <t>https://drive.google.com/open?id=1mbOmRU9UhnMj1e3Ac0UBN7MiyAPrul9H</t>
    </r>
  </si>
  <si>
    <r>
      <rPr>
        <u/>
        <sz val="10"/>
        <color rgb="FF1155CC"/>
        <rFont val="Roboto"/>
      </rPr>
      <t>https://drive.google.com/open?id=1GT-uxLYPudOJ-mK7Uzgu157fiUgjih8p</t>
    </r>
  </si>
  <si>
    <r>
      <rPr>
        <u/>
        <sz val="10"/>
        <color rgb="FF1155CC"/>
        <rFont val="Roboto"/>
      </rPr>
      <t>https://drive.google.com/open?id=1f9uojzFUBga16paETrwmlx-wGowbbVF6</t>
    </r>
  </si>
  <si>
    <r>
      <rPr>
        <u/>
        <sz val="10"/>
        <color rgb="FF1155CC"/>
        <rFont val="Roboto"/>
      </rPr>
      <t>https://drive.google.com/open?id=1JtolidBIUGBixWrAz_kT1xWktdV-JBQ5</t>
    </r>
  </si>
  <si>
    <r>
      <rPr>
        <u/>
        <sz val="10"/>
        <color rgb="FF1155CC"/>
        <rFont val="Roboto"/>
      </rPr>
      <t>https://drive.google.com/open?id=1XgeKvYKiEQ9qDnQwQNJB1o5QAjTOlzW7</t>
    </r>
  </si>
  <si>
    <r>
      <rPr>
        <u/>
        <sz val="10"/>
        <color rgb="FF1155CC"/>
        <rFont val="Roboto"/>
      </rPr>
      <t>https://drive.google.com/open?id=1jwCIfiRG1PaFpXBOlfzCB-idxThmtQoY</t>
    </r>
  </si>
  <si>
    <r>
      <rPr>
        <u/>
        <sz val="10"/>
        <color rgb="FF1155CC"/>
        <rFont val="Roboto"/>
      </rPr>
      <t>https://drive.google.com/open?id=1lc7a2obXdIsBaGGxvJP4NhfonvjjAH7f</t>
    </r>
  </si>
  <si>
    <r>
      <rPr>
        <u/>
        <sz val="10"/>
        <color rgb="FF1155CC"/>
        <rFont val="Roboto"/>
      </rPr>
      <t>https://drive.google.com/open?id=1FtRwF6YaiwM030qsAMkx-ETnQDK9dG9o</t>
    </r>
  </si>
  <si>
    <r>
      <rPr>
        <u/>
        <sz val="10"/>
        <color rgb="FF1155CC"/>
        <rFont val="Roboto"/>
      </rPr>
      <t>https://drive.google.com/open?id=1AGCuvHP1Q6-XOLF4trIzhhT5b6UvDNrb</t>
    </r>
  </si>
  <si>
    <r>
      <rPr>
        <u/>
        <sz val="10"/>
        <color rgb="FF1155CC"/>
        <rFont val="Roboto"/>
      </rPr>
      <t>https://drive.google.com/open?id=16NNo68FlXd88aK4LrnAR5FAT7g7Y_D9Z</t>
    </r>
  </si>
  <si>
    <r>
      <rPr>
        <u/>
        <sz val="10"/>
        <color rgb="FF1155CC"/>
        <rFont val="Roboto"/>
      </rPr>
      <t>https://drive.google.com/open?id=1uGaZIX-WB7wzcelM4yG10IsvhPfE0qFw</t>
    </r>
  </si>
  <si>
    <t>The Impact of Financial Leverage on Firm Value of HOSE-Listed Manufacturing Companies (2016–2024)</t>
  </si>
  <si>
    <r>
      <rPr>
        <u/>
        <sz val="10"/>
        <color rgb="FF1155CC"/>
        <rFont val="Roboto"/>
      </rPr>
      <t>https://drive.google.com/open?id=1K2NfBDFrHh4cN-5QuF7hJUIYRpARfO73</t>
    </r>
  </si>
  <si>
    <r>
      <rPr>
        <u/>
        <sz val="10"/>
        <color rgb="FF1155CC"/>
        <rFont val="Roboto"/>
      </rPr>
      <t>https://drive.google.com/open?id=1rgW6qbdPhUwlnND7SzI9iUioHz0sQLSm</t>
    </r>
  </si>
  <si>
    <r>
      <rPr>
        <u/>
        <sz val="10"/>
        <color rgb="FF1155CC"/>
        <rFont val="Roboto"/>
      </rPr>
      <t>https://drive.google.com/open?id=1hj4IJfbW8PqtVZ4ksSq5HayAhdtUJbhe</t>
    </r>
  </si>
  <si>
    <r>
      <rPr>
        <u/>
        <sz val="10"/>
        <color rgb="FF1155CC"/>
        <rFont val="Roboto"/>
      </rPr>
      <t>https://drive.google.com/open?id=1Vz5BNY90QzJDn0TAS3F6VG7YZJ-njYP4</t>
    </r>
  </si>
  <si>
    <r>
      <rPr>
        <u/>
        <sz val="10"/>
        <color rgb="FF1155CC"/>
        <rFont val="Roboto"/>
      </rPr>
      <t>https://drive.google.com/open?id=1Td9BnicvMI19o756U06BofN2KnVzo6iu</t>
    </r>
  </si>
  <si>
    <r>
      <rPr>
        <u/>
        <sz val="10"/>
        <color rgb="FF1155CC"/>
        <rFont val="Roboto"/>
      </rPr>
      <t>https://drive.google.com/open?id=1wDVBpFNNtbwga3K9WnHT7TMKS4eEWTRk</t>
    </r>
  </si>
  <si>
    <r>
      <rPr>
        <u/>
        <sz val="10"/>
        <color rgb="FF1155CC"/>
        <rFont val="Roboto"/>
      </rPr>
      <t>https://drive.google.com/open?id=1cx_WMwcybjZYxR0Bz0j9MfQ-SlTReg61</t>
    </r>
  </si>
  <si>
    <t>Các yếu tố tác động đến biên lãi ròng của các ngân hàng quy mô vừa và nhỏ tại Việt Nam giai đoạn 2014-2024</t>
  </si>
  <si>
    <r>
      <rPr>
        <u/>
        <sz val="10"/>
        <color rgb="FF1155CC"/>
        <rFont val="Roboto"/>
      </rPr>
      <t>https://drive.google.com/open?id=11yGhiDuEpewyFuPpEFaX4AjR2P_isdQG</t>
    </r>
  </si>
  <si>
    <r>
      <rPr>
        <u/>
        <sz val="10"/>
        <color rgb="FF1155CC"/>
        <rFont val="Roboto"/>
      </rPr>
      <t>https://drive.google.com/open?id=12tui8HUKjdP38BQeDSoSsFkEE4NEeqGN</t>
    </r>
  </si>
  <si>
    <r>
      <rPr>
        <u/>
        <sz val="10"/>
        <color rgb="FF1155CC"/>
        <rFont val="Roboto"/>
      </rPr>
      <t>https://drive.google.com/open?id=1OouxOWNbfUSAE8JqwRDRXpPN4id4fPJ3</t>
    </r>
  </si>
  <si>
    <r>
      <rPr>
        <u/>
        <sz val="10"/>
        <color rgb="FF1155CC"/>
        <rFont val="Roboto"/>
      </rPr>
      <t>https://drive.google.com/open?id=1OEpYckDJnZy6-xFaEjecrWYk0rZZr-F5</t>
    </r>
  </si>
  <si>
    <r>
      <rPr>
        <u/>
        <sz val="10"/>
        <color rgb="FF1155CC"/>
        <rFont val="Roboto"/>
      </rPr>
      <t>https://drive.google.com/open?id=1L8r8ppUS8S5-DrYEa5168cWLieUMaWuq</t>
    </r>
  </si>
  <si>
    <r>
      <rPr>
        <u/>
        <sz val="10"/>
        <color rgb="FF1155CC"/>
        <rFont val="Roboto"/>
      </rPr>
      <t>https://drive.google.com/open?id=1fXFGkkYkeAFnDWvMCDSdqYbdS41YGTtW</t>
    </r>
  </si>
  <si>
    <r>
      <rPr>
        <u/>
        <sz val="10"/>
        <color rgb="FF1155CC"/>
        <rFont val="Roboto"/>
      </rPr>
      <t>https://drive.google.com/open?id=1QAFhz2ElYbbHTQ8W_8HXKb0J8ASAE87W</t>
    </r>
  </si>
  <si>
    <r>
      <rPr>
        <u/>
        <sz val="10"/>
        <color rgb="FF1155CC"/>
        <rFont val="Roboto"/>
      </rPr>
      <t>https://drive.google.com/open?id=1LfEkdO37csNNcUwmkOmFCP-nxfqm4Y52</t>
    </r>
  </si>
  <si>
    <r>
      <rPr>
        <u/>
        <sz val="10"/>
        <color rgb="FF1155CC"/>
        <rFont val="Roboto"/>
      </rPr>
      <t>https://drive.google.com/open?id=1mavV4_jGLtedbiDa3zq8Rjlnj_S2J7rR</t>
    </r>
  </si>
  <si>
    <r>
      <rPr>
        <u/>
        <sz val="10"/>
        <color rgb="FF1155CC"/>
        <rFont val="Roboto"/>
      </rPr>
      <t>https://drive.google.com/open?id=14rWPLJmTJKqMD8KSlWNXGrSZ3njUmrwh</t>
    </r>
  </si>
  <si>
    <r>
      <rPr>
        <u/>
        <sz val="10"/>
        <color rgb="FF1155CC"/>
        <rFont val="Roboto"/>
      </rPr>
      <t>https://drive.google.com/open?id=1OldC04FdmM2csIvv1gn5hwt0N5DAv9X4</t>
    </r>
  </si>
  <si>
    <r>
      <rPr>
        <u/>
        <sz val="10"/>
        <color rgb="FF1155CC"/>
        <rFont val="Roboto"/>
      </rPr>
      <t>https://drive.google.com/open?id=1Kmx1ZJDTqCrFG_WqUqUovGe-OhQPKMSP</t>
    </r>
  </si>
  <si>
    <t>So sánh và phân tích khả năng dự báo đòn bẩy tài chính giữa các mô hình Học máy và mô hình Kinh tế lượng truyền thống đối với các doanh nghiệp phi tài chính niêm yết tại Việt Nam</t>
  </si>
  <si>
    <r>
      <rPr>
        <u/>
        <sz val="10"/>
        <color rgb="FF1155CC"/>
        <rFont val="Roboto"/>
      </rPr>
      <t>https://drive.google.com/open?id=11eK_eDZNyE3fMVssAzG1H_2ueaOlRrXj</t>
    </r>
  </si>
  <si>
    <r>
      <rPr>
        <u/>
        <sz val="10"/>
        <color rgb="FF1155CC"/>
        <rFont val="Roboto"/>
      </rPr>
      <t>https://drive.google.com/open?id=1t9JO3J6Mn9uw2nfXtUbgcJUIaEDfpfd4</t>
    </r>
  </si>
  <si>
    <r>
      <rPr>
        <u/>
        <sz val="10"/>
        <color rgb="FF1155CC"/>
        <rFont val="Roboto"/>
      </rPr>
      <t>https://drive.google.com/open?id=1k3VHvLUuHzO55cmt1ogWMSYWU_5RRv-y</t>
    </r>
  </si>
  <si>
    <t>Dự báo tỷ lệ đòn bẩy tài chính: So sánh và phân tích khả năng dự báo giữa các mô hình Học máy và mô hình Kinh tế lượng truyền thống đối với các doanh nghiệp phi tài chính được niêm yết tại Việt Nam</t>
  </si>
  <si>
    <r>
      <rPr>
        <u/>
        <sz val="10"/>
        <color rgb="FF1155CC"/>
        <rFont val="Roboto"/>
      </rPr>
      <t>https://drive.google.com/open?id=1_dzaRlymbqO_J7lNRGkF7Ga1qICe0WQq</t>
    </r>
  </si>
  <si>
    <r>
      <rPr>
        <u/>
        <sz val="10"/>
        <color rgb="FF1155CC"/>
        <rFont val="Roboto"/>
      </rPr>
      <t>https://drive.google.com/open?id=1fGWpO8klza-k8mrSA1mvjYhQO_F6W6pG</t>
    </r>
  </si>
  <si>
    <r>
      <rPr>
        <u/>
        <sz val="10"/>
        <color rgb="FF1155CC"/>
        <rFont val="Roboto"/>
      </rPr>
      <t>https://drive.google.com/open?id=19oB0eka7RXUNohXYLxjFiR6mTsgtLyBY</t>
    </r>
  </si>
  <si>
    <t>PREMIER CUSTOMER LENDING ACTIVITIES AT THE JOINT STOCK COMMERCIAL BANK FOR INVESTMENT AND DEVELOPMENT OF VIETNAM – DONG SAI GON BRANCH</t>
  </si>
  <si>
    <r>
      <rPr>
        <u/>
        <sz val="10"/>
        <color rgb="FF1155CC"/>
        <rFont val="Roboto"/>
      </rPr>
      <t>https://drive.google.com/open?id=1-0vUWckh88BfTtiq8acH-dITcfR-YSTw</t>
    </r>
  </si>
  <si>
    <r>
      <rPr>
        <u/>
        <sz val="10"/>
        <color rgb="FF1155CC"/>
        <rFont val="Roboto"/>
      </rPr>
      <t>https://drive.google.com/open?id=15uOIgqJj4AkXCWpZy64A0igbBuIeEZNf</t>
    </r>
  </si>
  <si>
    <r>
      <rPr>
        <u/>
        <sz val="10"/>
        <color rgb="FF1155CC"/>
        <rFont val="Roboto"/>
      </rPr>
      <t>https://drive.google.com/open?id=1bPtn0mPHPKTMvuJ-Dv6x52EW0ZPgUjt-</t>
    </r>
  </si>
  <si>
    <r>
      <rPr>
        <u/>
        <sz val="10"/>
        <color rgb="FF1155CC"/>
        <rFont val="Roboto"/>
      </rPr>
      <t>https://drive.google.com/open?id=1UpXYj3H39zDtCwq-P6wIyVFpU2fPcQo2</t>
    </r>
  </si>
  <si>
    <r>
      <rPr>
        <u/>
        <sz val="10"/>
        <color rgb="FF1155CC"/>
        <rFont val="Roboto"/>
      </rPr>
      <t>https://drive.google.com/open?id=1zEZFt3QIFXlg6RqJors6v931eZGjTeG8</t>
    </r>
  </si>
  <si>
    <r>
      <rPr>
        <u/>
        <sz val="10"/>
        <color rgb="FF1155CC"/>
        <rFont val="Roboto"/>
      </rPr>
      <t>https://drive.google.com/open?id=1Pf2ZQ6KZKQrQt08dsb2iOJkgYf3_W2J3</t>
    </r>
  </si>
  <si>
    <t>The impact of capital structure on liquidity of Vietnamese commercial banks: Evidence during 2019-2025</t>
  </si>
  <si>
    <r>
      <rPr>
        <u/>
        <sz val="10"/>
        <color rgb="FF1155CC"/>
        <rFont val="Roboto"/>
      </rPr>
      <t>https://drive.google.com/open?id=1gKnD7l2C7Hmg2IEABOsCGhK-eH6YIyzD</t>
    </r>
  </si>
  <si>
    <r>
      <rPr>
        <u/>
        <sz val="10"/>
        <color rgb="FF1155CC"/>
        <rFont val="Roboto"/>
      </rPr>
      <t>https://drive.google.com/open?id=1LrKKuKXl-4OtdYaopu_RkAtzSHv5z7XW</t>
    </r>
  </si>
  <si>
    <r>
      <rPr>
        <u/>
        <sz val="10"/>
        <color rgb="FF1155CC"/>
        <rFont val="Roboto"/>
      </rPr>
      <t>https://drive.google.com/open?id=1mMSNihYsEb94hD2XLPqXJubWyhBTMpra</t>
    </r>
  </si>
  <si>
    <r>
      <rPr>
        <u/>
        <sz val="10"/>
        <color rgb="FF1155CC"/>
        <rFont val="Roboto"/>
      </rPr>
      <t>https://drive.google.com/open?id=18Epq500tcInZOdyxjts7YvFMq-JZkXks</t>
    </r>
  </si>
  <si>
    <r>
      <rPr>
        <u/>
        <sz val="10"/>
        <color rgb="FF1155CC"/>
        <rFont val="Roboto"/>
      </rPr>
      <t>https://drive.google.com/open?id=18W0G8EIy_YLVPx8v9TgJCfE1YdC6_umm</t>
    </r>
  </si>
  <si>
    <r>
      <rPr>
        <u/>
        <sz val="10"/>
        <color rgb="FF1155CC"/>
        <rFont val="Roboto"/>
      </rPr>
      <t>https://drive.google.com/open?id=1PGAU9B_kEZgwE_-dsI4Wd5SVGQud_2Gy</t>
    </r>
  </si>
  <si>
    <r>
      <rPr>
        <u/>
        <sz val="10"/>
        <color rgb="FF1155CC"/>
        <rFont val="Roboto"/>
      </rPr>
      <t>https://drive.google.com/open?id=15NoC7VNe9Z6njqvWCuFxaAcAt7_AbdnB</t>
    </r>
  </si>
  <si>
    <t>ỨNG DỤNG HỌC MÁY TRONG PHÂN LOẠI SỨC KHỎE TÀI CHÍNH VÀ ĐÁNH GIÁ TÍN NHIỆM DOANH NGHIỆP PHI TÀI CHÍNH VIỆT NAM</t>
  </si>
  <si>
    <r>
      <rPr>
        <u/>
        <sz val="10"/>
        <color rgb="FF1155CC"/>
        <rFont val="Roboto"/>
      </rPr>
      <t>https://drive.google.com/open?id=1PjLq2RpphSPqoKZG5KH3RXcf75Mlxbmb</t>
    </r>
  </si>
  <si>
    <r>
      <rPr>
        <u/>
        <sz val="10"/>
        <color rgb="FF1155CC"/>
        <rFont val="Roboto"/>
      </rPr>
      <t>https://drive.google.com/open?id=1WprlA3D4DVaEobp5_odpxKOW8PDyxTTA</t>
    </r>
  </si>
  <si>
    <r>
      <rPr>
        <u/>
        <sz val="10"/>
        <color rgb="FF1155CC"/>
        <rFont val="Roboto"/>
      </rPr>
      <t>https://drive.google.com/open?id=1gRiNih6IgUwZ6jl0IDQVlAnTwNKsxWuH</t>
    </r>
  </si>
  <si>
    <r>
      <rPr>
        <u/>
        <sz val="10"/>
        <color rgb="FF1155CC"/>
        <rFont val="Roboto"/>
      </rPr>
      <t>https://drive.google.com/open?id=1RgOEnqncxiwz0uPnMw6askGZVose1ex_</t>
    </r>
  </si>
  <si>
    <r>
      <rPr>
        <u/>
        <sz val="10"/>
        <color rgb="FF1155CC"/>
        <rFont val="Roboto"/>
      </rPr>
      <t>https://drive.google.com/open?id=1BKlk5xZOFLrY30gVCiNIBpWm3fAZ4BZY</t>
    </r>
  </si>
  <si>
    <r>
      <rPr>
        <u/>
        <sz val="10"/>
        <color rgb="FF1155CC"/>
        <rFont val="Roboto"/>
      </rPr>
      <t>https://drive.google.com/open?id=1V0yGNeODKxqS6EzjodbZ0dm54gc9TgaV</t>
    </r>
  </si>
  <si>
    <r>
      <rPr>
        <u/>
        <sz val="10"/>
        <color rgb="FF1155CC"/>
        <rFont val="Roboto"/>
      </rPr>
      <t>https://drive.google.com/open?id=18RQ8wQwDoWSQW4sBKWj3RihVCcsy4yjZ</t>
    </r>
  </si>
  <si>
    <t>Cao Thị Phương Ạnh</t>
  </si>
  <si>
    <r>
      <rPr>
        <u/>
        <sz val="10"/>
        <color rgb="FF1155CC"/>
        <rFont val="Roboto"/>
      </rPr>
      <t>https://drive.google.com/open?id=17MBVAy1wa0SR8yaFeYAn0mla9HWQHGnn</t>
    </r>
  </si>
  <si>
    <r>
      <rPr>
        <u/>
        <sz val="10"/>
        <color rgb="FF1155CC"/>
        <rFont val="Roboto"/>
      </rPr>
      <t>https://drive.google.com/open?id=1t8UyoqDm71ShyxjJ3yxhyuXWHo-fQ3EP</t>
    </r>
  </si>
  <si>
    <r>
      <rPr>
        <u/>
        <sz val="10"/>
        <color rgb="FF1155CC"/>
        <rFont val="Roboto"/>
      </rPr>
      <t>https://drive.google.com/open?id=1gP4OvqoeqPRl-wmq9p-h3uvODzFM4-yl</t>
    </r>
  </si>
  <si>
    <r>
      <rPr>
        <u/>
        <sz val="10"/>
        <color rgb="FF1155CC"/>
        <rFont val="Roboto"/>
      </rPr>
      <t>https://drive.google.com/open?id=1LSSfc8W7cR_6pTdqatT6ksPKn0Xu4u5K</t>
    </r>
  </si>
  <si>
    <r>
      <rPr>
        <u/>
        <sz val="10"/>
        <color rgb="FF1155CC"/>
        <rFont val="Roboto"/>
      </rPr>
      <t>https://drive.google.com/open?id=1wZ065BbLPeQrwtJ8uMJhvQPLmiuNtZRh</t>
    </r>
  </si>
  <si>
    <r>
      <rPr>
        <u/>
        <sz val="10"/>
        <color rgb="FF1155CC"/>
        <rFont val="Roboto"/>
      </rPr>
      <t>https://drive.google.com/open?id=1dNo8f5Zadck6_MwFrvpgfTkyvXw3CIQV</t>
    </r>
  </si>
  <si>
    <r>
      <rPr>
        <u/>
        <sz val="10"/>
        <color rgb="FF1155CC"/>
        <rFont val="Roboto"/>
      </rPr>
      <t>https://drive.google.com/open?id=1EfaSiPWkaQB0rwT_c_uHKoSApnbB03Uk</t>
    </r>
  </si>
  <si>
    <r>
      <rPr>
        <u/>
        <sz val="10"/>
        <color rgb="FF1155CC"/>
        <rFont val="Roboto"/>
      </rPr>
      <t>https://drive.google.com/open?id=1giTfKwo2-75wiVlC4CsgP_841YRSZMRR</t>
    </r>
  </si>
  <si>
    <r>
      <rPr>
        <u/>
        <sz val="10"/>
        <color rgb="FF1155CC"/>
        <rFont val="Roboto"/>
      </rPr>
      <t>https://drive.google.com/open?id=1iJDoe3-7w9iPF6KRl4pNvCHTVYkK6aGf</t>
    </r>
  </si>
  <si>
    <r>
      <rPr>
        <u/>
        <sz val="10"/>
        <color rgb="FF1155CC"/>
        <rFont val="Roboto"/>
      </rPr>
      <t>https://drive.google.com/open?id=1zErh6ZUT-Yqk0uqOJ72HL1Gcyoco35Bn</t>
    </r>
  </si>
  <si>
    <r>
      <rPr>
        <u/>
        <sz val="10"/>
        <color rgb="FF1155CC"/>
        <rFont val="Roboto"/>
      </rPr>
      <t>https://drive.google.com/open?id=1SFyMzggOYrOCej4FkZcKyxcOLQXBrPOj</t>
    </r>
  </si>
  <si>
    <r>
      <rPr>
        <u/>
        <sz val="10"/>
        <color rgb="FF1155CC"/>
        <rFont val="Roboto"/>
      </rPr>
      <t>https://drive.google.com/open?id=1oe6aJSIhzEH_PJBxOTWdBSkjbnVbcx7u</t>
    </r>
  </si>
  <si>
    <r>
      <rPr>
        <u/>
        <sz val="10"/>
        <color rgb="FF1155CC"/>
        <rFont val="Roboto"/>
      </rPr>
      <t>https://drive.google.com/open?id=15JSU7_gXUwDI3UfcDMiFHfEe-Au3hckc</t>
    </r>
  </si>
  <si>
    <r>
      <rPr>
        <u/>
        <sz val="10"/>
        <color rgb="FF1155CC"/>
        <rFont val="Roboto"/>
      </rPr>
      <t>https://drive.google.com/open?id=1YBh8L9twfJOwRl8bJspMxWepbJyeUgSx</t>
    </r>
  </si>
  <si>
    <t>Phân tích thực nghiệm tác động của thông tin cơ bản, kỹ thuật và tâm lý đến dự báo xu hướng cổ phiếu theo ngành: Ứng dụng mạng nơ-ron đa lớp (MLP)</t>
  </si>
  <si>
    <r>
      <rPr>
        <u/>
        <sz val="10"/>
        <color rgb="FF1155CC"/>
        <rFont val="Roboto"/>
      </rPr>
      <t>https://drive.google.com/open?id=1dubNeYfNPfWmXqEmM31y0gq_n6rNaw2b</t>
    </r>
  </si>
  <si>
    <r>
      <rPr>
        <u/>
        <sz val="10"/>
        <color rgb="FF1155CC"/>
        <rFont val="Roboto"/>
      </rPr>
      <t>https://drive.google.com/open?id=1noeH7UJ21wnJce1BOLtSAJe4_l_8GfY3</t>
    </r>
  </si>
  <si>
    <r>
      <rPr>
        <u/>
        <sz val="10"/>
        <color rgb="FF1155CC"/>
        <rFont val="Roboto"/>
      </rPr>
      <t>https://drive.google.com/open?id=1lJgc4LjyprNiZs_hL4hJzRb1CzKj9W3p</t>
    </r>
  </si>
  <si>
    <r>
      <rPr>
        <u/>
        <sz val="10"/>
        <color rgb="FF1155CC"/>
        <rFont val="Roboto"/>
      </rPr>
      <t>https://drive.google.com/open?id=1TAM1UI94ZpbJT2dn4apzTYwpPmqKkRIH</t>
    </r>
  </si>
  <si>
    <r>
      <rPr>
        <u/>
        <sz val="10"/>
        <color rgb="FF1155CC"/>
        <rFont val="Roboto"/>
      </rPr>
      <t>https://drive.google.com/open?id=1gdURw4CmZk3HF2VhB7U0CB7g4CGvk8s2</t>
    </r>
  </si>
  <si>
    <r>
      <rPr>
        <u/>
        <sz val="10"/>
        <color rgb="FF1155CC"/>
        <rFont val="Roboto"/>
      </rPr>
      <t>https://drive.google.com/open?id=15M8CsaTyvOn1Nd_QfWD05Y6XawsDdtZP</t>
    </r>
  </si>
  <si>
    <r>
      <rPr>
        <u/>
        <sz val="10"/>
        <color rgb="FF1155CC"/>
        <rFont val="Roboto"/>
      </rPr>
      <t>https://drive.google.com/open?id=1O3R7hH9XCdxZdULTT8e8RgrAR1R66I6S</t>
    </r>
  </si>
  <si>
    <r>
      <rPr>
        <u/>
        <sz val="10"/>
        <color rgb="FF1155CC"/>
        <rFont val="Roboto"/>
      </rPr>
      <t>https://drive.google.com/open?id=13AA37OJ-cQdYIXlY4AJ_SVAvfB1Hvx2r</t>
    </r>
  </si>
  <si>
    <r>
      <rPr>
        <u/>
        <sz val="10"/>
        <color rgb="FF1155CC"/>
        <rFont val="Roboto"/>
      </rPr>
      <t>https://drive.google.com/open?id=12nM35HF4c5CyR2QLhZVFaajgw-AfxHZ-</t>
    </r>
  </si>
  <si>
    <r>
      <rPr>
        <u/>
        <sz val="10"/>
        <color rgb="FF1155CC"/>
        <rFont val="Roboto"/>
      </rPr>
      <t>https://drive.google.com/open?id=1HGDmrV1AyFMNnE8cbbHgBEVW9t4Kfi-_</t>
    </r>
  </si>
  <si>
    <r>
      <rPr>
        <u/>
        <sz val="10"/>
        <color rgb="FF1155CC"/>
        <rFont val="Roboto"/>
      </rPr>
      <t>https://drive.google.com/open?id=1Wv57NATsyfsfOJ3Wqu4_xw5aLiFUfFqQ</t>
    </r>
  </si>
  <si>
    <r>
      <rPr>
        <u/>
        <sz val="10"/>
        <color rgb="FF1155CC"/>
        <rFont val="Roboto"/>
      </rPr>
      <t>https://drive.google.com/open?id=1ICvqP6NkPQyO07iyE1mUOgM9BQxmY44S</t>
    </r>
  </si>
  <si>
    <r>
      <rPr>
        <u/>
        <sz val="10"/>
        <color rgb="FF1155CC"/>
        <rFont val="Roboto"/>
      </rPr>
      <t>https://drive.google.com/open?id=1q803reKwz-ac2EcN23TT1WhoJhQNaF_N</t>
    </r>
  </si>
  <si>
    <r>
      <rPr>
        <u/>
        <sz val="10"/>
        <color rgb="FF1155CC"/>
        <rFont val="Roboto"/>
      </rPr>
      <t>https://drive.google.com/open?id=1YZ9d8dmUneaIveL7s8HWAblHcmZ1DNvu</t>
    </r>
  </si>
  <si>
    <r>
      <rPr>
        <u/>
        <sz val="10"/>
        <color rgb="FF1155CC"/>
        <rFont val="Roboto"/>
      </rPr>
      <t>https://drive.google.com/open?id=1TM1vT46hVPIrlLXY41qnHHodBkLhjL-q</t>
    </r>
  </si>
  <si>
    <r>
      <rPr>
        <u/>
        <sz val="10"/>
        <color rgb="FF1155CC"/>
        <rFont val="Roboto"/>
      </rPr>
      <t>https://drive.google.com/open?id=1UHxrkB5Ato37VqPjBk_oZUlEKyEQUIh8</t>
    </r>
  </si>
  <si>
    <r>
      <rPr>
        <u/>
        <sz val="10"/>
        <color rgb="FF1155CC"/>
        <rFont val="Roboto"/>
      </rPr>
      <t>https://drive.google.com/open?id=1CeoNVAH4BZ9OmuGdOzZchKfj-B1scLGX</t>
    </r>
  </si>
  <si>
    <r>
      <rPr>
        <u/>
        <sz val="10"/>
        <color rgb="FF1155CC"/>
        <rFont val="Roboto"/>
      </rPr>
      <t>https://drive.google.com/open?id=1m9l7Y5aDeTrqHvocJz8oOOPWFDYhMIO5</t>
    </r>
  </si>
  <si>
    <r>
      <rPr>
        <u/>
        <sz val="10"/>
        <color rgb="FF1155CC"/>
        <rFont val="Roboto"/>
      </rPr>
      <t>https://drive.google.com/open?id=10nwYLPEiRB7_yVriq85Oms19R88wtbee</t>
    </r>
  </si>
  <si>
    <r>
      <rPr>
        <u/>
        <sz val="10"/>
        <color rgb="FF1155CC"/>
        <rFont val="Roboto"/>
      </rPr>
      <t>https://drive.google.com/open?id=1-hb-A2JShzXGc0FIJFiIy6FG6qh1eqGk</t>
    </r>
  </si>
  <si>
    <r>
      <rPr>
        <u/>
        <sz val="10"/>
        <color rgb="FF1155CC"/>
        <rFont val="Roboto"/>
      </rPr>
      <t>https://drive.google.com/open?id=1VvnBOgVshJm1BygDw5_L2TYFyrikjPuC</t>
    </r>
  </si>
  <si>
    <t>APPLYING MACHINE LEARNING TO ASSESS FINANCIAL RISK OF VIETNAMESE LISTED FIRMS USING CLASSICAL BANKRUPTCY MODELS AND PRICE-BASED RISK MEASURES</t>
  </si>
  <si>
    <r>
      <rPr>
        <u/>
        <sz val="10"/>
        <color rgb="FF1155CC"/>
        <rFont val="Roboto"/>
      </rPr>
      <t>https://drive.google.com/open?id=1K5yaP82uARnWCrtHlziR-bnZlRn9HmkW</t>
    </r>
  </si>
  <si>
    <r>
      <rPr>
        <u/>
        <sz val="10"/>
        <color rgb="FF1155CC"/>
        <rFont val="Roboto"/>
      </rPr>
      <t>https://drive.google.com/open?id=1LPGb41iXo9CQJEgUvi_kVonrzN5QhTEu</t>
    </r>
  </si>
  <si>
    <r>
      <rPr>
        <u/>
        <sz val="10"/>
        <color rgb="FF1155CC"/>
        <rFont val="Roboto"/>
      </rPr>
      <t>https://drive.google.com/open?id=10n621xD449Ok7cSWktljnab0xwAyUSyN</t>
    </r>
  </si>
  <si>
    <r>
      <rPr>
        <u/>
        <sz val="10"/>
        <color rgb="FF1155CC"/>
        <rFont val="Roboto"/>
      </rPr>
      <t>https://drive.google.com/open?id=1j0SOYbvN-zT3wki1_Soaju3X2FjgX1mG</t>
    </r>
  </si>
  <si>
    <r>
      <rPr>
        <u/>
        <sz val="10"/>
        <color rgb="FF1155CC"/>
        <rFont val="Roboto"/>
      </rPr>
      <t>https://drive.google.com/open?id=1eM4ZCxfCpPwE1MAtKlcGcnMAnYdCxBQG</t>
    </r>
  </si>
  <si>
    <r>
      <rPr>
        <u/>
        <sz val="10"/>
        <color rgb="FF1155CC"/>
        <rFont val="Roboto"/>
      </rPr>
      <t>https://drive.google.com/open?id=1UwApHKvIJ1MwkL-YGAz-CjR_OSOXmck9</t>
    </r>
  </si>
  <si>
    <r>
      <rPr>
        <u/>
        <sz val="10"/>
        <color rgb="FF1155CC"/>
        <rFont val="Roboto"/>
      </rPr>
      <t>https://drive.google.com/open?id=13RRQ_K4pKqYHGkFsugkJ8erTCg31tNCr</t>
    </r>
  </si>
  <si>
    <t>PREDICTING PROFIT CHANGES AND IDENTIFYING DOWNSIDE PROFIT DECLINE RISK OF LISTED NON-FINANCIAL FIRMS IN VIETNAM USING MACHINE LEARNING</t>
  </si>
  <si>
    <r>
      <rPr>
        <u/>
        <sz val="10"/>
        <color rgb="FF1155CC"/>
        <rFont val="Roboto"/>
      </rPr>
      <t>https://drive.google.com/open?id=1BMx-Pm0tp4jLdFfsi65QUWJswpkYt6Q2</t>
    </r>
  </si>
  <si>
    <r>
      <rPr>
        <u/>
        <sz val="10"/>
        <color rgb="FF1155CC"/>
        <rFont val="Roboto"/>
      </rPr>
      <t>https://drive.google.com/open?id=157_Y08Hdz55wharfDTZl1to79nxToU9Z</t>
    </r>
  </si>
  <si>
    <r>
      <rPr>
        <u/>
        <sz val="10"/>
        <color rgb="FF1155CC"/>
        <rFont val="Roboto"/>
      </rPr>
      <t>https://drive.google.com/open?id=1nUtr12VhlmX2Vw8DpDOjSI8Ba7_xUwm8</t>
    </r>
  </si>
  <si>
    <r>
      <rPr>
        <u/>
        <sz val="10"/>
        <color rgb="FF1155CC"/>
        <rFont val="Roboto"/>
      </rPr>
      <t>https://drive.google.com/open?id=1dJq_RVgjBeEYnc_ImqAGy9-JBEjabtLd</t>
    </r>
  </si>
  <si>
    <r>
      <rPr>
        <u/>
        <sz val="10"/>
        <color rgb="FF1155CC"/>
        <rFont val="Roboto"/>
      </rPr>
      <t>https://drive.google.com/open?id=1MRekJoKTQarKm5u102k8SdEBQBxp7q3L</t>
    </r>
  </si>
  <si>
    <r>
      <rPr>
        <u/>
        <sz val="10"/>
        <color rgb="FF1155CC"/>
        <rFont val="Roboto"/>
      </rPr>
      <t>https://drive.google.com/open?id=1S6EDNgZzqoZ_Mzyqb8I4Z1_6laLIJ6yV</t>
    </r>
  </si>
  <si>
    <r>
      <rPr>
        <u/>
        <sz val="10"/>
        <color rgb="FF1155CC"/>
        <rFont val="Roboto"/>
      </rPr>
      <t>https://drive.google.com/open?id=1en9rUWNEajzF9K31b3O2cQCcMrOZrViM</t>
    </r>
  </si>
  <si>
    <t>THE IMPACT OF NEWS SENTIMENT ON THE FORECASTING ABILITY OF STOCK RETURN VOLATILITY: EMPIRICAL EVIDENCE FROM REAL ESTATE INDUSTRY STOCKS</t>
  </si>
  <si>
    <r>
      <rPr>
        <u/>
        <sz val="10"/>
        <color rgb="FF1155CC"/>
        <rFont val="Roboto"/>
      </rPr>
      <t>https://drive.google.com/open?id=12emzH5_O0nlSpkas2Vd2aLoyT8jgYEj7</t>
    </r>
  </si>
  <si>
    <r>
      <rPr>
        <u/>
        <sz val="10"/>
        <color rgb="FF1155CC"/>
        <rFont val="Roboto"/>
      </rPr>
      <t>https://drive.google.com/open?id=1UwcQbSlEDyygX67oT-QsRVIJKwE4WTF8</t>
    </r>
  </si>
  <si>
    <r>
      <rPr>
        <u/>
        <sz val="10"/>
        <color rgb="FF1155CC"/>
        <rFont val="Roboto"/>
      </rPr>
      <t>https://drive.google.com/open?id=14l0x7AE5VN0yYCcTy4cbnd1mEVjGwtvT</t>
    </r>
  </si>
  <si>
    <r>
      <rPr>
        <u/>
        <sz val="10"/>
        <color rgb="FF1155CC"/>
        <rFont val="Roboto"/>
      </rPr>
      <t>https://drive.google.com/open?id=1m5FU35p93TuLe9zWALJhV_TU14_0oMhx</t>
    </r>
  </si>
  <si>
    <r>
      <rPr>
        <u/>
        <sz val="10"/>
        <color rgb="FF1155CC"/>
        <rFont val="Roboto"/>
      </rPr>
      <t>https://drive.google.com/open?id=1NNbGVU_-DY0G2CbyAZ66WqQdITq8P2QX</t>
    </r>
  </si>
  <si>
    <r>
      <rPr>
        <u/>
        <sz val="10"/>
        <color rgb="FF1155CC"/>
        <rFont val="Roboto"/>
      </rPr>
      <t>https://drive.google.com/open?id=12TDzpCLR3A7o_WXlLxzYmw40bG6Lp7ln</t>
    </r>
  </si>
  <si>
    <r>
      <rPr>
        <u/>
        <sz val="10"/>
        <color rgb="FF1155CC"/>
        <rFont val="Roboto"/>
      </rPr>
      <t>https://drive.google.com/open?id=1blOknRrS5Jgrv53GNIVeepDW2gmCe--N</t>
    </r>
  </si>
  <si>
    <t>THE CURRENT SITUATION OF MOBILIZING SAVINGS DEPOSITS AT VPBANK HO CHI MINH BRANCH, TRANSACTION OFFICE 2</t>
  </si>
  <si>
    <r>
      <rPr>
        <u/>
        <sz val="10"/>
        <color rgb="FF1155CC"/>
        <rFont val="Roboto"/>
      </rPr>
      <t>https://drive.google.com/open?id=1_-Yh7iy6hHbvFizBk15vMm4zVCOBYwoK</t>
    </r>
  </si>
  <si>
    <r>
      <rPr>
        <u/>
        <sz val="10"/>
        <color rgb="FF1155CC"/>
        <rFont val="Roboto"/>
      </rPr>
      <t>https://drive.google.com/open?id=1RFsSR3HqRh5_BmklxL-_yRHrIunC-4DW</t>
    </r>
  </si>
  <si>
    <r>
      <rPr>
        <u/>
        <sz val="10"/>
        <color rgb="FF1155CC"/>
        <rFont val="Roboto"/>
      </rPr>
      <t>https://drive.google.com/open?id=1YCGd-C5vQWSlxpls3_MpqtE8-eewhqZD</t>
    </r>
  </si>
  <si>
    <r>
      <rPr>
        <u/>
        <sz val="10"/>
        <color rgb="FF1155CC"/>
        <rFont val="Roboto"/>
      </rPr>
      <t>https://drive.google.com/open?id=1-rZ-ZucoaJauNbvzEgG6VPW2Kj9jqGPf</t>
    </r>
  </si>
  <si>
    <r>
      <rPr>
        <u/>
        <sz val="10"/>
        <color rgb="FF1155CC"/>
        <rFont val="Roboto"/>
      </rPr>
      <t>https://drive.google.com/open?id=1jRqCqqYaAjCvb9YKNPrLZjMIeR_njvXB</t>
    </r>
  </si>
  <si>
    <r>
      <rPr>
        <u/>
        <sz val="10"/>
        <color rgb="FF1155CC"/>
        <rFont val="Roboto"/>
      </rPr>
      <t>https://drive.google.com/open?id=11gG4rxqqXc6_IQi_RWhcHkueciXv3vrP</t>
    </r>
  </si>
  <si>
    <r>
      <rPr>
        <u/>
        <sz val="10"/>
        <color rgb="FF1155CC"/>
        <rFont val="Roboto"/>
      </rPr>
      <t>https://drive.google.com/open?id=1nvsnIHslClP_EeZefysovQtFQ7qXPWY8</t>
    </r>
  </si>
  <si>
    <t>PHÂN TÍCH HOẠT ĐỘNG CHO VAY KHÁCH HÀNG CÁ NHÂN TẠI NGÂN HÀNG AGRIBANK – CHI NHÁNH DĨ AN SÓNG THẦN</t>
  </si>
  <si>
    <r>
      <rPr>
        <u/>
        <sz val="10"/>
        <color rgb="FF1155CC"/>
        <rFont val="Roboto"/>
      </rPr>
      <t>https://drive.google.com/open?id=1EkDv41M5jteLpPVBSyi2CITBxGHqnW7k</t>
    </r>
  </si>
  <si>
    <r>
      <rPr>
        <u/>
        <sz val="10"/>
        <color rgb="FF1155CC"/>
        <rFont val="Roboto"/>
      </rPr>
      <t>https://drive.google.com/open?id=19JluUdbzQQhkXMtF9sL8n2UWMDSz9X5A</t>
    </r>
  </si>
  <si>
    <r>
      <rPr>
        <u/>
        <sz val="10"/>
        <color rgb="FF1155CC"/>
        <rFont val="Roboto"/>
      </rPr>
      <t>https://drive.google.com/open?id=1pp9gm2O_8PpL2qPWgtoLVoswV9S3uY8B</t>
    </r>
  </si>
  <si>
    <r>
      <rPr>
        <u/>
        <sz val="10"/>
        <color rgb="FF1155CC"/>
        <rFont val="Roboto"/>
      </rPr>
      <t>https://drive.google.com/open?id=1CoYdJf0d_DYGOl6usVw774BLv1xbgnRe</t>
    </r>
  </si>
  <si>
    <r>
      <rPr>
        <u/>
        <sz val="10"/>
        <color rgb="FF1155CC"/>
        <rFont val="Roboto"/>
      </rPr>
      <t>https://drive.google.com/open?id=15bnEA1hV4JtjlNHFlAg5s01eNuFvZk3D</t>
    </r>
  </si>
  <si>
    <r>
      <rPr>
        <u/>
        <sz val="10"/>
        <color rgb="FF1155CC"/>
        <rFont val="Roboto"/>
      </rPr>
      <t>https://drive.google.com/open?id=1jF1dg5PkTJKlvdkAPTXnlbpBmEve2yJn</t>
    </r>
  </si>
  <si>
    <r>
      <rPr>
        <u/>
        <sz val="10"/>
        <color rgb="FF1155CC"/>
        <rFont val="Roboto"/>
      </rPr>
      <t>https://drive.google.com/open?id=1_U65OQoIXW3c0dNaScK1O_c4qWrU8cmk</t>
    </r>
  </si>
  <si>
    <r>
      <rPr>
        <u/>
        <sz val="10"/>
        <color rgb="FF1155CC"/>
        <rFont val="Roboto"/>
      </rPr>
      <t>https://drive.google.com/open?id=1Z3_SMeMwTiNxSFbWgkjzPf1IBT4LDDxF</t>
    </r>
  </si>
  <si>
    <r>
      <rPr>
        <u/>
        <sz val="10"/>
        <color rgb="FF1155CC"/>
        <rFont val="Roboto"/>
      </rPr>
      <t>https://drive.google.com/open?id=1XRIwkn6-MF9y1Yz3kz-km-fcexVu9kH6</t>
    </r>
  </si>
  <si>
    <r>
      <rPr>
        <u/>
        <sz val="10"/>
        <color rgb="FF1155CC"/>
        <rFont val="Roboto"/>
      </rPr>
      <t>https://drive.google.com/open?id=1Zmv0pbvytBv__aLOHzeoDpxFwoaE6qxZ</t>
    </r>
  </si>
  <si>
    <r>
      <rPr>
        <u/>
        <sz val="10"/>
        <color rgb="FF1155CC"/>
        <rFont val="Roboto"/>
      </rPr>
      <t>https://drive.google.com/open?id=1JIEXEas3CPItZeqlCwFxIQCr5a4SOfKH</t>
    </r>
  </si>
  <si>
    <r>
      <rPr>
        <u/>
        <sz val="10"/>
        <color rgb="FF1155CC"/>
        <rFont val="Roboto"/>
      </rPr>
      <t>https://drive.google.com/open?id=1TOd57GzFlrYn8YVdtUrywKvmR7Q5dWtg</t>
    </r>
  </si>
  <si>
    <r>
      <rPr>
        <u/>
        <sz val="10"/>
        <color rgb="FF1155CC"/>
        <rFont val="Roboto"/>
      </rPr>
      <t>https://drive.google.com/open?id=1xqjd-70ojgy_IfzOtPAfLQbx7oKrJiMD</t>
    </r>
  </si>
  <si>
    <t>ỨNG DỤNG MACHINE LEARNING ĐỂ DỰ ĐOÁN QUYẾT ĐỊNH CHI TRẢ CỔ TỨC CỦA CÁC DOANH NGHIỆP NIÊM YẾT TRÊN SÀN HOSE</t>
  </si>
  <si>
    <r>
      <rPr>
        <u/>
        <sz val="10"/>
        <color rgb="FF1155CC"/>
        <rFont val="Roboto"/>
      </rPr>
      <t>https://drive.google.com/open?id=166qovSpYmhgIeWuSC5iRYJwn8HmIv_M4</t>
    </r>
  </si>
  <si>
    <r>
      <rPr>
        <u/>
        <sz val="10"/>
        <color rgb="FF1155CC"/>
        <rFont val="Roboto"/>
      </rPr>
      <t>https://drive.google.com/open?id=1AQw3mMNXiY6hqSOAnhKM1S3rytoMGdec</t>
    </r>
  </si>
  <si>
    <r>
      <rPr>
        <u/>
        <sz val="10"/>
        <color rgb="FF1155CC"/>
        <rFont val="Roboto"/>
      </rPr>
      <t>https://drive.google.com/open?id=1WqlYFnYgAGeQogRBuMHeib6XYr8ylaJr</t>
    </r>
  </si>
  <si>
    <r>
      <rPr>
        <u/>
        <sz val="10"/>
        <color rgb="FF1155CC"/>
        <rFont val="Roboto"/>
      </rPr>
      <t>https://drive.google.com/open?id=1gBGPHVhSQscehQZeM2kMNvmmLUukyJ6f</t>
    </r>
  </si>
  <si>
    <r>
      <rPr>
        <u/>
        <sz val="10"/>
        <color rgb="FF1155CC"/>
        <rFont val="Roboto"/>
      </rPr>
      <t>https://drive.google.com/open?id=1DjcFITIiHeJOaxZ__as3ulU_dVBVEsu1</t>
    </r>
  </si>
  <si>
    <r>
      <rPr>
        <u/>
        <sz val="10"/>
        <color rgb="FF1155CC"/>
        <rFont val="Roboto"/>
      </rPr>
      <t>https://drive.google.com/open?id=1dO2i7Gzh4USYouY8NLV1TOWk2VZsontY</t>
    </r>
  </si>
  <si>
    <r>
      <rPr>
        <u/>
        <sz val="10"/>
        <color rgb="FF1155CC"/>
        <rFont val="Roboto"/>
      </rPr>
      <t>https://drive.google.com/open?id=1cUjkdAseL02rn8vGxo_Vcy0-Pik0xaxl</t>
    </r>
  </si>
  <si>
    <t>Tự động hóa quy trình ghi nhận hóa đơn và đơn đặt hàng (Invoice &amp; Purchase Order)</t>
  </si>
  <si>
    <r>
      <rPr>
        <u/>
        <sz val="10"/>
        <color rgb="FF1155CC"/>
        <rFont val="Roboto"/>
      </rPr>
      <t>https://drive.google.com/open?id=1lAqxiTxZnttf6Vw4ApjR5Ws5AqpgmWMx</t>
    </r>
  </si>
  <si>
    <r>
      <rPr>
        <u/>
        <sz val="10"/>
        <color rgb="FF1155CC"/>
        <rFont val="Roboto"/>
      </rPr>
      <t>https://drive.google.com/open?id=1VBBLfbCwCGJt1sIBVOn40ewU4femhmOl</t>
    </r>
  </si>
  <si>
    <r>
      <rPr>
        <u/>
        <sz val="10"/>
        <color rgb="FF1155CC"/>
        <rFont val="Roboto"/>
      </rPr>
      <t>https://drive.google.com/open?id=1iaLGZD6F9dKl7045TcTWSevQMBwETiwN</t>
    </r>
  </si>
  <si>
    <r>
      <rPr>
        <u/>
        <sz val="10"/>
        <color rgb="FF1155CC"/>
        <rFont val="Roboto"/>
      </rPr>
      <t>https://drive.google.com/open?id=18tJZVAsGfXKDv7Q1HFdrAi2hVfn4fFOB</t>
    </r>
  </si>
  <si>
    <r>
      <rPr>
        <u/>
        <sz val="10"/>
        <color rgb="FF1155CC"/>
        <rFont val="Roboto"/>
      </rPr>
      <t>https://drive.google.com/open?id=1pMyJhCcPlMtR_8ifKeSAAVBuSFfsn6F_</t>
    </r>
  </si>
  <si>
    <r>
      <rPr>
        <u/>
        <sz val="10"/>
        <color rgb="FF1155CC"/>
        <rFont val="Roboto"/>
      </rPr>
      <t>https://drive.google.com/open?id=1qwc-5Jx6Sfw07PuLGUpAzN-osuragFiu</t>
    </r>
  </si>
  <si>
    <r>
      <rPr>
        <u/>
        <sz val="10"/>
        <color rgb="FF1155CC"/>
        <rFont val="Roboto"/>
      </rPr>
      <t>https://drive.google.com/open?id=1GFMobQ4zPPvkmJwkhIhhxI-qLnGP69dZ</t>
    </r>
  </si>
  <si>
    <t>Xu hướng thanh toán không dùng tiền mặt và vai trò của MB trong việc thúc đẩy hành vi này</t>
  </si>
  <si>
    <r>
      <rPr>
        <u/>
        <sz val="10"/>
        <color rgb="FF1155CC"/>
        <rFont val="Roboto"/>
      </rPr>
      <t>https://drive.google.com/open?id=1Tntlxqh2C2FsD_grEQ1T3KwOZ0JlZP0L</t>
    </r>
  </si>
  <si>
    <r>
      <rPr>
        <u/>
        <sz val="10"/>
        <color rgb="FF1155CC"/>
        <rFont val="Roboto"/>
      </rPr>
      <t>https://drive.google.com/open?id=1WzWPs9CNDCFryDWpxCtSDTcM0RLZhVF5</t>
    </r>
  </si>
  <si>
    <r>
      <rPr>
        <u/>
        <sz val="10"/>
        <color rgb="FF1155CC"/>
        <rFont val="Roboto"/>
      </rPr>
      <t>https://drive.google.com/open?id=1iLqTZTrmVVMa6etabTwtBfSkFFCL6fuw</t>
    </r>
  </si>
  <si>
    <t>Dự báo biến động tỷ giá các ngoại tệ chủ chốt tại Việt Nam: Nghiên cứu so sánh giữa các mô hình thống kê và học sâu</t>
  </si>
  <si>
    <r>
      <rPr>
        <u/>
        <sz val="10"/>
        <color rgb="FF1155CC"/>
        <rFont val="Roboto"/>
      </rPr>
      <t>https://drive.google.com/open?id=1ZL5tv8lsR_dzwzLqY-AQRE8Pu6eGrUEL</t>
    </r>
  </si>
  <si>
    <r>
      <rPr>
        <u/>
        <sz val="10"/>
        <color rgb="FF1155CC"/>
        <rFont val="Roboto"/>
      </rPr>
      <t>https://drive.google.com/open?id=12q54KmRdMvgyZlwzDYcPERqgJntostqL</t>
    </r>
  </si>
  <si>
    <r>
      <rPr>
        <u/>
        <sz val="10"/>
        <color rgb="FF1155CC"/>
        <rFont val="Roboto"/>
      </rPr>
      <t>https://drive.google.com/open?id=1-Ciet1dyr5mlTQUrTE734hejb_EwOLMq</t>
    </r>
  </si>
  <si>
    <r>
      <rPr>
        <u/>
        <sz val="10"/>
        <color rgb="FF1155CC"/>
        <rFont val="Roboto"/>
      </rPr>
      <t>https://drive.google.com/open?id=1FzpoahBkF4Deej6KtnDgIjwwIXWZSbg7</t>
    </r>
  </si>
  <si>
    <t>APPLYING MACHINE LEARNING TECHNIQUES TO PREDICT LIQUIDITY RISK IN VIETNAMESE COMMERCIAL BANKS</t>
  </si>
  <si>
    <r>
      <rPr>
        <u/>
        <sz val="10"/>
        <color rgb="FF1155CC"/>
        <rFont val="Roboto"/>
      </rPr>
      <t>https://drive.google.com/open?id=1PHchAnwNklc60p--MA90KaU-Gsia--0Y</t>
    </r>
  </si>
  <si>
    <r>
      <rPr>
        <u/>
        <sz val="10"/>
        <color rgb="FF1155CC"/>
        <rFont val="Roboto"/>
      </rPr>
      <t>https://drive.google.com/open?id=1egnFq3QQkOTZ4mcLurNcLAVd-DLKxcGh</t>
    </r>
  </si>
  <si>
    <r>
      <rPr>
        <u/>
        <sz val="10"/>
        <color rgb="FF1155CC"/>
        <rFont val="Roboto"/>
      </rPr>
      <t>https://drive.google.com/open?id=1wcVsQEiyd7rurf2oPJIRwoAOldB0ygs_</t>
    </r>
  </si>
  <si>
    <r>
      <rPr>
        <u/>
        <sz val="10"/>
        <color rgb="FF1155CC"/>
        <rFont val="Roboto"/>
      </rPr>
      <t>https://drive.google.com/open?id=1h_mZeupS44TgPflfSEpuY_s05KHp6vlX</t>
    </r>
  </si>
  <si>
    <r>
      <rPr>
        <u/>
        <sz val="10"/>
        <color rgb="FF1155CC"/>
        <rFont val="Roboto"/>
      </rPr>
      <t>https://drive.google.com/open?id=1KKrJoXZKWxw882rMIlPcxrmuN_X12uRP</t>
    </r>
  </si>
  <si>
    <r>
      <rPr>
        <u/>
        <sz val="10"/>
        <color rgb="FF1155CC"/>
        <rFont val="Roboto"/>
      </rPr>
      <t>https://drive.google.com/open?id=1c3y001dotHmDz5gWrjouvWohD7NBzr4T</t>
    </r>
  </si>
  <si>
    <r>
      <rPr>
        <u/>
        <sz val="10"/>
        <color rgb="FF1155CC"/>
        <rFont val="Roboto"/>
      </rPr>
      <t>https://drive.google.com/open?id=10n-qMVaBqZABx-ADbdBDzP4CZCv7AGGP</t>
    </r>
  </si>
  <si>
    <t>DEVELOPING A FINANCIAL STATE MONITORING FRAMEWORK FOR NON-FINANCIAL FIRMS LISTED ON THE HO CHI MINH CITY STOCK EXCHANGE BASED CORPORATE FINANCIAL HEALTH INDICATORS FOR THE PERIOD 2020-2024</t>
  </si>
  <si>
    <r>
      <rPr>
        <u/>
        <sz val="10"/>
        <color rgb="FF1155CC"/>
        <rFont val="Roboto"/>
      </rPr>
      <t>https://drive.google.com/open?id=1tphw-xGZQa4-eEuJSU5BxhMnnc5ztKGv</t>
    </r>
  </si>
  <si>
    <r>
      <rPr>
        <u/>
        <sz val="10"/>
        <color rgb="FF1155CC"/>
        <rFont val="Roboto"/>
      </rPr>
      <t>https://drive.google.com/open?id=1R74G10pdfWp_jJcYHVzE3rUywN8dEoDH</t>
    </r>
  </si>
  <si>
    <r>
      <rPr>
        <u/>
        <sz val="10"/>
        <color rgb="FF1155CC"/>
        <rFont val="Roboto"/>
      </rPr>
      <t>https://drive.google.com/open?id=1pkb0v1lzbrfJg5vCyuYi6WouE3QTzLR8</t>
    </r>
  </si>
  <si>
    <r>
      <rPr>
        <u/>
        <sz val="10"/>
        <color rgb="FF1155CC"/>
        <rFont val="Roboto"/>
      </rPr>
      <t>https://drive.google.com/open?id=1l93mWrG5nsk37PxUH--elC6lb_9Jb_h1</t>
    </r>
  </si>
  <si>
    <r>
      <rPr>
        <u/>
        <sz val="10"/>
        <color rgb="FF1155CC"/>
        <rFont val="Roboto"/>
      </rPr>
      <t>https://drive.google.com/open?id=1bwBRA6ON2Lqee9hcY4B6rPpLwN2r55QC</t>
    </r>
  </si>
  <si>
    <r>
      <rPr>
        <u/>
        <sz val="10"/>
        <color rgb="FF1155CC"/>
        <rFont val="Roboto"/>
      </rPr>
      <t>https://drive.google.com/open?id=1Jpvi84lJiTcOL2Vwni4ndmJaxC1tCTOM</t>
    </r>
  </si>
  <si>
    <r>
      <rPr>
        <u/>
        <sz val="10"/>
        <color rgb="FF1155CC"/>
        <rFont val="Roboto"/>
      </rPr>
      <t>https://drive.google.com/open?id=1EdL7O5x6QUNe-ATyS9ongH7RopQmrCyv</t>
    </r>
  </si>
  <si>
    <r>
      <rPr>
        <u/>
        <sz val="10"/>
        <color rgb="FF1155CC"/>
        <rFont val="Roboto"/>
      </rPr>
      <t>https://drive.google.com/open?id=1Jc-UMnspQBNZr0Nbb25qrUlnyEfUSwVu</t>
    </r>
  </si>
  <si>
    <r>
      <rPr>
        <u/>
        <sz val="10"/>
        <color rgb="FF1155CC"/>
        <rFont val="Roboto"/>
      </rPr>
      <t>https://drive.google.com/open?id=1lHqUFMySWsmygQf12beuuxJ8xf2C4YBR</t>
    </r>
  </si>
  <si>
    <r>
      <rPr>
        <u/>
        <sz val="10"/>
        <color rgb="FF1155CC"/>
        <rFont val="Roboto"/>
      </rPr>
      <t>https://drive.google.com/open?id=1dK-OFCESsl7U8R2YblzEL7L09lkpfLlV</t>
    </r>
  </si>
  <si>
    <r>
      <rPr>
        <u/>
        <sz val="10"/>
        <color rgb="FF1155CC"/>
        <rFont val="Roboto"/>
      </rPr>
      <t>https://drive.google.com/open?id=1UzaoSXBMO4CfGq1iiIntbd9aRE6JILEH</t>
    </r>
  </si>
  <si>
    <t>ĐÁNH GIÁ HIỆU QUẢ HOẠT ĐỘNG CỦA CÁC NGÂN HÀNG THƯƠNG MẠI TẠI VIỆT NAM TRONG GIAI ĐOẠN 2020-2024 BẰNG PHƯƠNG PHÁP BAO DỮ LIỆU</t>
  </si>
  <si>
    <r>
      <rPr>
        <u/>
        <sz val="10"/>
        <color rgb="FF1155CC"/>
        <rFont val="Roboto"/>
      </rPr>
      <t>https://drive.google.com/open?id=1K8GLmBYhxX7kyJpMttKl4wxwqkQZuvwW</t>
    </r>
  </si>
  <si>
    <r>
      <rPr>
        <u/>
        <sz val="10"/>
        <color rgb="FF1155CC"/>
        <rFont val="Roboto"/>
      </rPr>
      <t>https://drive.google.com/open?id=1CArhjwikSxNzUmYPxhfWkJmwPB74suv5</t>
    </r>
  </si>
  <si>
    <r>
      <rPr>
        <u/>
        <sz val="10"/>
        <color rgb="FF1155CC"/>
        <rFont val="Roboto"/>
      </rPr>
      <t>https://drive.google.com/open?id=1tuS1_J4QOOa3Hiq6sgoTzPfHHUPDqRYw</t>
    </r>
  </si>
  <si>
    <r>
      <rPr>
        <u/>
        <sz val="10"/>
        <color rgb="FF1155CC"/>
        <rFont val="Roboto"/>
      </rPr>
      <t>https://drive.google.com/open?id=1xh6oIYeGk3U6ezY7Hri-oHKSpQd-5twl</t>
    </r>
  </si>
  <si>
    <r>
      <rPr>
        <u/>
        <sz val="10"/>
        <color rgb="FF1155CC"/>
        <rFont val="Roboto"/>
      </rPr>
      <t>https://drive.google.com/open?id=1VpZVDfeadsu-zCtVyzI_QawwlmJtttUb</t>
    </r>
  </si>
  <si>
    <r>
      <rPr>
        <u/>
        <sz val="10"/>
        <color rgb="FF1155CC"/>
        <rFont val="Roboto"/>
      </rPr>
      <t>https://drive.google.com/open?id=1_ht9lVdVuXUmgsv79-5vKbcALbUVRv9f</t>
    </r>
  </si>
  <si>
    <r>
      <rPr>
        <u/>
        <sz val="10"/>
        <color rgb="FF1155CC"/>
        <rFont val="Roboto"/>
      </rPr>
      <t>https://drive.google.com/open?id=1MZ7599oiRcOQp0CodgVK4pOk5nNN66Rq</t>
    </r>
  </si>
  <si>
    <t>XÂY DỰNG DANH MỤC ĐẦU TƯ TỐI ƯU THEO KHẨU VỊ RỦI RO</t>
  </si>
  <si>
    <r>
      <rPr>
        <u/>
        <sz val="10"/>
        <color rgb="FF1155CC"/>
        <rFont val="Roboto"/>
      </rPr>
      <t>https://drive.google.com/open?id=1AqU5LG3OrDWPNwm9iKGYQZhCFpIYoLHV</t>
    </r>
  </si>
  <si>
    <r>
      <rPr>
        <u/>
        <sz val="10"/>
        <color rgb="FF1155CC"/>
        <rFont val="Roboto"/>
      </rPr>
      <t>https://drive.google.com/open?id=12YkIHmUUVzHgiAy9PugTOerJQrFRbxL2</t>
    </r>
  </si>
  <si>
    <r>
      <rPr>
        <u/>
        <sz val="10"/>
        <color rgb="FF1155CC"/>
        <rFont val="Roboto"/>
      </rPr>
      <t>https://drive.google.com/open?id=12K77f0CuMXL2NkY_DrMXwHHLVwKjFBnb</t>
    </r>
  </si>
  <si>
    <r>
      <rPr>
        <u/>
        <sz val="10"/>
        <color rgb="FF1155CC"/>
        <rFont val="Roboto"/>
      </rPr>
      <t>https://drive.google.com/open?id=1Zt3d2tQWoEksEjCQPYlZTMlOO3qvLmqo</t>
    </r>
  </si>
  <si>
    <r>
      <rPr>
        <u/>
        <sz val="10"/>
        <color rgb="FF1155CC"/>
        <rFont val="Roboto"/>
      </rPr>
      <t>https://drive.google.com/open?id=189fwVhR8V35BiE1q2K8uIrXiHDBP6aac</t>
    </r>
  </si>
  <si>
    <r>
      <rPr>
        <u/>
        <sz val="10"/>
        <color rgb="FF1155CC"/>
        <rFont val="Roboto"/>
      </rPr>
      <t>https://drive.google.com/open?id=1sk7OgVq4ymbQ9EhLypZq2dHWMhaKwJ5H</t>
    </r>
  </si>
  <si>
    <r>
      <rPr>
        <u/>
        <sz val="10"/>
        <color rgb="FF1155CC"/>
        <rFont val="Roboto"/>
      </rPr>
      <t>https://drive.google.com/open?id=1uDhlPfERS-B4D8ck7ALNQgO35pbEA3bF</t>
    </r>
  </si>
  <si>
    <t>FACTORS IMPACT ON FINANCIAL SUSTAINABILITY IN VIETNAMESE JOINT STOCK COMMERCIAL BANKS DURING THE PERIOD: A QUANTILE-BASED APPROACH</t>
  </si>
  <si>
    <r>
      <rPr>
        <u/>
        <sz val="10"/>
        <color rgb="FF1155CC"/>
        <rFont val="Roboto"/>
      </rPr>
      <t>https://drive.google.com/open?id=1SSh_Hhr0Fu9Jb62TEbgxdGEsRKFykRYt</t>
    </r>
  </si>
  <si>
    <r>
      <rPr>
        <u/>
        <sz val="10"/>
        <color rgb="FF1155CC"/>
        <rFont val="Roboto"/>
      </rPr>
      <t>https://drive.google.com/open?id=1zD8EW76dp_9gXqucDWTvNv6-z8Yhxxt0</t>
    </r>
  </si>
  <si>
    <r>
      <rPr>
        <u/>
        <sz val="10"/>
        <color rgb="FF1155CC"/>
        <rFont val="Roboto"/>
      </rPr>
      <t>https://drive.google.com/open?id=1fbOYCNtIFM1JOXTS23XamaCb1imy8To8</t>
    </r>
  </si>
  <si>
    <r>
      <rPr>
        <u/>
        <sz val="10"/>
        <color rgb="FF1155CC"/>
        <rFont val="Roboto"/>
      </rPr>
      <t>https://drive.google.com/open?id=1rE1KUM2gCZLbUrOD1CaHIhcJ24SpDQwL</t>
    </r>
  </si>
  <si>
    <r>
      <rPr>
        <u/>
        <sz val="10"/>
        <color rgb="FF1155CC"/>
        <rFont val="Roboto"/>
      </rPr>
      <t>https://drive.google.com/open?id=14vERjTsgx7f8IqqqZ5rlXtRUTbmVU1y7</t>
    </r>
  </si>
  <si>
    <r>
      <rPr>
        <u/>
        <sz val="10"/>
        <color rgb="FF1155CC"/>
        <rFont val="Roboto"/>
      </rPr>
      <t>https://drive.google.com/open?id=1GABFRLcLVo-rJuEDOu_N0ZABzWu382OC</t>
    </r>
  </si>
  <si>
    <t>ANALYSIS OF FACTORS AFFECTING THE FINANCIAL STRESS OF MATERIALS COMPANIES LISTED ON THE HO CHI MINH CITY STOCK EXCHANGE DURING THE PERIOD 2014–2024</t>
  </si>
  <si>
    <r>
      <rPr>
        <u/>
        <sz val="10"/>
        <color rgb="FF1155CC"/>
        <rFont val="Roboto"/>
      </rPr>
      <t>https://drive.google.com/open?id=1d5EjbDT674DggQmyoVLHMTlJ4z_4NfOS</t>
    </r>
  </si>
  <si>
    <r>
      <rPr>
        <u/>
        <sz val="10"/>
        <color rgb="FF1155CC"/>
        <rFont val="Roboto"/>
      </rPr>
      <t>https://drive.google.com/open?id=1RW2B1DdXewxzyZUl9OMXLfJOjd9P-fnq</t>
    </r>
  </si>
  <si>
    <r>
      <rPr>
        <u/>
        <sz val="10"/>
        <color rgb="FF1155CC"/>
        <rFont val="Roboto"/>
      </rPr>
      <t>https://drive.google.com/open?id=1jeTfvZTpcochE1L1fL9_HGGuhuKD17WL</t>
    </r>
  </si>
  <si>
    <r>
      <rPr>
        <u/>
        <sz val="10"/>
        <color rgb="FF1155CC"/>
        <rFont val="Roboto"/>
      </rPr>
      <t>https://drive.google.com/open?id=18QfMm1Jj2t20BOVXKpXpIhlVpP8jeB7H</t>
    </r>
  </si>
  <si>
    <r>
      <rPr>
        <u/>
        <sz val="10"/>
        <color rgb="FF1155CC"/>
        <rFont val="Roboto"/>
      </rPr>
      <t>https://drive.google.com/open?id=1ZT9tO5DoTRWCgtQGWggkPxctvUpx9xuL</t>
    </r>
  </si>
  <si>
    <r>
      <rPr>
        <u/>
        <sz val="10"/>
        <color rgb="FF1155CC"/>
        <rFont val="Roboto"/>
      </rPr>
      <t>https://drive.google.com/open?id=1Pn0bB2YpMFYQinigs8lE6P9HTHdwf7P7</t>
    </r>
  </si>
  <si>
    <r>
      <rPr>
        <u/>
        <sz val="10"/>
        <color rgb="FF1155CC"/>
        <rFont val="Roboto"/>
      </rPr>
      <t>https://drive.google.com/open?id=1xTuwnXyvMnPn37oUYOh-Jr8E-z6A0Elh</t>
    </r>
  </si>
  <si>
    <t>Tác động của đòn bẩy tài chính lên kiệt quệ tài chính: Trường hợp doanh nghiệp bất động sản niêm yết trên Sở Giao dịch Chứng khoán Thành phố Hồ Chí Minh</t>
  </si>
  <si>
    <r>
      <rPr>
        <u/>
        <sz val="10"/>
        <color rgb="FF1155CC"/>
        <rFont val="Roboto"/>
      </rPr>
      <t>https://drive.google.com/open?id=1p38fk3S42PvlEGk6mFjgq3GOm0bAxrrz</t>
    </r>
  </si>
  <si>
    <r>
      <rPr>
        <u/>
        <sz val="10"/>
        <color rgb="FF1155CC"/>
        <rFont val="Roboto"/>
      </rPr>
      <t>https://drive.google.com/open?id=1QUPPpCSi74btPIUyw3ry26Wv_ejrfois</t>
    </r>
  </si>
  <si>
    <r>
      <rPr>
        <u/>
        <sz val="10"/>
        <color rgb="FF1155CC"/>
        <rFont val="Roboto"/>
      </rPr>
      <t>https://drive.google.com/open?id=1nRtNkdF7ZtK9u82WBi0DKKNPJugxBgQD</t>
    </r>
  </si>
  <si>
    <t>The Impact of Financial Leverage on Financial Distress: The case of Real Estate firms listed on the Ho Chi Minh Stock Exchange</t>
  </si>
  <si>
    <r>
      <rPr>
        <u/>
        <sz val="10"/>
        <color rgb="FF1155CC"/>
        <rFont val="Roboto"/>
      </rPr>
      <t>https://drive.google.com/open?id=1JYWXzbtHVhgeBJDkoS4ELCeERGbh8m-Z</t>
    </r>
  </si>
  <si>
    <r>
      <rPr>
        <u/>
        <sz val="10"/>
        <color rgb="FF1155CC"/>
        <rFont val="Roboto"/>
      </rPr>
      <t>https://drive.google.com/open?id=1qk-hU3f_Y-ewYWWPOQuhbepyr7Jou1J5</t>
    </r>
  </si>
  <si>
    <r>
      <rPr>
        <u/>
        <sz val="10"/>
        <color rgb="FF1155CC"/>
        <rFont val="Roboto"/>
      </rPr>
      <t>https://drive.google.com/open?id=1VSudDsxg1r5WFzFzgH8giYO8LOWSLRH6</t>
    </r>
  </si>
  <si>
    <t>Ứng dụng mô hình Hedonic và Machine Learning trong phân tích các yếu tố ảnh hưởng đến giá căn hộ chung cư tại TP.HCM</t>
  </si>
  <si>
    <r>
      <rPr>
        <u/>
        <sz val="10"/>
        <color rgb="FF1155CC"/>
        <rFont val="Roboto"/>
      </rPr>
      <t>https://drive.google.com/open?id=1MzERKqWe1IYoortKzeCk1OcCN2QV9oaN</t>
    </r>
  </si>
  <si>
    <r>
      <rPr>
        <u/>
        <sz val="10"/>
        <color rgb="FF1155CC"/>
        <rFont val="Roboto"/>
      </rPr>
      <t>https://drive.google.com/open?id=1WBNYxjjh04sAk2w19Sv5lnjQTlxOfRZa</t>
    </r>
  </si>
  <si>
    <r>
      <rPr>
        <u/>
        <sz val="10"/>
        <color rgb="FF1155CC"/>
        <rFont val="Roboto"/>
      </rPr>
      <t>https://drive.google.com/open?id=12UTeuqZBY_b0mbIapJTWrYL6dTNJlk8G</t>
    </r>
  </si>
  <si>
    <r>
      <rPr>
        <u/>
        <sz val="10"/>
        <color rgb="FF1155CC"/>
        <rFont val="Roboto"/>
      </rPr>
      <t>https://drive.google.com/open?id=1rqbS8g3SruQRRw9kpmc5kXg9tKJVEn5h</t>
    </r>
  </si>
  <si>
    <r>
      <rPr>
        <u/>
        <sz val="10"/>
        <color rgb="FF1155CC"/>
        <rFont val="Roboto"/>
      </rPr>
      <t>https://drive.google.com/open?id=18qYOj2RLcPuqUiBf48El9kIZ0IB7xsnu</t>
    </r>
  </si>
  <si>
    <r>
      <rPr>
        <u/>
        <sz val="10"/>
        <color rgb="FF1155CC"/>
        <rFont val="Roboto"/>
      </rPr>
      <t>https://drive.google.com/open?id=1XLub5cc12UzZqd9_Aoee4OMX4RLAgbHI</t>
    </r>
  </si>
  <si>
    <r>
      <rPr>
        <u/>
        <sz val="10"/>
        <color rgb="FF1155CC"/>
        <rFont val="Roboto"/>
      </rPr>
      <t>https://drive.google.com/open?id=1awqvp4LJyUJQ2TFWVSxZXN1kdQ2RL8Ly</t>
    </r>
  </si>
  <si>
    <t>Digital Transformation in Cost Management and Macroeconomic Impacts on Manufacturing Performance: A Case Study at R-pac Vietnam Limited.</t>
  </si>
  <si>
    <r>
      <rPr>
        <u/>
        <sz val="10"/>
        <color rgb="FF1155CC"/>
        <rFont val="Roboto"/>
      </rPr>
      <t>https://drive.google.com/open?id=12bQT5GdaKFB-d-YNzazPVw_OC6G22VoA</t>
    </r>
  </si>
  <si>
    <r>
      <rPr>
        <u/>
        <sz val="10"/>
        <color rgb="FF1155CC"/>
        <rFont val="Roboto"/>
      </rPr>
      <t>https://drive.google.com/open?id=1s7IsjWwiv2YcmtVOY84AywO0mUQsL9eB</t>
    </r>
  </si>
  <si>
    <r>
      <rPr>
        <u/>
        <sz val="10"/>
        <color rgb="FF1155CC"/>
        <rFont val="Roboto"/>
      </rPr>
      <t>https://drive.google.com/open?id=1BnIu12-0_4YyTk4FicrqbO-V2xUcTWGd</t>
    </r>
  </si>
  <si>
    <t>Unveiling Non-linear Dynamics: How Economic Policy Uncertainty Impacts Manufacturing Stock Returns through XGBoost and Random Forest Analysis.</t>
  </si>
  <si>
    <r>
      <rPr>
        <u/>
        <sz val="10"/>
        <color rgb="FF1155CC"/>
        <rFont val="Roboto"/>
      </rPr>
      <t>https://drive.google.com/open?id=1BXrXuHjaYZJeGqw9UA-qrMNj4p-OSff8</t>
    </r>
  </si>
  <si>
    <r>
      <rPr>
        <u/>
        <sz val="10"/>
        <color rgb="FF1155CC"/>
        <rFont val="Roboto"/>
      </rPr>
      <t>https://drive.google.com/open?id=1LSivDPmyb79hxjH2u1KNveOlWZqUi0T3</t>
    </r>
  </si>
  <si>
    <r>
      <rPr>
        <u/>
        <sz val="10"/>
        <color rgb="FF1155CC"/>
        <rFont val="Roboto"/>
      </rPr>
      <t>https://drive.google.com/open?id=1vzuRHxrRa8d7dDZP-wTtUaC-sQ_oGiNW</t>
    </r>
  </si>
  <si>
    <r>
      <rPr>
        <u/>
        <sz val="10"/>
        <color rgb="FF1155CC"/>
        <rFont val="Roboto"/>
      </rPr>
      <t>https://drive.google.com/open?id=1L0aqAVzDbd-ezi7-K_Ox2td54tNM0ufq</t>
    </r>
  </si>
  <si>
    <t>Financial News Sentiment and Short-Term Stock Direction Prediction: Evidence from VN30 Firms</t>
  </si>
  <si>
    <r>
      <rPr>
        <u/>
        <sz val="10"/>
        <color rgb="FF1155CC"/>
        <rFont val="Roboto"/>
      </rPr>
      <t>https://drive.google.com/open?id=1sBKtmKmyKUTtQ9THxd3hY0c4C-QqVEHH</t>
    </r>
  </si>
  <si>
    <r>
      <rPr>
        <u/>
        <sz val="10"/>
        <color rgb="FF1155CC"/>
        <rFont val="Roboto"/>
      </rPr>
      <t>https://drive.google.com/open?id=1ZPsapHm8I7ZdwphjsZSnW46-tPKfCIYB</t>
    </r>
  </si>
  <si>
    <r>
      <rPr>
        <u/>
        <sz val="10"/>
        <color rgb="FF1155CC"/>
        <rFont val="Roboto"/>
      </rPr>
      <t>https://drive.google.com/open?id=1mM4YX33mpAoiqsg4aef3Lq8LavdoMClg</t>
    </r>
  </si>
  <si>
    <t>Financial News Sentiment and Short-Term Stock Direction Prediction:\\ Evidence from VN30 Firms</t>
  </si>
  <si>
    <r>
      <rPr>
        <u/>
        <sz val="10"/>
        <color rgb="FF1155CC"/>
        <rFont val="Roboto"/>
      </rPr>
      <t>https://drive.google.com/open?id=1Sev5CtkGnJJUDJwyzkgSsXgA5db3m3jZ</t>
    </r>
  </si>
  <si>
    <r>
      <rPr>
        <u/>
        <sz val="10"/>
        <color rgb="FF1155CC"/>
        <rFont val="Roboto"/>
      </rPr>
      <t>https://drive.google.com/open?id=1lR387YkF6fnLBzIWKfaebgWEK3w2ghTS</t>
    </r>
  </si>
  <si>
    <r>
      <rPr>
        <u/>
        <sz val="10"/>
        <color rgb="FF1155CC"/>
        <rFont val="Roboto"/>
      </rPr>
      <t>https://drive.google.com/open?id=1Z_npW6z9YO3oyLQeVmlK9gMq8C7dnkHF</t>
    </r>
  </si>
  <si>
    <r>
      <rPr>
        <u/>
        <sz val="10"/>
        <color rgb="FF1155CC"/>
        <rFont val="Roboto"/>
      </rPr>
      <t>https://drive.google.com/open?id=1xP8Vq7nyW9tYprEz8IwV9uC8mpslKfEZ</t>
    </r>
  </si>
  <si>
    <t>baochaunguyen694@gmail.com</t>
  </si>
  <si>
    <t>ANALYSIS OF BUSINESS PERFORMANCE AT ANH MINH CO., LTD</t>
  </si>
  <si>
    <r>
      <rPr>
        <u/>
        <sz val="10"/>
        <color rgb="FF1155CC"/>
        <rFont val="Roboto"/>
      </rPr>
      <t>https://drive.google.com/open?id=1dXEzloJmecdXHvwKGbFp_K74qE3tvqG2</t>
    </r>
  </si>
  <si>
    <r>
      <rPr>
        <u/>
        <sz val="10"/>
        <color rgb="FF1155CC"/>
        <rFont val="Roboto"/>
      </rPr>
      <t>https://drive.google.com/open?id=1RlzlSeeegp0PFy44hF5QSTC7kTvGkrsG</t>
    </r>
  </si>
  <si>
    <r>
      <rPr>
        <u/>
        <sz val="10"/>
        <color rgb="FF1155CC"/>
        <rFont val="Roboto"/>
      </rPr>
      <t>https://drive.google.com/open?id=1tzea4vgZgf-x4KqI778KPqEqQXP9Kykd</t>
    </r>
  </si>
  <si>
    <r>
      <rPr>
        <u/>
        <sz val="10"/>
        <color rgb="FF1155CC"/>
        <rFont val="Roboto"/>
      </rPr>
      <t>https://drive.google.com/open?id=1F-jRjtqt-14dhtWiA78S3WjXKNdQ6pC1</t>
    </r>
  </si>
  <si>
    <r>
      <rPr>
        <u/>
        <sz val="10"/>
        <color rgb="FF1155CC"/>
        <rFont val="Roboto"/>
      </rPr>
      <t>https://drive.google.com/open?id=1cfwjNq8I0TmiuW-qScwF4__gQZbF8Moh</t>
    </r>
  </si>
  <si>
    <r>
      <rPr>
        <u/>
        <sz val="10"/>
        <color rgb="FF1155CC"/>
        <rFont val="Roboto"/>
      </rPr>
      <t>https://drive.google.com/open?id=1miuejRbZv0h_tkc8vGK9trg32wzdrL5X</t>
    </r>
  </si>
  <si>
    <r>
      <rPr>
        <u/>
        <sz val="10"/>
        <color rgb="FF1155CC"/>
        <rFont val="Roboto"/>
      </rPr>
      <t>https://drive.google.com/open?id=1gEAnWwquEPTHpH_-BjkMD9jBfEmKgrz0</t>
    </r>
  </si>
  <si>
    <t>Ứng dụng Graph Neural Network trong dự báo và phân tích lan truyền rủi ro tài chính doanh nghiệp tại Việt Nam</t>
  </si>
  <si>
    <r>
      <rPr>
        <u/>
        <sz val="10"/>
        <color rgb="FF1155CC"/>
        <rFont val="Roboto"/>
      </rPr>
      <t>https://drive.google.com/open?id=1cZ63RkuhVAkB8FJaWmjnyCN8lddq16bF</t>
    </r>
  </si>
  <si>
    <r>
      <rPr>
        <u/>
        <sz val="10"/>
        <color rgb="FF1155CC"/>
        <rFont val="Roboto"/>
      </rPr>
      <t>https://drive.google.com/open?id=1sHGrvmZYCKD_A0mEbqo2f2aUtuFPdfEK</t>
    </r>
  </si>
  <si>
    <r>
      <rPr>
        <u/>
        <sz val="10"/>
        <color rgb="FF1155CC"/>
        <rFont val="Roboto"/>
      </rPr>
      <t>https://drive.google.com/open?id=1pHqHxcdAuxRmI4vRP7CNKoa1hDltCeJz</t>
    </r>
  </si>
  <si>
    <r>
      <rPr>
        <u/>
        <sz val="10"/>
        <color rgb="FF1155CC"/>
        <rFont val="Roboto"/>
      </rPr>
      <t>https://drive.google.com/open?id=1U5K_-h0dv_c1uIKCkahKmWmzVeaTolni</t>
    </r>
  </si>
  <si>
    <r>
      <rPr>
        <u/>
        <sz val="10"/>
        <color rgb="FF1155CC"/>
        <rFont val="Roboto"/>
      </rPr>
      <t>https://drive.google.com/open?id=1pnh9ApM_dG3j1eF57-xFDuEs4THGV2Q0</t>
    </r>
  </si>
  <si>
    <r>
      <rPr>
        <u/>
        <sz val="10"/>
        <color rgb="FF1155CC"/>
        <rFont val="Roboto"/>
      </rPr>
      <t>https://drive.google.com/open?id=13UXpA7uei85RKAa02A2ohCYOkYPYbRnL</t>
    </r>
  </si>
  <si>
    <r>
      <rPr>
        <u/>
        <sz val="10"/>
        <color rgb="FF1155CC"/>
        <rFont val="Roboto"/>
      </rPr>
      <t>https://drive.google.com/open?id=1Xr6OJbh51tddmXgZF8pOqrg5TB6KmtFQ</t>
    </r>
  </si>
  <si>
    <t>APPLYING FINANCIAL ANALYSIS METHODS IN EVALUATING STORE OPENING PROJECTS - A CASE STUDY AT KATINAT CAFÉ JOINT STOCK</t>
  </si>
  <si>
    <r>
      <rPr>
        <u/>
        <sz val="10"/>
        <color rgb="FF1155CC"/>
        <rFont val="Roboto"/>
      </rPr>
      <t>https://drive.google.com/open?id=1XFqim3m0qP9TJD2Px57RBP8LhM0bGf0n</t>
    </r>
  </si>
  <si>
    <r>
      <rPr>
        <u/>
        <sz val="10"/>
        <color rgb="FF1155CC"/>
        <rFont val="Roboto"/>
      </rPr>
      <t>https://drive.google.com/open?id=1GzrYUBwZKFdPE8ndDFzSLjBjawdjvL6H</t>
    </r>
  </si>
  <si>
    <r>
      <rPr>
        <u/>
        <sz val="10"/>
        <color rgb="FF1155CC"/>
        <rFont val="Roboto"/>
      </rPr>
      <t>https://drive.google.com/open?id=1GlFu7cdbFdhe2SDOqcxyehX5wVivpGSO</t>
    </r>
  </si>
  <si>
    <t>Investment Efficiency and Firm-Level Determinants of Investment Deviation: Evidence from Vietnamese Non-Financial Firms</t>
  </si>
  <si>
    <r>
      <rPr>
        <u/>
        <sz val="10"/>
        <color rgb="FF1155CC"/>
        <rFont val="Roboto"/>
      </rPr>
      <t>https://drive.google.com/open?id=1MOnapvIgYdr1i72IMc5zK9k5TVMNhl_D</t>
    </r>
  </si>
  <si>
    <r>
      <rPr>
        <u/>
        <sz val="10"/>
        <color rgb="FF1155CC"/>
        <rFont val="Roboto"/>
      </rPr>
      <t>https://drive.google.com/open?id=11Cpqwd-n2Nvd32Si8r4NSN1-P3PT-nOM</t>
    </r>
  </si>
  <si>
    <r>
      <rPr>
        <u/>
        <sz val="10"/>
        <color rgb="FF1155CC"/>
        <rFont val="Roboto"/>
      </rPr>
      <t>https://drive.google.com/open?id=1_IoV-73QnfWRVb8GYutYiBFYXyxvOtK0</t>
    </r>
  </si>
  <si>
    <t>K22424C</t>
  </si>
  <si>
    <t>TỐI ƯU HÓA DANH MỤC ĐẦU TƯ DỰA TRÊN DỰ BÁO LỢI SUẤT BẰNG CÁC MÔ HÌNH HỌC MÁY VÀ HỌC SÂU</t>
  </si>
  <si>
    <r>
      <rPr>
        <u/>
        <sz val="10"/>
        <color rgb="FF1155CC"/>
        <rFont val="Roboto"/>
      </rPr>
      <t>https://drive.google.com/open?id=1leHDLjai5-yN7UbhomO6T9WKFpL5E5iT</t>
    </r>
  </si>
  <si>
    <r>
      <rPr>
        <u/>
        <sz val="10"/>
        <color rgb="FF1155CC"/>
        <rFont val="Roboto"/>
      </rPr>
      <t>https://drive.google.com/open?id=1d5k41ygMvz5aKL0CZ4ya9w9eJnf6hBcS</t>
    </r>
  </si>
  <si>
    <r>
      <rPr>
        <u/>
        <sz val="10"/>
        <color rgb="FF1155CC"/>
        <rFont val="Roboto"/>
      </rPr>
      <t>https://drive.google.com/open?id=1qJXuPJBjRiNh9akDI0_o3geRqcXUJ45A</t>
    </r>
  </si>
  <si>
    <r>
      <rPr>
        <u/>
        <sz val="10"/>
        <color rgb="FF1155CC"/>
        <rFont val="Roboto"/>
      </rPr>
      <t>https://drive.google.com/open?id=19cSXqoAzuh-GmVZ9lbsd1KmaUprdwCrM</t>
    </r>
  </si>
  <si>
    <r>
      <rPr>
        <u/>
        <sz val="10"/>
        <color rgb="FF1155CC"/>
        <rFont val="Roboto"/>
      </rPr>
      <t>https://drive.google.com/open?id=16lUF0_S-U46ytDiZYuzOFOobEqPQ0mN-</t>
    </r>
  </si>
  <si>
    <r>
      <rPr>
        <u/>
        <sz val="10"/>
        <color rgb="FF1155CC"/>
        <rFont val="Roboto"/>
      </rPr>
      <t>https://drive.google.com/open?id=1LKiKy3L9iNSu11AfG5O-JCrp60OxJNRq</t>
    </r>
  </si>
  <si>
    <r>
      <rPr>
        <u/>
        <sz val="10"/>
        <color rgb="FF1155CC"/>
        <rFont val="Roboto"/>
      </rPr>
      <t>https://drive.google.com/open?id=1lwCNcXeUzPe_H883-CdWrdoPcBoPMizK</t>
    </r>
  </si>
  <si>
    <t>THE IMPACT OF BOARD CHARACTERISTICS ON THE PERFORMANCE OF COMMERCIAL BANKS LISTED IN VIETNAM</t>
  </si>
  <si>
    <r>
      <rPr>
        <u/>
        <sz val="10"/>
        <color rgb="FF1155CC"/>
        <rFont val="Roboto"/>
      </rPr>
      <t>https://drive.google.com/open?id=1UdiyFTp4_I4HcWIwuF1AMlC9wZWh8Hnj</t>
    </r>
  </si>
  <si>
    <r>
      <rPr>
        <u/>
        <sz val="10"/>
        <color rgb="FF1155CC"/>
        <rFont val="Roboto"/>
      </rPr>
      <t>https://drive.google.com/open?id=1JSZcXWLnYl8j6-LQdZNeck8lLfMu4hqU</t>
    </r>
  </si>
  <si>
    <r>
      <rPr>
        <u/>
        <sz val="10"/>
        <color rgb="FF1155CC"/>
        <rFont val="Roboto"/>
      </rPr>
      <t>https://drive.google.com/open?id=1su2l3gf5JfgbE80Y_gmIs4xaWASjwNfp</t>
    </r>
  </si>
  <si>
    <t>THE IMPACT OF BOARD CHARACTERISTICS ON THE FINANCIAL PERFORMANCE OF LISTED COMMERCIAL BANKS IN VIETNAM: EVIDENCE FROM 2015-2024</t>
  </si>
  <si>
    <r>
      <rPr>
        <u/>
        <sz val="10"/>
        <color rgb="FF1155CC"/>
        <rFont val="Roboto"/>
      </rPr>
      <t>https://drive.google.com/open?id=15j5YHsntLpLHRKY-37OhUdxiuoKMh1Ss</t>
    </r>
  </si>
  <si>
    <r>
      <rPr>
        <u/>
        <sz val="10"/>
        <color rgb="FF1155CC"/>
        <rFont val="Roboto"/>
      </rPr>
      <t>https://drive.google.com/open?id=14vosYyJQwP4iRF_ZNUXTsHLj6CkvRN5V</t>
    </r>
  </si>
  <si>
    <r>
      <rPr>
        <u/>
        <sz val="10"/>
        <color rgb="FF1155CC"/>
        <rFont val="Roboto"/>
      </rPr>
      <t>https://drive.google.com/open?id=1Tr-aUWXmBWmU-4ofiuZrYxs1ifQ9hcIx</t>
    </r>
  </si>
  <si>
    <r>
      <rPr>
        <u/>
        <sz val="10"/>
        <color rgb="FF1155CC"/>
        <rFont val="Roboto"/>
      </rPr>
      <t>https://drive.google.com/open?id=1-4mQbWgXX69uaLIhfBz1f-dCMzG1sGKc</t>
    </r>
  </si>
  <si>
    <t>QuantVN Strategy Forge : Chuẩn hóa quy trình backtesting cho cổ phiếu HOSE</t>
  </si>
  <si>
    <r>
      <rPr>
        <u/>
        <sz val="10"/>
        <color rgb="FF1155CC"/>
        <rFont val="Roboto"/>
      </rPr>
      <t>https://drive.google.com/open?id=1P-Fz8qlq7qQKWyl9Mk27PQTbzfkv-NTR</t>
    </r>
  </si>
  <si>
    <r>
      <rPr>
        <u/>
        <sz val="10"/>
        <color rgb="FF1155CC"/>
        <rFont val="Roboto"/>
      </rPr>
      <t>https://drive.google.com/open?id=1WhrVF_rx4hT-PKRFVQpJOw2pPjxzyC8v</t>
    </r>
  </si>
  <si>
    <r>
      <rPr>
        <u/>
        <sz val="10"/>
        <color rgb="FF1155CC"/>
        <rFont val="Roboto"/>
      </rPr>
      <t>https://drive.google.com/open?id=1kPldGgbvfyQPebrXGvV0QKiotgrGjRsr</t>
    </r>
  </si>
  <si>
    <t>QuantVN Strategy Forge: Thiết kế và triển khai nền tảng phân tích định lượng hỗ trợ xây dựng chiến lược giao dịch và kiểm định quá khứ trên thị trường cổ phiếu Việt Nam (HOSE)</t>
  </si>
  <si>
    <r>
      <rPr>
        <u/>
        <sz val="10"/>
        <color rgb="FF1155CC"/>
        <rFont val="Roboto"/>
      </rPr>
      <t>https://drive.google.com/open?id=17R1d5-5pxA0Ba0AC7kKHNbZKHZrnAYss</t>
    </r>
  </si>
  <si>
    <r>
      <rPr>
        <u/>
        <sz val="10"/>
        <color rgb="FF1155CC"/>
        <rFont val="Roboto"/>
      </rPr>
      <t>https://drive.google.com/open?id=1PtT5e0m0JfaHGy-9pPBRyAnTQBa9QIBM</t>
    </r>
  </si>
  <si>
    <r>
      <rPr>
        <u/>
        <sz val="10"/>
        <color rgb="FF1155CC"/>
        <rFont val="Roboto"/>
      </rPr>
      <t>https://drive.google.com/open?id=1Dkl1dCD_48wtYXTlDNzNeN9-iHEQICdS</t>
    </r>
  </si>
  <si>
    <r>
      <rPr>
        <u/>
        <sz val="10"/>
        <color rgb="FF1155CC"/>
        <rFont val="Roboto"/>
      </rPr>
      <t>https://drive.google.com/open?id=1-VNXDWOhNvKyNBMvHCtIh7_C0C2qYqA1</t>
    </r>
  </si>
  <si>
    <t>Phân tích hoạt động tín dụng doanh nghiệp tại ngân hàng TMCP Bản Việt - Chi Nhánh Nam Sài Gòn</t>
  </si>
  <si>
    <r>
      <rPr>
        <u/>
        <sz val="10"/>
        <color rgb="FF1155CC"/>
        <rFont val="Roboto"/>
      </rPr>
      <t>https://drive.google.com/open?id=1EtAmndjV1WjWOUs-t-ZpOuOAkpO7dBpv</t>
    </r>
  </si>
  <si>
    <r>
      <rPr>
        <u/>
        <sz val="10"/>
        <color rgb="FF1155CC"/>
        <rFont val="Roboto"/>
      </rPr>
      <t>https://drive.google.com/open?id=1ErZ7kHLPUxDPR7Ym9dYgao0On9FEmlyz</t>
    </r>
  </si>
  <si>
    <r>
      <rPr>
        <u/>
        <sz val="10"/>
        <color rgb="FF1155CC"/>
        <rFont val="Roboto"/>
      </rPr>
      <t>https://drive.google.com/open?id=1R-pepwMat5iTbdsvumkUoUzwDfySG4h7</t>
    </r>
  </si>
  <si>
    <t>Ứng dụng thuật toán phân cụm trong xây dựng mô hình chấm điểm tín dụng doanh nghiệp</t>
  </si>
  <si>
    <r>
      <rPr>
        <u/>
        <sz val="10"/>
        <color rgb="FF1155CC"/>
        <rFont val="Roboto"/>
      </rPr>
      <t>https://drive.google.com/open?id=192cNv33ABUm8Z5LICz_76AKJv5OesCV5</t>
    </r>
  </si>
  <si>
    <r>
      <rPr>
        <u/>
        <sz val="10"/>
        <color rgb="FF1155CC"/>
        <rFont val="Roboto"/>
      </rPr>
      <t>https://drive.google.com/open?id=1-99E1ujeXHdm-Sx8zrjkOHC08PyLGE7y</t>
    </r>
  </si>
  <si>
    <r>
      <rPr>
        <u/>
        <sz val="10"/>
        <color rgb="FF1155CC"/>
        <rFont val="Roboto"/>
      </rPr>
      <t>https://drive.google.com/open?id=1mwTpCZKpholNW74NsIQlle6y-31OaVlx</t>
    </r>
  </si>
  <si>
    <r>
      <rPr>
        <u/>
        <sz val="10"/>
        <color rgb="FF1155CC"/>
        <rFont val="Roboto"/>
      </rPr>
      <t>https://drive.google.com/open?id=19Dp3HBSHErqNRg2WJciw2CLJgvp7mtMy</t>
    </r>
  </si>
  <si>
    <t>FORECASTING VN-INDEX RETURNS USING TRADITIONAL MODELS, MACHINE LEARNING AND DEEP LEARNING</t>
  </si>
  <si>
    <r>
      <rPr>
        <u/>
        <sz val="10"/>
        <color rgb="FF1155CC"/>
        <rFont val="Roboto"/>
      </rPr>
      <t>https://drive.google.com/open?id=1fibKQFgCEvTbZ1PAhh3KKKRUslJQ3stT</t>
    </r>
  </si>
  <si>
    <r>
      <rPr>
        <u/>
        <sz val="10"/>
        <color rgb="FF1155CC"/>
        <rFont val="Roboto"/>
      </rPr>
      <t>https://drive.google.com/open?id=1jX4R6e_bWWmcHX7sBkk6e1xjPA2-7Q_w</t>
    </r>
  </si>
  <si>
    <r>
      <rPr>
        <u/>
        <sz val="10"/>
        <color rgb="FF1155CC"/>
        <rFont val="Roboto"/>
      </rPr>
      <t>https://drive.google.com/open?id=1gb45hExXzBCFxwNxE4z5PWIiFAyZT6Is</t>
    </r>
  </si>
  <si>
    <r>
      <rPr>
        <u/>
        <sz val="10"/>
        <color rgb="FF1155CC"/>
        <rFont val="Roboto"/>
      </rPr>
      <t>https://drive.google.com/open?id=1DBKOj-gp3D4ekJzbo8Fuvdb_dX8Iqwtf</t>
    </r>
  </si>
  <si>
    <r>
      <rPr>
        <u/>
        <sz val="10"/>
        <color rgb="FF1155CC"/>
        <rFont val="Roboto"/>
      </rPr>
      <t>https://drive.google.com/open?id=1KGsHSZKpHTiu08VMb-g6JPf8hNEkW2gm</t>
    </r>
  </si>
  <si>
    <r>
      <rPr>
        <u/>
        <sz val="10"/>
        <color rgb="FF1155CC"/>
        <rFont val="Roboto"/>
      </rPr>
      <t>https://drive.google.com/open?id=1w6I79mOJCHybCt0hKyK6JVnHESeuK6fr</t>
    </r>
  </si>
  <si>
    <r>
      <rPr>
        <u/>
        <sz val="10"/>
        <color rgb="FF1155CC"/>
        <rFont val="Roboto"/>
      </rPr>
      <t>https://drive.google.com/open?id=1Gi2uUwvXsHfFX-5rE39s93fzMh7Vdsbq</t>
    </r>
  </si>
  <si>
    <t>DƯƠNG THỊ THÙY LINH</t>
  </si>
  <si>
    <r>
      <rPr>
        <u/>
        <sz val="10"/>
        <color rgb="FF1155CC"/>
        <rFont val="Roboto"/>
      </rPr>
      <t>https://drive.google.com/open?id=1By-7MqGtshF6mr-FpkDLKL_28lJFeu8m</t>
    </r>
  </si>
  <si>
    <r>
      <rPr>
        <u/>
        <sz val="10"/>
        <color rgb="FF1155CC"/>
        <rFont val="Roboto"/>
      </rPr>
      <t>https://drive.google.com/open?id=1zzlyEGUn4GAT5xArnPjkRqKjCwSMxILu</t>
    </r>
  </si>
  <si>
    <r>
      <rPr>
        <u/>
        <sz val="10"/>
        <color rgb="FF1155CC"/>
        <rFont val="Roboto"/>
      </rPr>
      <t>https://drive.google.com/open?id=1PqepHbxi1nYzSlL121bouAb6UfkfF0Fu</t>
    </r>
  </si>
  <si>
    <r>
      <rPr>
        <u/>
        <sz val="10"/>
        <color rgb="FF1155CC"/>
        <rFont val="Roboto"/>
      </rPr>
      <t>https://drive.google.com/open?id=137Bc0e9Rfq_KOa8V8tra8rBiu6dAJAyq</t>
    </r>
  </si>
  <si>
    <r>
      <rPr>
        <u/>
        <sz val="10"/>
        <color rgb="FF1155CC"/>
        <rFont val="Roboto"/>
      </rPr>
      <t>https://drive.google.com/open?id=1T9l5BJbwuoN25dSCRA6PvW-Yz5zZZlSP</t>
    </r>
  </si>
  <si>
    <r>
      <rPr>
        <u/>
        <sz val="10"/>
        <color rgb="FF1155CC"/>
        <rFont val="Roboto"/>
      </rPr>
      <t>https://drive.google.com/open?id=1iWg81IHqE_9Pb8CNsoiOOLq2BTWGcCCf</t>
    </r>
  </si>
  <si>
    <r>
      <rPr>
        <u/>
        <sz val="10"/>
        <color rgb="FF1155CC"/>
        <rFont val="Roboto"/>
      </rPr>
      <t>https://drive.google.com/open?id=1p2C33kgSXqg7UvKAnLV8zOz-FMw3COmU</t>
    </r>
  </si>
  <si>
    <r>
      <rPr>
        <u/>
        <sz val="10"/>
        <color rgb="FF1155CC"/>
        <rFont val="Roboto"/>
      </rPr>
      <t>https://drive.google.com/open?id=13WBZoVGWNtT-Wxx2Fwb1Z26pQx6_ssNo</t>
    </r>
  </si>
  <si>
    <r>
      <rPr>
        <u/>
        <sz val="10"/>
        <color rgb="FF1155CC"/>
        <rFont val="Roboto"/>
      </rPr>
      <t>https://drive.google.com/open?id=1uEzytHwbvZaNG0vyWcvQiF4tE2opTGmZ</t>
    </r>
  </si>
  <si>
    <r>
      <rPr>
        <u/>
        <sz val="10"/>
        <color rgb="FF1155CC"/>
        <rFont val="Roboto"/>
      </rPr>
      <t>https://drive.google.com/open?id=1SxIaVmyhdUjBST4qniI6KnRhn8v588NV</t>
    </r>
  </si>
  <si>
    <r>
      <rPr>
        <u/>
        <sz val="10"/>
        <color rgb="FF1155CC"/>
        <rFont val="Roboto"/>
      </rPr>
      <t>https://drive.google.com/open?id=1N3lcfAsakig5w7KQk8bS-G6dankkAlwF</t>
    </r>
  </si>
  <si>
    <r>
      <rPr>
        <u/>
        <sz val="10"/>
        <color rgb="FF1155CC"/>
        <rFont val="Roboto"/>
      </rPr>
      <t>https://drive.google.com/open?id=1r88GRgIYs_neCl80_HEvAc6T_cslSymQ</t>
    </r>
  </si>
  <si>
    <r>
      <rPr>
        <u/>
        <sz val="10"/>
        <color rgb="FF1155CC"/>
        <rFont val="Roboto"/>
      </rPr>
      <t>https://drive.google.com/open?id=15N_SR_k7GpKSa6aWf0-yqsFxbtjuS8QN</t>
    </r>
  </si>
  <si>
    <r>
      <rPr>
        <u/>
        <sz val="10"/>
        <color rgb="FF1155CC"/>
        <rFont val="Roboto"/>
      </rPr>
      <t>https://drive.google.com/open?id=1iV27U2qYHehYcC0Wa0DbKWE5WTU7pgUU</t>
    </r>
  </si>
  <si>
    <t>MỐI QUAN HỆ GIỮA CAR VÀ KHẢ NĂNG SINH LỜI CỦA CÁC NGÂN HÀNG THƯƠNG MẠI VIỆT NAM</t>
  </si>
  <si>
    <r>
      <rPr>
        <u/>
        <sz val="10"/>
        <color rgb="FF1155CC"/>
        <rFont val="Roboto"/>
      </rPr>
      <t>https://drive.google.com/open?id=1SjPJT5KLJGLBT0EBwHRfD7k91_jaQXWX</t>
    </r>
  </si>
  <si>
    <r>
      <rPr>
        <u/>
        <sz val="10"/>
        <color rgb="FF1155CC"/>
        <rFont val="Roboto"/>
      </rPr>
      <t>https://drive.google.com/open?id=1Uqd_oQ4I7GQQ5zI5aB2sP5xGjDNsqRGw</t>
    </r>
  </si>
  <si>
    <r>
      <rPr>
        <u/>
        <sz val="10"/>
        <color rgb="FF1155CC"/>
        <rFont val="Roboto"/>
      </rPr>
      <t>https://drive.google.com/open?id=1dU0BG3jMcnmdhnJZOMvEr8QT9pY12hGC</t>
    </r>
  </si>
  <si>
    <r>
      <rPr>
        <u/>
        <sz val="10"/>
        <color rgb="FF1155CC"/>
        <rFont val="Roboto"/>
      </rPr>
      <t>https://drive.google.com/open?id=1ywmDN0TaUUKDU3qV4cNAseMuy-f04vnK</t>
    </r>
  </si>
  <si>
    <r>
      <rPr>
        <u/>
        <sz val="10"/>
        <color rgb="FF1155CC"/>
        <rFont val="Roboto"/>
      </rPr>
      <t>https://drive.google.com/open?id=1_cBqAlVvG8rhzOYW9wI2QW__XfVQyLyC</t>
    </r>
  </si>
  <si>
    <r>
      <rPr>
        <u/>
        <sz val="10"/>
        <color rgb="FF1155CC"/>
        <rFont val="Roboto"/>
      </rPr>
      <t>https://drive.google.com/open?id=1j15wlknKP7lFcC2GziKaC7ul8DEa4AXf</t>
    </r>
  </si>
  <si>
    <t>Các yếu tố ảnh hưởng đến hoạt động huy động vốn của ngân hàng thương mại Việt Nam</t>
  </si>
  <si>
    <r>
      <rPr>
        <u/>
        <sz val="10"/>
        <color rgb="FF1155CC"/>
        <rFont val="Roboto"/>
      </rPr>
      <t>https://drive.google.com/open?id=1dsZPEZH9WYdal32ILRfj8SQCojJAftO3</t>
    </r>
  </si>
  <si>
    <r>
      <rPr>
        <u/>
        <sz val="10"/>
        <color rgb="FF1155CC"/>
        <rFont val="Roboto"/>
      </rPr>
      <t>https://drive.google.com/open?id=12-5yMVCZ6Zdz29UUS-RfY60T4YdulR1I</t>
    </r>
  </si>
  <si>
    <r>
      <rPr>
        <u/>
        <sz val="10"/>
        <color rgb="FF1155CC"/>
        <rFont val="Roboto"/>
      </rPr>
      <t>https://drive.google.com/open?id=1amLsz-wU0LMF5afG77Mk-lX-n_VEL1up</t>
    </r>
  </si>
  <si>
    <r>
      <rPr>
        <u/>
        <sz val="10"/>
        <color rgb="FF1155CC"/>
        <rFont val="Roboto"/>
      </rPr>
      <t>https://drive.google.com/open?id=186y1iuhE4YBZhzsIvEl_WgkEWTWnFFAd</t>
    </r>
  </si>
  <si>
    <r>
      <rPr>
        <u/>
        <sz val="10"/>
        <color rgb="FF1155CC"/>
        <rFont val="Roboto"/>
      </rPr>
      <t>https://drive.google.com/open?id=14rfOvwfjx6iyueMtO6b21-iMKF3UqImK</t>
    </r>
  </si>
  <si>
    <r>
      <rPr>
        <u/>
        <sz val="10"/>
        <color rgb="FF1155CC"/>
        <rFont val="Roboto"/>
      </rPr>
      <t>https://drive.google.com/open?id=1V0spmarOOkCwTwk2zmkwXOksdHP_TnLF</t>
    </r>
  </si>
  <si>
    <r>
      <rPr>
        <u/>
        <sz val="10"/>
        <color rgb="FF1155CC"/>
        <rFont val="Roboto"/>
      </rPr>
      <t>https://drive.google.com/open?id=1VwwnEvjGBcqcXqbh0DdmbKbP75gl9cBL</t>
    </r>
  </si>
  <si>
    <t>NGHIÊN CỨU HIỆU QUẢ CỦA MÔ HÌNH LSTM TRONG DỰ BÁO GIÁ CỔ PHIẾU VÀ ỨNG DỤNG VÀO TỐI ƯU HÓA DANH MỤC ĐẦU TƯ: SO SÁNH PHƯƠNG PHÁP EQUAL WEIGHT, MARKOWITZ VÀ HRP</t>
  </si>
  <si>
    <r>
      <rPr>
        <u/>
        <sz val="10"/>
        <color rgb="FF1155CC"/>
        <rFont val="Roboto"/>
      </rPr>
      <t>https://drive.google.com/open?id=1rHpAizE7KMd-f8TdmUH-BYn_99tpfAsT</t>
    </r>
  </si>
  <si>
    <r>
      <rPr>
        <u/>
        <sz val="10"/>
        <color rgb="FF1155CC"/>
        <rFont val="Roboto"/>
      </rPr>
      <t>https://drive.google.com/open?id=1Chxfwa4KIr49Z8PxbGqkrfxzUTN_ciAO</t>
    </r>
  </si>
  <si>
    <r>
      <rPr>
        <u/>
        <sz val="10"/>
        <color rgb="FF1155CC"/>
        <rFont val="Roboto"/>
      </rPr>
      <t>https://drive.google.com/open?id=1LmiMt_sCydMNGUYyOrmKOGo917nWIT3b</t>
    </r>
  </si>
  <si>
    <r>
      <rPr>
        <u/>
        <sz val="10"/>
        <color rgb="FF1155CC"/>
        <rFont val="Roboto"/>
      </rPr>
      <t>https://drive.google.com/open?id=1NUPZLaXV0GHW8hix8OuKmPUhmGW18egA</t>
    </r>
  </si>
  <si>
    <r>
      <rPr>
        <u/>
        <sz val="10"/>
        <color rgb="FF1155CC"/>
        <rFont val="Roboto"/>
      </rPr>
      <t>https://drive.google.com/open?id=189CJYydEQ0cG5YyeMstuIa3mPfye1nWf</t>
    </r>
  </si>
  <si>
    <t>Phân tích chiến lược cạnh tranh của Công ty TNHH MTV Chứng khoán Ngân hàng số Vikki</t>
  </si>
  <si>
    <r>
      <rPr>
        <u/>
        <sz val="10"/>
        <color rgb="FF1155CC"/>
        <rFont val="Roboto"/>
      </rPr>
      <t>https://drive.google.com/open?id=1Ga1qGwhjIAYi1wDs2A2SLVbdXSml7UDX</t>
    </r>
  </si>
  <si>
    <r>
      <rPr>
        <u/>
        <sz val="10"/>
        <color rgb="FF1155CC"/>
        <rFont val="Roboto"/>
      </rPr>
      <t>https://drive.google.com/open?id=1_M2TNW-kSfrTVo7-9aQlUHoigYsR4Gzb</t>
    </r>
  </si>
  <si>
    <r>
      <rPr>
        <u/>
        <sz val="10"/>
        <color rgb="FF1155CC"/>
        <rFont val="Roboto"/>
      </rPr>
      <t>https://drive.google.com/open?id=1J_lImwGnoi0C006EAlaME6Uslt8PXEm3</t>
    </r>
  </si>
  <si>
    <t>Ứng dụng mô hình Mean - Variance và Hierarchical Risk Parity trong phân bổ danh mục cổ phiếu tại thị trường chứng khoán Việt Nam</t>
  </si>
  <si>
    <r>
      <rPr>
        <u/>
        <sz val="10"/>
        <color rgb="FF1155CC"/>
        <rFont val="Roboto"/>
      </rPr>
      <t>https://drive.google.com/open?id=1u_Y61HKiFIFxBoTp3KxWmkF3T5WpVdB7</t>
    </r>
  </si>
  <si>
    <r>
      <rPr>
        <u/>
        <sz val="10"/>
        <color rgb="FF1155CC"/>
        <rFont val="Roboto"/>
      </rPr>
      <t>https://drive.google.com/open?id=1etDF0Jg6IWqVnyUn_1aqS78rcM8onOLP</t>
    </r>
  </si>
  <si>
    <r>
      <rPr>
        <u/>
        <sz val="10"/>
        <color rgb="FF1155CC"/>
        <rFont val="Roboto"/>
      </rPr>
      <t>https://drive.google.com/open?id=1itvLpUc-MKdbIOd_nlMeikZhE_RwtpqC</t>
    </r>
  </si>
  <si>
    <r>
      <rPr>
        <u/>
        <sz val="10"/>
        <color rgb="FF1155CC"/>
        <rFont val="Roboto"/>
      </rPr>
      <t>https://drive.google.com/open?id=1QEYGheP69wUhy8zOrLWBBFheLxmLc9pu</t>
    </r>
  </si>
  <si>
    <t>Ứng dụng Machine Learning trong phát hiện các chiến lược quản trị lợi nhuận ở doanh nghiệp Việt Nam theo tình trạng tài chính</t>
  </si>
  <si>
    <r>
      <rPr>
        <u/>
        <sz val="10"/>
        <color rgb="FF1155CC"/>
        <rFont val="Roboto"/>
      </rPr>
      <t>https://drive.google.com/open?id=1Sk4i-MveCr82K5UphogUwRXU77SPW9W4</t>
    </r>
  </si>
  <si>
    <r>
      <rPr>
        <u/>
        <sz val="10"/>
        <color rgb="FF1155CC"/>
        <rFont val="Roboto"/>
      </rPr>
      <t>https://drive.google.com/open?id=1vzOw3FzKVSVE-vq7vQbOXk79ucHrj0Rr</t>
    </r>
  </si>
  <si>
    <r>
      <rPr>
        <u/>
        <sz val="10"/>
        <color rgb="FF1155CC"/>
        <rFont val="Roboto"/>
      </rPr>
      <t>https://drive.google.com/open?id=1F7aNFgyWrXIX6cf1acXp7-iSN67EPT50</t>
    </r>
  </si>
  <si>
    <r>
      <rPr>
        <u/>
        <sz val="10"/>
        <color rgb="FF1155CC"/>
        <rFont val="Roboto"/>
      </rPr>
      <t>https://drive.google.com/open?id=1-XTUy194DxBY5b-PjHMi6UqokmdAY1U-</t>
    </r>
  </si>
  <si>
    <r>
      <rPr>
        <u/>
        <sz val="10"/>
        <color rgb="FF1155CC"/>
        <rFont val="Roboto"/>
      </rPr>
      <t>https://drive.google.com/open?id=1bxZS_cUelyJcmWQG_03Wtp4f7AQT9ex0</t>
    </r>
  </si>
  <si>
    <t>ANALYZING THE PERFORMANCE OF RETAIL CUSTOMER CREDIT ACTIVITIES AT BIDV - THU DAU MOT BRANCH AND IMPLICATIONS FOR ASSET QUALITY CONTROL</t>
  </si>
  <si>
    <r>
      <rPr>
        <u/>
        <sz val="10"/>
        <color rgb="FF1155CC"/>
        <rFont val="Roboto"/>
      </rPr>
      <t>https://drive.google.com/open?id=1dHA-zRIVx5LjjjrBWuEFli1GJSrQkXpr</t>
    </r>
  </si>
  <si>
    <r>
      <rPr>
        <u/>
        <sz val="10"/>
        <color rgb="FF1155CC"/>
        <rFont val="Roboto"/>
      </rPr>
      <t>https://drive.google.com/open?id=1lbH6XeKk5Kp7itxZMzSOyxklrrt0Gat3</t>
    </r>
  </si>
  <si>
    <r>
      <rPr>
        <u/>
        <sz val="10"/>
        <color rgb="FF1155CC"/>
        <rFont val="Roboto"/>
      </rPr>
      <t>https://drive.google.com/open?id=18OUuh8W17eiJRaXCmeigZ_jzxoFxecdD</t>
    </r>
  </si>
  <si>
    <r>
      <rPr>
        <u/>
        <sz val="10"/>
        <color rgb="FF1155CC"/>
        <rFont val="Roboto"/>
      </rPr>
      <t>https://drive.google.com/open?id=1i-hHqujFgTa7XcnC4VkcWos2AzaivvAI</t>
    </r>
  </si>
  <si>
    <r>
      <rPr>
        <u/>
        <sz val="10"/>
        <color rgb="FF1155CC"/>
        <rFont val="Roboto"/>
      </rPr>
      <t>https://drive.google.com/open?id=1KPEzEr0BKOUPRp_43xCWmxgXxtrwkqMd</t>
    </r>
  </si>
  <si>
    <r>
      <rPr>
        <u/>
        <sz val="10"/>
        <color rgb="FF1155CC"/>
        <rFont val="Roboto"/>
      </rPr>
      <t>https://drive.google.com/open?id=1X0YPsRlue74T5cMrdnGEtgP6VBdrt0km</t>
    </r>
  </si>
  <si>
    <r>
      <rPr>
        <u/>
        <sz val="10"/>
        <color rgb="FF1155CC"/>
        <rFont val="Roboto"/>
      </rPr>
      <t>https://drive.google.com/open?id=1iwpn0J5bv3F0RmsaRFONpbK3BZ_VLeUB</t>
    </r>
  </si>
  <si>
    <t>MÔ HÌNH HÓA VÀ ĐẶC TẢ CÁC NGHIỆP VỤ HỖ TRỢ TÍN DỤNG KHÁCH HÀNG CÁ NHÂN TẠI NGÂN HÀNG TMCP ĐẦU TƯ VÀ PHÁT TRIỂN VIỆT NAM - CHI NHÁNH ĐÔNG SÀI GÒN</t>
  </si>
  <si>
    <r>
      <rPr>
        <u/>
        <sz val="10"/>
        <color rgb="FF1155CC"/>
        <rFont val="Roboto"/>
      </rPr>
      <t>https://drive.google.com/open?id=1Cd5Q_X5ZuAtqUlIIpDK7iz6NCxM8qO-H</t>
    </r>
  </si>
  <si>
    <r>
      <rPr>
        <u/>
        <sz val="10"/>
        <color rgb="FF1155CC"/>
        <rFont val="Roboto"/>
      </rPr>
      <t>https://drive.google.com/open?id=1DSUC-Mi_lUBSegoZ3uIeZ15I2-mxAjlR</t>
    </r>
  </si>
  <si>
    <r>
      <rPr>
        <u/>
        <sz val="10"/>
        <color rgb="FF1155CC"/>
        <rFont val="Roboto"/>
      </rPr>
      <t>https://drive.google.com/open?id=1rvsvrjz4rQ1H_J6K2g8ZXcfdIVgKmS4i</t>
    </r>
  </si>
  <si>
    <t>ỨNG DỤNG HỌC MÁY KHÔNG GIÁM SÁT TRONG PHÂN TÍCH HÀNH VI GIÁ CỔ PHIẾU VÀ XÂY DỰNG DANH MỤC ĐẦU TƯ TRÊN THỊ TRƯỜNG CHỨNG KHOÁN VIỆT NAM</t>
  </si>
  <si>
    <r>
      <rPr>
        <u/>
        <sz val="10"/>
        <color rgb="FF1155CC"/>
        <rFont val="Roboto"/>
      </rPr>
      <t>https://drive.google.com/open?id=1go0o92OlcI3SdTEDYOnuqqRxwlTlr93z</t>
    </r>
  </si>
  <si>
    <r>
      <rPr>
        <u/>
        <sz val="10"/>
        <color rgb="FF1155CC"/>
        <rFont val="Roboto"/>
      </rPr>
      <t>https://drive.google.com/open?id=169lJExNhR59CbZKDEYMqFCSmXff9qVbW</t>
    </r>
  </si>
  <si>
    <r>
      <rPr>
        <u/>
        <sz val="10"/>
        <color rgb="FF1155CC"/>
        <rFont val="Roboto"/>
      </rPr>
      <t>https://drive.google.com/open?id=1sxfhoSmbhmk9w9vn4ZjSLpFvgLvt3CJm</t>
    </r>
  </si>
  <si>
    <t>K224141C</t>
  </si>
  <si>
    <t>ĐÁNH GIÁ CÔNG TÁC QUẢN TRỊ DÒNG TIỀN TẠICÔNG TY TNHH LOGISTICS SINOVITRANS</t>
  </si>
  <si>
    <r>
      <rPr>
        <u/>
        <sz val="10"/>
        <color rgb="FF1155CC"/>
        <rFont val="Roboto"/>
      </rPr>
      <t>https://drive.google.com/open?id=1MxCLV-laGVGrlYPpDt7fCEJZVeJC0LwU</t>
    </r>
  </si>
  <si>
    <r>
      <rPr>
        <u/>
        <sz val="10"/>
        <color rgb="FF1155CC"/>
        <rFont val="Roboto"/>
      </rPr>
      <t>https://drive.google.com/open?id=1bTTvU-uBZeK6IXJ4uweRWDgdN3NGVZ9U</t>
    </r>
  </si>
  <si>
    <r>
      <rPr>
        <u/>
        <sz val="10"/>
        <color rgb="FF1155CC"/>
        <rFont val="Roboto"/>
      </rPr>
      <t>https://drive.google.com/open?id=1uYLE07ErSeae7oNHF6aTA_2LufMQrOte</t>
    </r>
  </si>
  <si>
    <t>Mối quan hệ phi tuyến giữa thanh khoản và lợi suất trên thị trường Ethereum: Tiếp cận học máy và SHAP TreeExplainer</t>
  </si>
  <si>
    <r>
      <rPr>
        <u/>
        <sz val="10"/>
        <color rgb="FF1155CC"/>
        <rFont val="Roboto"/>
      </rPr>
      <t>https://drive.google.com/open?id=1iTEAtvZfBercHJesinF_8Lc_Gx6uBYzD</t>
    </r>
  </si>
  <si>
    <r>
      <rPr>
        <u/>
        <sz val="10"/>
        <color rgb="FF1155CC"/>
        <rFont val="Roboto"/>
      </rPr>
      <t>https://drive.google.com/open?id=1bZbp3VN_ycWhXRS5Uwh8hcWBu1y-Oata</t>
    </r>
  </si>
  <si>
    <r>
      <rPr>
        <u/>
        <sz val="10"/>
        <color rgb="FF1155CC"/>
        <rFont val="Roboto"/>
      </rPr>
      <t>https://drive.google.com/open?id=1-hhkx-VmaIXrvOKqSDXO0NklzIh5B9Oh</t>
    </r>
  </si>
  <si>
    <r>
      <rPr>
        <u/>
        <sz val="10"/>
        <color rgb="FF1155CC"/>
        <rFont val="Roboto"/>
      </rPr>
      <t>https://drive.google.com/open?id=1_ZRJEu1osQRKWKyiVdVFs33_A5VCU1_9</t>
    </r>
  </si>
  <si>
    <t>APPLICATIONS OF EXPLAINABLE MACHINE LEARNING IN PREDICTING FINANCIAL DISTRESS RISK OF LISTED REAL E STATE FIRMS IN VIETNAM</t>
  </si>
  <si>
    <r>
      <rPr>
        <u/>
        <sz val="10"/>
        <color rgb="FF1155CC"/>
        <rFont val="Roboto"/>
      </rPr>
      <t>https://drive.google.com/open?id=1ZJYTFBCGW3t4bgiM3jeGlYEV6OnqLJkh</t>
    </r>
  </si>
  <si>
    <r>
      <rPr>
        <u/>
        <sz val="10"/>
        <color rgb="FF1155CC"/>
        <rFont val="Roboto"/>
      </rPr>
      <t>https://drive.google.com/open?id=10ccUuIHIKALbNewM-GML29nKAHGzNxN5</t>
    </r>
  </si>
  <si>
    <r>
      <rPr>
        <u/>
        <sz val="10"/>
        <color rgb="FF1155CC"/>
        <rFont val="Roboto"/>
      </rPr>
      <t>https://drive.google.com/open?id=1ILzC1FUpzMZu68jgDb5upU6J6YpV1yJq</t>
    </r>
  </si>
  <si>
    <t>ỨNG DỤNG MÔ HÌNH HỌC MÁY CÓ KHẢ NĂNG GIẢI THÍCH TRONG DỰ BÁO RỦI RO KIỆT QUỆ TÀI CHÍNH CỦA CÁC DOANH NGHIỆP BẤT ĐỘNG SẢN NIÊM YẾT TẠI VIỆT NAM</t>
  </si>
  <si>
    <r>
      <rPr>
        <u/>
        <sz val="10"/>
        <color rgb="FF1155CC"/>
        <rFont val="Roboto"/>
      </rPr>
      <t>https://drive.google.com/open?id=1K2ZxRpl4NSKuDU44lsyNt3C8sasMGbzt</t>
    </r>
  </si>
  <si>
    <r>
      <rPr>
        <u/>
        <sz val="10"/>
        <color rgb="FF1155CC"/>
        <rFont val="Roboto"/>
      </rPr>
      <t>https://drive.google.com/open?id=1l1VGAxcym1NIGuJqO-Qq1MMZ1FSJtXdP</t>
    </r>
  </si>
  <si>
    <r>
      <rPr>
        <u/>
        <sz val="10"/>
        <color rgb="FF1155CC"/>
        <rFont val="Roboto"/>
      </rPr>
      <t>https://drive.google.com/open?id=1ROvSnot1pc5rbHgpvhE5oe9kAYb5eHA9</t>
    </r>
  </si>
  <si>
    <r>
      <rPr>
        <u/>
        <sz val="10"/>
        <color rgb="FF1155CC"/>
        <rFont val="Roboto"/>
      </rPr>
      <t>https://drive.google.com/open?id=1xqPIdWeJm8f-Uk8OiGDx_0dHdhNQniUm</t>
    </r>
  </si>
  <si>
    <r>
      <rPr>
        <u/>
        <sz val="10"/>
        <color rgb="FF1155CC"/>
        <rFont val="Roboto"/>
      </rPr>
      <t>https://drive.google.com/open?id=1NF5oj00wXUu_QP7ptnhNpaVkym-MYmnJ</t>
    </r>
  </si>
  <si>
    <r>
      <rPr>
        <u/>
        <sz val="10"/>
        <color rgb="FF1155CC"/>
        <rFont val="Roboto"/>
      </rPr>
      <t>https://drive.google.com/open?id=1aSZGf9dqR90YqMETPIgjqYGfmuKivvaV</t>
    </r>
  </si>
  <si>
    <r>
      <rPr>
        <u/>
        <sz val="10"/>
        <color rgb="FF1155CC"/>
        <rFont val="Roboto"/>
      </rPr>
      <t>https://drive.google.com/open?id=1-qh4U8-ulmDbSlAf8DHpfk4hyK0U_hmS</t>
    </r>
  </si>
  <si>
    <t>Ứng dụng thuật toán K-means trong việc phân nhóm cổ phiếu và tạo lập danh mục đầu tư.</t>
  </si>
  <si>
    <r>
      <rPr>
        <u/>
        <sz val="10"/>
        <color rgb="FF1155CC"/>
        <rFont val="Roboto"/>
      </rPr>
      <t>https://drive.google.com/open?id=1w1FE9h3C8odNYERPJndNdr2Ljho940r2</t>
    </r>
  </si>
  <si>
    <r>
      <rPr>
        <u/>
        <sz val="10"/>
        <color rgb="FF1155CC"/>
        <rFont val="Roboto"/>
      </rPr>
      <t>https://drive.google.com/open?id=1-Y8fyHnsya9feSkMV6BdV5LDkOsknqLl</t>
    </r>
  </si>
  <si>
    <r>
      <rPr>
        <u/>
        <sz val="10"/>
        <color rgb="FF1155CC"/>
        <rFont val="Roboto"/>
      </rPr>
      <t>https://drive.google.com/open?id=1omqDfy-K9hAmywtYCmkEO4t96f8cltQh</t>
    </r>
  </si>
  <si>
    <r>
      <rPr>
        <u/>
        <sz val="10"/>
        <color rgb="FF1155CC"/>
        <rFont val="Roboto"/>
      </rPr>
      <t>https://drive.google.com/open?id=1Hi1CfKUnUVD6UxfylvEPJfAcDcl5tB0Z</t>
    </r>
  </si>
  <si>
    <t>thucpm21414@st.uel.edu.vn</t>
  </si>
  <si>
    <t>Blockchain application in international payments at commercial banks</t>
  </si>
  <si>
    <r>
      <rPr>
        <u/>
        <sz val="10"/>
        <color rgb="FF1155CC"/>
        <rFont val="Roboto"/>
      </rPr>
      <t>https://drive.google.com/open?id=17H9612c1oa8J6JlQ5v2_5MFrt3uyhOfr</t>
    </r>
  </si>
  <si>
    <r>
      <rPr>
        <u/>
        <sz val="10"/>
        <color rgb="FF1155CC"/>
        <rFont val="Roboto"/>
      </rPr>
      <t>https://drive.google.com/open?id=1mph1EwYGe_wE8wCFv4hGoZMskerYgYG2</t>
    </r>
  </si>
  <si>
    <r>
      <rPr>
        <u/>
        <sz val="10"/>
        <color rgb="FF1155CC"/>
        <rFont val="Roboto"/>
      </rPr>
      <t>https://drive.google.com/open?id=1O11EkbLTKjUJODHh2Y0bkc4g66d_Rm66</t>
    </r>
  </si>
  <si>
    <r>
      <rPr>
        <u/>
        <sz val="10"/>
        <color rgb="FF1155CC"/>
        <rFont val="Roboto"/>
      </rPr>
      <t>https://drive.google.com/open?id=1KXMAUkRmNMu1emYJWtJmPBEJC4oSaAsu</t>
    </r>
  </si>
  <si>
    <r>
      <rPr>
        <u/>
        <sz val="10"/>
        <color rgb="FF1155CC"/>
        <rFont val="Roboto"/>
      </rPr>
      <t>https://drive.google.com/open?id=1A9kNyREGH0yLDL85r6IiZiy6P_Sbubx-</t>
    </r>
  </si>
  <si>
    <r>
      <rPr>
        <u/>
        <sz val="10"/>
        <color rgb="FF1155CC"/>
        <rFont val="Roboto"/>
      </rPr>
      <t>https://drive.google.com/open?id=107LMUKirH3tOLJR9HhdQvnsWBRFQd3VZ</t>
    </r>
  </si>
  <si>
    <r>
      <rPr>
        <u/>
        <sz val="10"/>
        <color rgb="FF1155CC"/>
        <rFont val="Roboto"/>
      </rPr>
      <t>https://drive.google.com/open?id=1a0l6cevKRb-KYwHqkNJ6ZGr5KZBnn9dC</t>
    </r>
  </si>
  <si>
    <t>PHÂN TÍCH KHẢ NĂNG PHẢN ÁNH QUÁ TRÌNH KIỆT QUỆ TÀI CHÍNH CỦA CÁC THƯỚC ĐO KIỆT QUỆ TÀI CHÍNH ĐỐI VỚI DOANH NGHIỆP PHI TÀI CHÍNH NIÊM YẾT TRÊN SỞ GIAO DỊCH CHỨNG KHOÁN TP. HỒ CHÍ MINH (HOSE) GIAI ĐOẠN 2014-2024</t>
  </si>
  <si>
    <r>
      <rPr>
        <u/>
        <sz val="10"/>
        <color rgb="FF1155CC"/>
        <rFont val="Roboto"/>
      </rPr>
      <t>https://drive.google.com/open?id=1Cv7r1uLS2eUJCjY01eSU8LMLabF5C7kD</t>
    </r>
  </si>
  <si>
    <r>
      <rPr>
        <u/>
        <sz val="10"/>
        <color rgb="FF1155CC"/>
        <rFont val="Roboto"/>
      </rPr>
      <t>https://drive.google.com/open?id=1NtoST6K9oQC4Gq-lC3cZ6taV6qq2YKY3</t>
    </r>
  </si>
  <si>
    <r>
      <rPr>
        <u/>
        <sz val="10"/>
        <color rgb="FF1155CC"/>
        <rFont val="Roboto"/>
      </rPr>
      <t>https://drive.google.com/open?id=1U3kKui09pw1QR4irVBhCux4h_yTqr-S-</t>
    </r>
  </si>
  <si>
    <t>XÂY DỰNG HỆ THỐNG CẢNH BÁO SỚM TÌNH TRẠNG KIỆT QUỆ TÀI CHÍNH ĐỐI VỚI CÁC DOANH NGHIỆP PHI TÀI CHÍNH NIÊM YẾT TRÊN SỞ GIAO DỊCH CHỨNG KHOÁN TP. HỒ CHÍ MINH (HOSE) GIAI ĐOẠN 2014-2024 BẰNG DASHBOARD ỨNG DỤNG STREAMLIT</t>
  </si>
  <si>
    <r>
      <rPr>
        <u/>
        <sz val="10"/>
        <color rgb="FF1155CC"/>
        <rFont val="Roboto"/>
      </rPr>
      <t>https://drive.google.com/open?id=1yJA-6axgvCBgcGCVhqRZMQCfZNVEc6yw</t>
    </r>
  </si>
  <si>
    <r>
      <rPr>
        <u/>
        <sz val="10"/>
        <color rgb="FF1155CC"/>
        <rFont val="Roboto"/>
      </rPr>
      <t>https://drive.google.com/open?id=1WhpufWxeZDSW-VlUsugnTqWG2-_U8cV1</t>
    </r>
  </si>
  <si>
    <r>
      <rPr>
        <u/>
        <sz val="10"/>
        <color rgb="FF1155CC"/>
        <rFont val="Roboto"/>
      </rPr>
      <t>https://drive.google.com/open?id=1w7vvv5sh2UHaqA0gcixjrIs6S1G0LYyC</t>
    </r>
  </si>
  <si>
    <r>
      <rPr>
        <u/>
        <sz val="10"/>
        <color rgb="FF1155CC"/>
        <rFont val="Roboto"/>
      </rPr>
      <t>https://drive.google.com/open?id=1afLmqB-rbQWeHOrsULt-W8ZCdjgoE-7C</t>
    </r>
  </si>
  <si>
    <t>Modeling and Business Process Specification of Individual Customer Transactions at Vietcombank, South Binh Duong Branch, Di An Transaction Office</t>
  </si>
  <si>
    <r>
      <rPr>
        <u/>
        <sz val="10"/>
        <color rgb="FF1155CC"/>
        <rFont val="Roboto"/>
      </rPr>
      <t>https://drive.google.com/open?id=1NuiEQnmSrMmvY78SLGZQQDCVp39re3Kn</t>
    </r>
  </si>
  <si>
    <r>
      <rPr>
        <u/>
        <sz val="10"/>
        <color rgb="FF1155CC"/>
        <rFont val="Roboto"/>
      </rPr>
      <t>https://drive.google.com/open?id=1bD4ek9wu0pMJwbGQnn-YRLx1uc2D04am</t>
    </r>
  </si>
  <si>
    <r>
      <rPr>
        <u/>
        <sz val="10"/>
        <color rgb="FF1155CC"/>
        <rFont val="Roboto"/>
      </rPr>
      <t>https://drive.google.com/open?id=1tIRYPTZfNjx3ruuBFLdoniQ7p77OClKX</t>
    </r>
  </si>
  <si>
    <r>
      <rPr>
        <u/>
        <sz val="10"/>
        <color rgb="FF1155CC"/>
        <rFont val="Roboto"/>
      </rPr>
      <t>https://drive.google.com/open?id=147hMUBO1QwgInt8wGO1akv-7fT6QoB1Y</t>
    </r>
  </si>
  <si>
    <r>
      <rPr>
        <u/>
        <sz val="10"/>
        <color rgb="FF1155CC"/>
        <rFont val="Roboto"/>
      </rPr>
      <t>https://drive.google.com/open?id=1no1dQriyOFEnZD69PPmgoTdrp0pYXIxk</t>
    </r>
  </si>
  <si>
    <r>
      <rPr>
        <u/>
        <sz val="10"/>
        <color rgb="FF1155CC"/>
        <rFont val="Roboto"/>
      </rPr>
      <t>https://drive.google.com/open?id=1CcV2zqaSslV2KLQzb2ERu-Cnx5wkP-XO</t>
    </r>
  </si>
  <si>
    <r>
      <rPr>
        <u/>
        <sz val="10"/>
        <color rgb="FF1155CC"/>
        <rFont val="Roboto"/>
      </rPr>
      <t>https://drive.google.com/open?id=1H8zbP6ZpX_iB8kzPa2wdqTrLqh8hObT_</t>
    </r>
  </si>
  <si>
    <t>Composite Profitability Index Construction and Out-of-Sample Prediction: Evidence from Vietnam</t>
  </si>
  <si>
    <r>
      <rPr>
        <u/>
        <sz val="10"/>
        <color rgb="FF1155CC"/>
        <rFont val="Roboto"/>
      </rPr>
      <t>https://drive.google.com/open?id=1pc3yndPrieWypbnTbdTPXjolTlDePE5Y</t>
    </r>
  </si>
  <si>
    <r>
      <rPr>
        <u/>
        <sz val="10"/>
        <color rgb="FF1155CC"/>
        <rFont val="Roboto"/>
      </rPr>
      <t>https://drive.google.com/open?id=1_6HbNfFmT2pxaJ4g23RuvpqXLoeK_Fb1</t>
    </r>
  </si>
  <si>
    <r>
      <rPr>
        <u/>
        <sz val="10"/>
        <color rgb="FF1155CC"/>
        <rFont val="Roboto"/>
      </rPr>
      <t>https://drive.google.com/open?id=1vMN-Dy3p3gtHW09Yyt68CdfmiPVtbMvB</t>
    </r>
  </si>
  <si>
    <r>
      <rPr>
        <u/>
        <sz val="10"/>
        <color rgb="FF1155CC"/>
        <rFont val="Roboto"/>
      </rPr>
      <t>https://drive.google.com/open?id=1OA5cn0SIfgIcQDB0qfqTIjd7BYQw9T5D</t>
    </r>
  </si>
  <si>
    <r>
      <rPr>
        <u/>
        <sz val="10"/>
        <color rgb="FF1155CC"/>
        <rFont val="Roboto"/>
      </rPr>
      <t>https://drive.google.com/open?id=1Fk-HeEedWWyKidJtPDCKvxSj5RXKsfz9</t>
    </r>
  </si>
  <si>
    <r>
      <rPr>
        <u/>
        <sz val="10"/>
        <color rgb="FF1155CC"/>
        <rFont val="Roboto"/>
      </rPr>
      <t>https://drive.google.com/open?id=1C31gapDi3mREMuvHmF7S-JSBh7FJSMby</t>
    </r>
  </si>
  <si>
    <r>
      <rPr>
        <u/>
        <sz val="10"/>
        <color rgb="FF1155CC"/>
        <rFont val="Roboto"/>
      </rPr>
      <t>https://drive.google.com/open?id=1iD9guPwQcJ0-Y1lGPNJIi8_PEgofy_Uz</t>
    </r>
  </si>
  <si>
    <t>So sánh khả năng dự báo hệ số Price-to-Earnings ngành hàng tiêu dùng trên thị trường chứng khoán Việt Nam giữa mô hình ARIMA và các mô hình học sâu tuyến tính</t>
  </si>
  <si>
    <r>
      <rPr>
        <u/>
        <sz val="10"/>
        <color rgb="FF1155CC"/>
        <rFont val="Roboto"/>
      </rPr>
      <t>https://drive.google.com/open?id=1qjANP-bC65keUysLdeGH2aglhl6BCfsL</t>
    </r>
  </si>
  <si>
    <r>
      <rPr>
        <u/>
        <sz val="10"/>
        <color rgb="FF1155CC"/>
        <rFont val="Roboto"/>
      </rPr>
      <t>https://drive.google.com/open?id=1cCfLnDLCCOtAGP4ilT7mZ2avfn9rHegk</t>
    </r>
  </si>
  <si>
    <r>
      <rPr>
        <u/>
        <sz val="10"/>
        <color rgb="FF1155CC"/>
        <rFont val="Roboto"/>
      </rPr>
      <t>https://drive.google.com/open?id=1_jEkdbJIKf-uHEsRo4FVD_BSWnrjNMfS</t>
    </r>
  </si>
  <si>
    <t>Ứng dụng mô hình ARIMA và học sâu trong dự báo hệ số Price-to-Earnings ngành hàng tiêu dùng trên thị trường chứng khoán Việt Nam</t>
  </si>
  <si>
    <r>
      <rPr>
        <u/>
        <sz val="10"/>
        <color rgb="FF1155CC"/>
        <rFont val="Roboto"/>
      </rPr>
      <t>https://drive.google.com/open?id=1EbA-MSLsMnBHdQmrX3OV8YTaupwNCiqt</t>
    </r>
  </si>
  <si>
    <r>
      <rPr>
        <u/>
        <sz val="10"/>
        <color rgb="FF1155CC"/>
        <rFont val="Roboto"/>
      </rPr>
      <t>https://drive.google.com/open?id=1SWzxcYXDtX3R6BiDl65fQXGEU1UxXZk4</t>
    </r>
  </si>
  <si>
    <r>
      <rPr>
        <u/>
        <sz val="10"/>
        <color rgb="FF1155CC"/>
        <rFont val="Roboto"/>
      </rPr>
      <t>https://drive.google.com/open?id=1w8fv5e9QgxKb9zWs6s1MUGv67xKpz3Hq</t>
    </r>
  </si>
  <si>
    <r>
      <rPr>
        <u/>
        <sz val="10"/>
        <color rgb="FF1155CC"/>
        <rFont val="Roboto"/>
      </rPr>
      <t>https://drive.google.com/open?id=15ZzcGDJFh9MftGT6ln-iAkBHa75MECBn</t>
    </r>
  </si>
  <si>
    <t>Momentum Trading in Cryptocurrency Markets: A Machine Learning Approach with Risk Analysis</t>
  </si>
  <si>
    <r>
      <rPr>
        <u/>
        <sz val="10"/>
        <color rgb="FF1155CC"/>
        <rFont val="Roboto"/>
      </rPr>
      <t>https://drive.google.com/open?id=1x5lHHYTcfCc4nWzzwR1xe4SecQ6mecTb</t>
    </r>
  </si>
  <si>
    <r>
      <rPr>
        <u/>
        <sz val="10"/>
        <color rgb="FF1155CC"/>
        <rFont val="Roboto"/>
      </rPr>
      <t>https://drive.google.com/open?id=1-FyJ6BgTE0QQTnz-mXYscIaZWa6Hy9Rh</t>
    </r>
  </si>
  <si>
    <r>
      <rPr>
        <u/>
        <sz val="10"/>
        <color rgb="FF1155CC"/>
        <rFont val="Roboto"/>
      </rPr>
      <t>https://drive.google.com/open?id=1ZHrq6NG_c2QaTjtgG2xhvrDczyKNXxZs</t>
    </r>
  </si>
  <si>
    <r>
      <rPr>
        <u/>
        <sz val="10"/>
        <color rgb="FF1155CC"/>
        <rFont val="Roboto"/>
      </rPr>
      <t>https://drive.google.com/open?id=1tR2s-a6yp1tI3UwCqoQM1JtMs3qLNzFm</t>
    </r>
  </si>
  <si>
    <r>
      <rPr>
        <u/>
        <sz val="10"/>
        <color rgb="FF1155CC"/>
        <rFont val="Roboto"/>
      </rPr>
      <t>https://drive.google.com/open?id=1HuWyzZSE2tdqZIDtuPZwDlaOZig-uV8x</t>
    </r>
  </si>
  <si>
    <r>
      <rPr>
        <u/>
        <sz val="10"/>
        <color rgb="FF1155CC"/>
        <rFont val="Roboto"/>
      </rPr>
      <t>https://drive.google.com/open?id=1QTrtiCGlEUGtvDjEJvS_8PVcWVBHSv1L</t>
    </r>
  </si>
  <si>
    <r>
      <rPr>
        <u/>
        <sz val="10"/>
        <color rgb="FF1155CC"/>
        <rFont val="Roboto"/>
      </rPr>
      <t>https://drive.google.com/open?id=1ip9vWBECMYFxV2qhAwhWR5NmYv0HRpr2</t>
    </r>
  </si>
  <si>
    <t>TỐI ƯU HÓA DANH MỤC ĐẦU TƯ CHỨNG KHOÁN Ở THỊ TRƯỜNG VIỆT NAM BẰNG PHƯƠNG PHÁP HỌC TĂNG CƯỜNG SÂU</t>
  </si>
  <si>
    <r>
      <rPr>
        <u/>
        <sz val="10"/>
        <color rgb="FF1155CC"/>
        <rFont val="Roboto"/>
      </rPr>
      <t>https://drive.google.com/open?id=19TnCg5NhYhWP5_nXkdpTDdUTsekbN1Jn</t>
    </r>
  </si>
  <si>
    <r>
      <rPr>
        <u/>
        <sz val="10"/>
        <color rgb="FF1155CC"/>
        <rFont val="Roboto"/>
      </rPr>
      <t>https://drive.google.com/open?id=1SrcObEEDm5NIwGT7cojBLCtPD_HQt8v_</t>
    </r>
  </si>
  <si>
    <r>
      <rPr>
        <u/>
        <sz val="10"/>
        <color rgb="FF1155CC"/>
        <rFont val="Roboto"/>
      </rPr>
      <t>https://drive.google.com/open?id=19y6GLunpGf0t38O3H7PFbqJdID91kUTU</t>
    </r>
  </si>
  <si>
    <t>ỨNG DỤNG DEEP REINFORCEMENT LEARNING TRONG TỐI ƯU HÓA DANH MỤC ĐẦU TƯ CHỨNG KHOÁN Ở THỊ TRƯỜNG VIỆT NAM</t>
  </si>
  <si>
    <r>
      <rPr>
        <u/>
        <sz val="10"/>
        <color rgb="FF1155CC"/>
        <rFont val="Roboto"/>
      </rPr>
      <t>https://drive.google.com/open?id=1aJPIQHdorWx-XkNR5_DSy0bwEaBsmtgU</t>
    </r>
  </si>
  <si>
    <r>
      <rPr>
        <u/>
        <sz val="10"/>
        <color rgb="FF1155CC"/>
        <rFont val="Roboto"/>
      </rPr>
      <t>https://drive.google.com/open?id=1SubbXn3jOUMeRA4pdZJiwOF6nwphEg90</t>
    </r>
  </si>
  <si>
    <r>
      <rPr>
        <u/>
        <sz val="10"/>
        <color rgb="FF1155CC"/>
        <rFont val="Roboto"/>
      </rPr>
      <t>https://drive.google.com/open?id=1GYXHrYwW_yShDcGtzw3MQiMPDG6GfnAx</t>
    </r>
  </si>
  <si>
    <r>
      <rPr>
        <u/>
        <sz val="10"/>
        <color rgb="FF1155CC"/>
        <rFont val="Roboto"/>
      </rPr>
      <t>https://drive.google.com/open?id=1t60Z5-AwE1CypFIwOze2BnvcUZatrF56</t>
    </r>
  </si>
  <si>
    <t>TÁC ĐỘNG CỦA CHUYỂN ĐỔI SỐ VÀ CẤU TRÚC VỐN ĐẾN HIỆU QUẢ HOẠT ĐỘNG: TRƯỜNG HỢP CÁC NGÂN HÀNG THƯƠNG MẠI VIỆT NAM GIAI ĐOẠN 2015 – 2024</t>
  </si>
  <si>
    <r>
      <rPr>
        <u/>
        <sz val="10"/>
        <color rgb="FF1155CC"/>
        <rFont val="Roboto"/>
      </rPr>
      <t>https://drive.google.com/open?id=1PgCUXrBNggjGWH8mGvNz9w_57GVRtP25</t>
    </r>
  </si>
  <si>
    <r>
      <rPr>
        <u/>
        <sz val="10"/>
        <color rgb="FF1155CC"/>
        <rFont val="Roboto"/>
      </rPr>
      <t>https://drive.google.com/open?id=1QaPyPGF3CTWvkTpQ77arzgcG1bsS_V8l</t>
    </r>
  </si>
  <si>
    <r>
      <rPr>
        <u/>
        <sz val="10"/>
        <color rgb="FF1155CC"/>
        <rFont val="Roboto"/>
      </rPr>
      <t>https://drive.google.com/open?id=1OW9lMnso2B6-YDyyyGzgDBwAaHHYq33E</t>
    </r>
  </si>
  <si>
    <r>
      <rPr>
        <u/>
        <sz val="10"/>
        <color rgb="FF1155CC"/>
        <rFont val="Roboto"/>
      </rPr>
      <t>https://drive.google.com/open?id=1mrX_FSvKNetoJQUvRBaj1K0ew6TjqmjC</t>
    </r>
  </si>
  <si>
    <r>
      <rPr>
        <u/>
        <sz val="10"/>
        <color rgb="FF1155CC"/>
        <rFont val="Roboto"/>
      </rPr>
      <t>https://drive.google.com/open?id=1AOFYt3PjNrxAMvTZVZHq5mCdPEubmveP</t>
    </r>
  </si>
  <si>
    <r>
      <rPr>
        <u/>
        <sz val="10"/>
        <color rgb="FF1155CC"/>
        <rFont val="Roboto"/>
      </rPr>
      <t>https://drive.google.com/open?id=1bocZQAaER4ucqLIlPpXZdZNELormVrqq</t>
    </r>
  </si>
  <si>
    <t>Analyzing the technical efficiency of commercial banks in Vietnam using the Data Envelope Analysis approach</t>
  </si>
  <si>
    <r>
      <rPr>
        <u/>
        <sz val="10"/>
        <color rgb="FF1155CC"/>
        <rFont val="Roboto"/>
      </rPr>
      <t>https://drive.google.com/open?id=10qZ2lirt1Avr5FZ4Usmk8gv3DuPa_r0m</t>
    </r>
  </si>
  <si>
    <r>
      <rPr>
        <u/>
        <sz val="10"/>
        <color rgb="FF1155CC"/>
        <rFont val="Roboto"/>
      </rPr>
      <t>https://drive.google.com/open?id=1qA7cPMKPEg969t7W7Ln9vWBG1KoUhzQc</t>
    </r>
  </si>
  <si>
    <r>
      <rPr>
        <u/>
        <sz val="10"/>
        <color rgb="FF1155CC"/>
        <rFont val="Roboto"/>
      </rPr>
      <t>https://drive.google.com/open?id=1K-uOUyJG0SJ8qWkxq1cWztKW_xWkHBdf</t>
    </r>
  </si>
  <si>
    <r>
      <rPr>
        <u/>
        <sz val="10"/>
        <color rgb="FF1155CC"/>
        <rFont val="Roboto"/>
      </rPr>
      <t>https://drive.google.com/open?id=1YhGLTeTefbvnTodbHBxPRPsZ2BQyTamj</t>
    </r>
  </si>
  <si>
    <r>
      <rPr>
        <u/>
        <sz val="10"/>
        <color rgb="FF1155CC"/>
        <rFont val="Roboto"/>
      </rPr>
      <t>https://drive.google.com/open?id=1sVBN6kG4CaADF7qXRIce-c-9J7SAa0O6</t>
    </r>
  </si>
  <si>
    <r>
      <rPr>
        <u/>
        <sz val="10"/>
        <color rgb="FF1155CC"/>
        <rFont val="Roboto"/>
      </rPr>
      <t>https://drive.google.com/open?id=1UHtE9L3YrLcV9AqR3sf3d0emJlUA3O4Y</t>
    </r>
  </si>
  <si>
    <t>PRACTICAL ANALYSIS OF REAL ESTATE LENDING ACTIVITIES FOR RETAIL CUSTOMERS AT VIETNAM JOINT STOCK COMMERCIAL BANK FOR INDUSTRY AND TRADE – DONG SAI GON BRANCH – NGUYEN DUY TRINH TRANSACTION OFFICE</t>
  </si>
  <si>
    <r>
      <rPr>
        <u/>
        <sz val="10"/>
        <color rgb="FF1155CC"/>
        <rFont val="Roboto"/>
      </rPr>
      <t>https://drive.google.com/open?id=1gkgx2r5f7gunBgRkXutoGX1hshjzHwgh</t>
    </r>
  </si>
  <si>
    <r>
      <rPr>
        <u/>
        <sz val="10"/>
        <color rgb="FF1155CC"/>
        <rFont val="Roboto"/>
      </rPr>
      <t>https://drive.google.com/open?id=1ZcA59yLRLmajw-M78tXX9DdYgMYfGvSP</t>
    </r>
  </si>
  <si>
    <r>
      <rPr>
        <u/>
        <sz val="10"/>
        <color rgb="FF1155CC"/>
        <rFont val="Roboto"/>
      </rPr>
      <t>https://drive.google.com/open?id=1OaxFTbc79Q8H8yuVk4baxw3Uy9Jv1_XL</t>
    </r>
  </si>
  <si>
    <r>
      <rPr>
        <u/>
        <sz val="10"/>
        <color rgb="FF1155CC"/>
        <rFont val="Roboto"/>
      </rPr>
      <t>https://drive.google.com/open?id=19Z1qKr8byoYCqKrUUuMaaD8yuC6Gudgo</t>
    </r>
  </si>
  <si>
    <r>
      <rPr>
        <u/>
        <sz val="10"/>
        <color rgb="FF1155CC"/>
        <rFont val="Roboto"/>
      </rPr>
      <t>https://drive.google.com/open?id=1IHVQgptCrqasjC2MtWHRxoLSqS2vYlGj</t>
    </r>
  </si>
  <si>
    <r>
      <rPr>
        <u/>
        <sz val="10"/>
        <color rgb="FF1155CC"/>
        <rFont val="Roboto"/>
      </rPr>
      <t>https://drive.google.com/open?id=18zQiweTjfaFmB5cIqOU2xagbjcQ-PUpz</t>
    </r>
  </si>
  <si>
    <t>THE VALUATION OF HO CHI MINH CITY DEVELOPMENT JOINT STOCK COMMERCIAL BANK</t>
  </si>
  <si>
    <r>
      <rPr>
        <u/>
        <sz val="10"/>
        <color rgb="FF1155CC"/>
        <rFont val="Roboto"/>
      </rPr>
      <t>https://drive.google.com/open?id=1VUTS-ioTXeEjpbHEzGcKdFNcDP7pWFPY</t>
    </r>
  </si>
  <si>
    <r>
      <rPr>
        <u/>
        <sz val="10"/>
        <color rgb="FF1155CC"/>
        <rFont val="Roboto"/>
      </rPr>
      <t>https://drive.google.com/open?id=1ZqbsWCu8fQEEto0jcoAzGUmedTptRygi</t>
    </r>
  </si>
  <si>
    <r>
      <rPr>
        <u/>
        <sz val="10"/>
        <color rgb="FF1155CC"/>
        <rFont val="Roboto"/>
      </rPr>
      <t>https://drive.google.com/open?id=1B9shDA-nQdLqcoyfNUMlvEMFzkwOFw5T</t>
    </r>
  </si>
  <si>
    <t>FACTORS AFFECTING THE STOCK PRICES OF JOINT STOCKS COMPANIES LISTED ON THE VIET NAM STOCK EXCHANGE DURING THE PERIOD 2020-2025</t>
  </si>
  <si>
    <r>
      <rPr>
        <u/>
        <sz val="10"/>
        <color rgb="FF1155CC"/>
        <rFont val="Roboto"/>
      </rPr>
      <t>https://drive.google.com/open?id=1HBJOu4rsEiR22lM6WP1M8Wmzc1JOz5lp</t>
    </r>
  </si>
  <si>
    <r>
      <rPr>
        <u/>
        <sz val="10"/>
        <color rgb="FF1155CC"/>
        <rFont val="Roboto"/>
      </rPr>
      <t>https://drive.google.com/open?id=1TyjFZJI83bikd70cLtWel_mmy9bd3Q0U</t>
    </r>
  </si>
  <si>
    <r>
      <rPr>
        <u/>
        <sz val="10"/>
        <color rgb="FF1155CC"/>
        <rFont val="Roboto"/>
      </rPr>
      <t>https://drive.google.com/open?id=1rU4WTYfKhVeRswpLhKSTJQPyceIUteal</t>
    </r>
  </si>
  <si>
    <r>
      <rPr>
        <u/>
        <sz val="10"/>
        <color rgb="FF1155CC"/>
        <rFont val="Roboto"/>
      </rPr>
      <t>https://drive.google.com/open?id=1XH-Aybx--zW_HnGcDLMJQDlkBUkiVLLK</t>
    </r>
  </si>
  <si>
    <r>
      <rPr>
        <u/>
        <sz val="10"/>
        <color rgb="FF1155CC"/>
        <rFont val="Roboto"/>
      </rPr>
      <t>https://drive.google.com/open?id=13rpQ9cw0kVzFoDpdHOknmEj7gJrsH0dT</t>
    </r>
  </si>
  <si>
    <r>
      <rPr>
        <u/>
        <sz val="10"/>
        <color rgb="FF1155CC"/>
        <rFont val="Roboto"/>
      </rPr>
      <t>https://drive.google.com/open?id=1osy5mDvNNPUH-Zl1be8B9-yinAWRbPJv</t>
    </r>
  </si>
  <si>
    <r>
      <rPr>
        <u/>
        <sz val="10"/>
        <color rgb="FF1155CC"/>
        <rFont val="Roboto"/>
      </rPr>
      <t>https://drive.google.com/open?id=1-BC9yK0Bm8DwW7WT3zCp3DRWi5FwBsrd</t>
    </r>
  </si>
  <si>
    <r>
      <rPr>
        <u/>
        <sz val="10"/>
        <color rgb="FF1155CC"/>
        <rFont val="Roboto"/>
      </rPr>
      <t>https://drive.google.com/open?id=1YNhr7QXliiB_BV_BQQLlF9W23ZIxNeng</t>
    </r>
  </si>
  <si>
    <r>
      <rPr>
        <u/>
        <sz val="10"/>
        <color rgb="FF1155CC"/>
        <rFont val="Roboto"/>
      </rPr>
      <t>https://drive.google.com/open?id=1iXTCl0ZT7K3H-UwPOefHAZwaCCT-8ryP</t>
    </r>
  </si>
  <si>
    <r>
      <rPr>
        <u/>
        <sz val="10"/>
        <color rgb="FF1155CC"/>
        <rFont val="Roboto"/>
      </rPr>
      <t>https://drive.google.com/open?id=1VO8-owGu0ZEpvLHzdK621_PE7s2a-v0F</t>
    </r>
  </si>
  <si>
    <r>
      <rPr>
        <u/>
        <sz val="10"/>
        <color rgb="FF1155CC"/>
        <rFont val="Roboto"/>
      </rPr>
      <t>https://drive.google.com/open?id=17nkOOAg0Sg0LeygPyWusewgSNjrRgKAI</t>
    </r>
  </si>
  <si>
    <r>
      <rPr>
        <u/>
        <sz val="10"/>
        <color rgb="FF1155CC"/>
        <rFont val="Roboto"/>
      </rPr>
      <t>https://drive.google.com/open?id=1YTzuSFvnnmVK2avYAsim-ohH1qvcyZ_k</t>
    </r>
  </si>
  <si>
    <r>
      <rPr>
        <u/>
        <sz val="10"/>
        <color rgb="FF1155CC"/>
        <rFont val="Roboto"/>
      </rPr>
      <t>https://drive.google.com/open?id=1pGaHcLz1Kxp5fyGObznPhe6IFHtFAPRW</t>
    </r>
  </si>
  <si>
    <r>
      <rPr>
        <u/>
        <sz val="10"/>
        <color rgb="FF1155CC"/>
        <rFont val="Roboto"/>
      </rPr>
      <t>https://drive.google.com/open?id=1dAcp_qet9NlmZ1oSiy4Mb5aV3aQpLkL5</t>
    </r>
  </si>
  <si>
    <r>
      <rPr>
        <u/>
        <sz val="10"/>
        <color rgb="FF1155CC"/>
        <rFont val="Roboto"/>
      </rPr>
      <t>https://drive.google.com/open?id=1hyTaSHWks8WJ21m7ROfMBdwZO0GO177B</t>
    </r>
  </si>
  <si>
    <r>
      <rPr>
        <u/>
        <sz val="10"/>
        <color rgb="FF1155CC"/>
        <rFont val="Roboto"/>
      </rPr>
      <t>https://drive.google.com/open?id=1ICOEYxPVu5R3ihx3VgF1jnPjXxar6Tlr</t>
    </r>
  </si>
  <si>
    <t>News-Aware Multi-Agent Reinforcement Learning for Portfolio Optimization with Adaptive Risk Control: Evidence from the Vietnamese Equity Market</t>
  </si>
  <si>
    <r>
      <rPr>
        <u/>
        <sz val="10"/>
        <color rgb="FF1155CC"/>
        <rFont val="Roboto"/>
      </rPr>
      <t>https://drive.google.com/open?id=1L0p7B67yU1PP6vD2NYq0IhSMLynZH9nx</t>
    </r>
  </si>
  <si>
    <r>
      <rPr>
        <u/>
        <sz val="10"/>
        <color rgb="FF1155CC"/>
        <rFont val="Roboto"/>
      </rPr>
      <t>https://drive.google.com/open?id=1WFVBDO4pIZncRN9NwFQzCox3yRE57eIN</t>
    </r>
  </si>
  <si>
    <r>
      <rPr>
        <u/>
        <sz val="10"/>
        <color rgb="FF1155CC"/>
        <rFont val="Roboto"/>
      </rPr>
      <t>https://drive.google.com/open?id=1SPlITfoSox2GcK4pyBYTBHMQZ8G-F0aJ</t>
    </r>
  </si>
  <si>
    <r>
      <rPr>
        <u/>
        <sz val="10"/>
        <color rgb="FF1155CC"/>
        <rFont val="Roboto"/>
      </rPr>
      <t>https://drive.google.com/open?id=13djDLGL9aZ3nBG4CqjNscOjeR1V1Fgf1</t>
    </r>
  </si>
  <si>
    <r>
      <rPr>
        <u/>
        <sz val="10"/>
        <color rgb="FF1155CC"/>
        <rFont val="Roboto"/>
      </rPr>
      <t>https://drive.google.com/open?id=1X3qDDm_p6Sho5tpr5AVih-piAd5XtjxN</t>
    </r>
  </si>
  <si>
    <r>
      <rPr>
        <u/>
        <sz val="10"/>
        <color rgb="FF1155CC"/>
        <rFont val="Roboto"/>
      </rPr>
      <t>https://drive.google.com/open?id=1O6yBtPHdb7YbIMbF_FdQQJ_VceaPWagI</t>
    </r>
  </si>
  <si>
    <r>
      <rPr>
        <u/>
        <sz val="10"/>
        <color rgb="FF1155CC"/>
        <rFont val="Roboto"/>
      </rPr>
      <t>https://drive.google.com/open?id=1J_oWzBtaXgsydL7i8dATUYMwcBD9grk8</t>
    </r>
  </si>
  <si>
    <t>Phân tích hiệu quả hoạt động kinh doanh của Ngân hàng TMCP Ngoại thương Việt Nam theo mô hình CAMELS</t>
  </si>
  <si>
    <r>
      <rPr>
        <u/>
        <sz val="10"/>
        <color rgb="FF1155CC"/>
        <rFont val="Roboto"/>
      </rPr>
      <t>https://drive.google.com/open?id=1jxQfaVckqbQ8duBNCdJY081z2FiHksNA</t>
    </r>
  </si>
  <si>
    <r>
      <rPr>
        <u/>
        <sz val="10"/>
        <color rgb="FF1155CC"/>
        <rFont val="Roboto"/>
      </rPr>
      <t>https://drive.google.com/open?id=1uA_kDYk7es1a92_7bIzDsqWe9Q-QqJUN</t>
    </r>
  </si>
  <si>
    <r>
      <rPr>
        <u/>
        <sz val="10"/>
        <color rgb="FF1155CC"/>
        <rFont val="Roboto"/>
      </rPr>
      <t>https://drive.google.com/open?id=1YLcivcO5tQcygMUMpb7O4ViTlmUkuIx8</t>
    </r>
  </si>
  <si>
    <t>Evaluating business performance of commercial banks in Vietnam based on the CAMELS framework</t>
  </si>
  <si>
    <r>
      <rPr>
        <u/>
        <sz val="10"/>
        <color rgb="FF1155CC"/>
        <rFont val="Roboto"/>
      </rPr>
      <t>https://drive.google.com/open?id=17oHQ1kPpUxUPMz4J7MSB1AnABqwPUcZ4</t>
    </r>
  </si>
  <si>
    <r>
      <rPr>
        <u/>
        <sz val="10"/>
        <color rgb="FF1155CC"/>
        <rFont val="Roboto"/>
      </rPr>
      <t>https://drive.google.com/open?id=1wdzp5NDpcMmEBYE5Rtr8Mrxt0Av7mudh</t>
    </r>
  </si>
  <si>
    <r>
      <rPr>
        <u/>
        <sz val="10"/>
        <color rgb="FF1155CC"/>
        <rFont val="Roboto"/>
      </rPr>
      <t>https://drive.google.com/open?id=1fXsmoPwESAxZ_td0lMmIDrFFFyRpNQIO</t>
    </r>
  </si>
  <si>
    <t>XÂY DỰNG VÀ KIỂM ĐỊNH CHỈ SỐ MARKET ANOMALY INDEX (MAI) NHẰM ĐO LƯỜNG MỨC ĐỘ CĂNG THẲNG THỊ TRƯỜNG CHỨNG KHOÁN VIỆT NAM GIAI ĐOẠN 2018–2025</t>
  </si>
  <si>
    <r>
      <rPr>
        <u/>
        <sz val="10"/>
        <color rgb="FF1155CC"/>
        <rFont val="Roboto"/>
      </rPr>
      <t>https://drive.google.com/open?id=120ePY5sO7VEtXFrD841XMtefYeHAYPJE</t>
    </r>
  </si>
  <si>
    <r>
      <rPr>
        <u/>
        <sz val="10"/>
        <color rgb="FF1155CC"/>
        <rFont val="Roboto"/>
      </rPr>
      <t>https://drive.google.com/open?id=1pmQbUCTbCx8IQ3FbAXxrpQON9VStsxN-</t>
    </r>
  </si>
  <si>
    <r>
      <rPr>
        <u/>
        <sz val="10"/>
        <color rgb="FF1155CC"/>
        <rFont val="Roboto"/>
      </rPr>
      <t>https://drive.google.com/open?id=15SD-nL8ja52WTD7XlmS0gVxuEpwSAa9b</t>
    </r>
  </si>
  <si>
    <r>
      <rPr>
        <u/>
        <sz val="10"/>
        <color rgb="FF1155CC"/>
        <rFont val="Roboto"/>
      </rPr>
      <t>https://drive.google.com/open?id=1HFZnhy3nirBh46hG9mOOdZOkmUDJt1ut</t>
    </r>
  </si>
  <si>
    <r>
      <rPr>
        <u/>
        <sz val="10"/>
        <color rgb="FF1155CC"/>
        <rFont val="Roboto"/>
      </rPr>
      <t>https://drive.google.com/open?id=1rly1Epdfg3YuEIu28jPJRaGVb5I6Hw2Z</t>
    </r>
  </si>
  <si>
    <r>
      <rPr>
        <u/>
        <sz val="10"/>
        <color rgb="FF1155CC"/>
        <rFont val="Roboto"/>
      </rPr>
      <t>https://drive.google.com/open?id=1oGYc2PaVK21rFSSwXf5B-MqsEFfnW4_w</t>
    </r>
  </si>
  <si>
    <r>
      <rPr>
        <u/>
        <sz val="10"/>
        <color rgb="FF1155CC"/>
        <rFont val="Roboto"/>
      </rPr>
      <t>https://drive.google.com/open?id=1YdQ4jsVWyebFn2anMSj1sv7RrqlTfdNh</t>
    </r>
  </si>
  <si>
    <t>pgialinhh2004@gmail.com</t>
  </si>
  <si>
    <r>
      <rPr>
        <u/>
        <sz val="10"/>
        <color rgb="FF1155CC"/>
        <rFont val="Roboto"/>
      </rPr>
      <t>https://drive.google.com/open?id=1cVuMCc37BKNJjgpJX8x8E4R6xS7ny8G9</t>
    </r>
  </si>
  <si>
    <r>
      <rPr>
        <u/>
        <sz val="10"/>
        <color rgb="FF1155CC"/>
        <rFont val="Roboto"/>
      </rPr>
      <t>https://drive.google.com/open?id=1emfQpJJ2S1-Zi2V_SPUhMCHmfT8UhFGD</t>
    </r>
  </si>
  <si>
    <r>
      <rPr>
        <u/>
        <sz val="10"/>
        <color rgb="FF1155CC"/>
        <rFont val="Roboto"/>
      </rPr>
      <t>https://drive.google.com/open?id=1kAUIAAUHb5Iq9InMwlIReGXPfh1fOov-</t>
    </r>
  </si>
  <si>
    <r>
      <rPr>
        <u/>
        <sz val="10"/>
        <color rgb="FF1155CC"/>
        <rFont val="Roboto"/>
      </rPr>
      <t>https://drive.google.com/open?id=1h6qJ3Oy4aG4OLKKQ5bvCgj2hopNsJrSd</t>
    </r>
  </si>
  <si>
    <r>
      <rPr>
        <u/>
        <sz val="10"/>
        <color rgb="FF1155CC"/>
        <rFont val="Roboto"/>
      </rPr>
      <t>https://drive.google.com/open?id=142xmxzK5TLmZZ8CgFgTW4UhiQJM523Px</t>
    </r>
  </si>
  <si>
    <r>
      <rPr>
        <u/>
        <sz val="10"/>
        <color rgb="FF1155CC"/>
        <rFont val="Roboto"/>
      </rPr>
      <t>https://drive.google.com/open?id=1a18jV5TiN5o0qhqw-dHcnzzJ31lrAwLy</t>
    </r>
  </si>
  <si>
    <r>
      <rPr>
        <u/>
        <sz val="10"/>
        <color rgb="FF1155CC"/>
        <rFont val="Roboto"/>
      </rPr>
      <t>https://drive.google.com/open?id=177WnZ9ll-yDmv0Pndp6H5pIlZHxR2Otq</t>
    </r>
  </si>
  <si>
    <t>Machine Learning-Based Early Warning System of Financial Bubbles: Evidence from VN-Index and HNX-Index</t>
  </si>
  <si>
    <r>
      <rPr>
        <u/>
        <sz val="10"/>
        <color rgb="FF1155CC"/>
        <rFont val="Roboto"/>
      </rPr>
      <t>https://drive.google.com/open?id=1E8yHuBxjxmThHdn98AXdsikH1pybkLb4</t>
    </r>
  </si>
  <si>
    <r>
      <rPr>
        <u/>
        <sz val="10"/>
        <color rgb="FF1155CC"/>
        <rFont val="Roboto"/>
      </rPr>
      <t>https://drive.google.com/open?id=1x4lmzXr6oHujRi3yZsop6e-k-OtU1E4y</t>
    </r>
  </si>
  <si>
    <r>
      <rPr>
        <u/>
        <sz val="10"/>
        <color rgb="FF1155CC"/>
        <rFont val="Roboto"/>
      </rPr>
      <t>https://drive.google.com/open?id=1PadDntGr5MMnyDzYceXm-yq3ODCxHio8</t>
    </r>
  </si>
  <si>
    <r>
      <rPr>
        <u/>
        <sz val="10"/>
        <color rgb="FF1155CC"/>
        <rFont val="Roboto"/>
      </rPr>
      <t>https://drive.google.com/open?id=1roGwRX1qQWVB3DYsV7C8leHhhPo-3mOn</t>
    </r>
  </si>
  <si>
    <r>
      <rPr>
        <u/>
        <sz val="10"/>
        <color rgb="FF1155CC"/>
        <rFont val="Roboto"/>
      </rPr>
      <t>https://drive.google.com/open?id=1pmqE0-35dJcNpE3ZPN_I7KLiURq3c3be</t>
    </r>
  </si>
  <si>
    <r>
      <rPr>
        <u/>
        <sz val="10"/>
        <color rgb="FF1155CC"/>
        <rFont val="Roboto"/>
      </rPr>
      <t>https://drive.google.com/open?id=1AezZlgKCoFA7S6vsNv-SJBgS1-9J8WOh</t>
    </r>
  </si>
  <si>
    <r>
      <rPr>
        <u/>
        <sz val="10"/>
        <color rgb="FF1155CC"/>
        <rFont val="Roboto"/>
      </rPr>
      <t>https://drive.google.com/open?id=1D-scaeq8oRosbT7-OTEwliN5HKrWdIwA</t>
    </r>
  </si>
  <si>
    <r>
      <rPr>
        <u/>
        <sz val="10"/>
        <color rgb="FF1155CC"/>
        <rFont val="Roboto"/>
      </rPr>
      <t>https://drive.google.com/open?id=1MX5ygKYlHigzBF6d6c0JoLbCzWxqhOpI</t>
    </r>
  </si>
  <si>
    <r>
      <rPr>
        <u/>
        <sz val="10"/>
        <color rgb="FF1155CC"/>
        <rFont val="Roboto"/>
      </rPr>
      <t>https://drive.google.com/open?id=1fD-1ahtjp_FpKDiMIWmIk5oDuygZolDQ</t>
    </r>
  </si>
  <si>
    <r>
      <rPr>
        <u/>
        <sz val="10"/>
        <color rgb="FF1155CC"/>
        <rFont val="Roboto"/>
      </rPr>
      <t>https://drive.google.com/open?id=1SFHiD6k1p8V83gie1_I_5Rttr0zm6YJV</t>
    </r>
  </si>
  <si>
    <r>
      <rPr>
        <u/>
        <sz val="10"/>
        <color rgb="FF1155CC"/>
        <rFont val="Roboto"/>
      </rPr>
      <t>https://drive.google.com/open?id=1fwESmfwDEc0rKUi6XHSCOGFwQ68ArZuZ</t>
    </r>
  </si>
  <si>
    <r>
      <rPr>
        <u/>
        <sz val="10"/>
        <color rgb="FF1155CC"/>
        <rFont val="Roboto"/>
      </rPr>
      <t>https://drive.google.com/open?id=1JOHVDBf4KA27mp2C68Rhyt9Mbb_MS9y9</t>
    </r>
  </si>
  <si>
    <r>
      <rPr>
        <u/>
        <sz val="10"/>
        <color rgb="FF1155CC"/>
        <rFont val="Roboto"/>
      </rPr>
      <t>https://drive.google.com/open?id=1iM66ZMwuhsg1pO-Wy4tnAvxs7zxVisFK</t>
    </r>
  </si>
  <si>
    <r>
      <rPr>
        <u/>
        <sz val="10"/>
        <color rgb="FF1155CC"/>
        <rFont val="Roboto"/>
      </rPr>
      <t>https://drive.google.com/open?id=1wJ7Ftasu2Qg557C3ps2nFDM-7sB7DE75</t>
    </r>
  </si>
  <si>
    <r>
      <rPr>
        <u/>
        <sz val="10"/>
        <color rgb="FF1155CC"/>
        <rFont val="Roboto"/>
      </rPr>
      <t>https://drive.google.com/open?id=1UhIyPgca2qWYKhkTRd9tcM9K2J9Bzim0</t>
    </r>
  </si>
  <si>
    <r>
      <rPr>
        <u/>
        <sz val="10"/>
        <color rgb="FF1155CC"/>
        <rFont val="Roboto"/>
      </rPr>
      <t>https://drive.google.com/open?id=1ZlnihGONGo8rKaJ7pL7VzlHJGWYJ0Kcy</t>
    </r>
  </si>
  <si>
    <r>
      <rPr>
        <u/>
        <sz val="10"/>
        <color rgb="FF1155CC"/>
        <rFont val="Roboto"/>
      </rPr>
      <t>https://drive.google.com/open?id=1ZqAvA_fnXXTJ8rkpqI6WpjXkO6fpVP_t</t>
    </r>
  </si>
  <si>
    <r>
      <rPr>
        <u/>
        <sz val="10"/>
        <color rgb="FF1155CC"/>
        <rFont val="Roboto"/>
      </rPr>
      <t>https://drive.google.com/open?id=1u37wNTDv0xz4kVPM1Qmf0Iiq7zsN7KrC</t>
    </r>
  </si>
  <si>
    <r>
      <rPr>
        <u/>
        <sz val="10"/>
        <color rgb="FF1155CC"/>
        <rFont val="Roboto"/>
      </rPr>
      <t>https://drive.google.com/open?id=1Nsii2JF5UzeKAC-G9mdftEiEP0FMx-BU</t>
    </r>
  </si>
  <si>
    <r>
      <rPr>
        <u/>
        <sz val="10"/>
        <color rgb="FF1155CC"/>
        <rFont val="Roboto"/>
      </rPr>
      <t>https://drive.google.com/open?id=13a6xT-anbNLEW_1cU9CxpbQGh4c1-R-8</t>
    </r>
  </si>
  <si>
    <r>
      <rPr>
        <u/>
        <sz val="10"/>
        <color rgb="FF1155CC"/>
        <rFont val="Roboto"/>
      </rPr>
      <t>https://drive.google.com/open?id=1iOawUTPXK4W78T_5hvMfEVuv-4bome85</t>
    </r>
  </si>
  <si>
    <t>TRANSFORMING FASHION RETAIL MANAGEMENT THROUGH DATA-DRIVEN SEGMENTATION AND REAL-TIME BUSINESS INTELLIGENCE DASHBOARDS: A CASE STUDY AT NONTAM CAP FASHION COMPANY</t>
  </si>
  <si>
    <r>
      <rPr>
        <u/>
        <sz val="10"/>
        <color rgb="FF1155CC"/>
        <rFont val="Roboto"/>
      </rPr>
      <t>https://drive.google.com/open?id=1vStvfhlswhf71nsb3rM4YrJ6PC6sVB_m</t>
    </r>
  </si>
  <si>
    <r>
      <rPr>
        <u/>
        <sz val="10"/>
        <color rgb="FF1155CC"/>
        <rFont val="Roboto"/>
      </rPr>
      <t>https://drive.google.com/open?id=1us-8KAl9nfuFm3KcB0oKgiMToqH81_KC</t>
    </r>
  </si>
  <si>
    <r>
      <rPr>
        <u/>
        <sz val="10"/>
        <color rgb="FF1155CC"/>
        <rFont val="Roboto"/>
      </rPr>
      <t>https://drive.google.com/open?id=1oTrIrrlXxhzKIAWsj_dQ-vwKh1kOmS15</t>
    </r>
  </si>
  <si>
    <t>REGIME-SWITCHING ANALYSIS OF THE VIETNAMESE STOCK MARKET: BENCHMARKING CLASSICAL MODELS AND A HYBRID LATENT FRAMEWORK</t>
  </si>
  <si>
    <r>
      <rPr>
        <u/>
        <sz val="10"/>
        <color rgb="FF1155CC"/>
        <rFont val="Roboto"/>
      </rPr>
      <t>https://drive.google.com/open?id=14KHr1oKnpdzF5_09SOuwK-O0zfLjJslG</t>
    </r>
  </si>
  <si>
    <r>
      <rPr>
        <u/>
        <sz val="10"/>
        <color rgb="FF1155CC"/>
        <rFont val="Roboto"/>
      </rPr>
      <t>https://drive.google.com/open?id=1vUZXf3IRYERfMH2CJSjtmKMHQg6n4_PT</t>
    </r>
  </si>
  <si>
    <r>
      <rPr>
        <u/>
        <sz val="10"/>
        <color rgb="FF1155CC"/>
        <rFont val="Roboto"/>
      </rPr>
      <t>https://drive.google.com/open?id=1jlIxOLvo0uJo5amz9ouk3SoggceXyG59</t>
    </r>
  </si>
  <si>
    <r>
      <rPr>
        <u/>
        <sz val="10"/>
        <color rgb="FF1155CC"/>
        <rFont val="Roboto"/>
      </rPr>
      <t>https://drive.google.com/open?id=1RbO5yxLs2ivCVf4Yqe_lcbxJvstkcr5E</t>
    </r>
  </si>
  <si>
    <r>
      <rPr>
        <u/>
        <sz val="10"/>
        <color rgb="FF1155CC"/>
        <rFont val="Roboto"/>
      </rPr>
      <t>https://drive.google.com/open?id=1nWsddLz0YI74Wh2La9RRxAEuL8mbEleu</t>
    </r>
  </si>
  <si>
    <r>
      <rPr>
        <u/>
        <sz val="10"/>
        <color rgb="FF1155CC"/>
        <rFont val="Roboto"/>
      </rPr>
      <t>https://drive.google.com/open?id=1REqzhMvLIPVfGzDeN6x93pquLeo5ZmXK</t>
    </r>
  </si>
  <si>
    <r>
      <rPr>
        <u/>
        <sz val="10"/>
        <color rgb="FF1155CC"/>
        <rFont val="Roboto"/>
      </rPr>
      <t>https://drive.google.com/open?id=1bm7GSIXpzAZpqC1ATkUbutqdzq8eJory</t>
    </r>
  </si>
  <si>
    <r>
      <rPr>
        <u/>
        <sz val="10"/>
        <color rgb="FF1155CC"/>
        <rFont val="Roboto"/>
      </rPr>
      <t>https://drive.google.com/open?id=1Yz2t3KJrHPMks26Pz0W2hSFngUQVar6O</t>
    </r>
  </si>
  <si>
    <r>
      <rPr>
        <u/>
        <sz val="10"/>
        <color rgb="FF1155CC"/>
        <rFont val="Roboto"/>
      </rPr>
      <t>https://drive.google.com/open?id=11V_hI3BeUB9V94vj0ojHCz4OUjyh91UG</t>
    </r>
  </si>
  <si>
    <r>
      <rPr>
        <u/>
        <sz val="10"/>
        <color rgb="FF1155CC"/>
        <rFont val="Roboto"/>
      </rPr>
      <t>https://drive.google.com/open?id=15tv1dRP3VSaeOdYW5kr2Sugg1Bri9bWU</t>
    </r>
  </si>
  <si>
    <t>ANALYSIS OF REAL ESTATE LENDING ACTIVITIES FOR INDIVIDUAL CUSTOMERS OF VIETNAM JOINT STOCK COMMERCIAL BANK FOR INDUSTRY AND TRADE – BRANCH 8 – XOM CUI TRANSACTION OFFICE</t>
  </si>
  <si>
    <r>
      <rPr>
        <u/>
        <sz val="10"/>
        <color rgb="FF1155CC"/>
        <rFont val="Roboto"/>
      </rPr>
      <t>https://drive.google.com/open?id=1TsAgNadcbKVqAUNt7m14Ni_v17J_WkDu</t>
    </r>
  </si>
  <si>
    <r>
      <rPr>
        <u/>
        <sz val="10"/>
        <color rgb="FF1155CC"/>
        <rFont val="Roboto"/>
      </rPr>
      <t>https://drive.google.com/open?id=1csXzh3lKOI4Jd2jS07JM8_oVkZ6Obp4g</t>
    </r>
  </si>
  <si>
    <r>
      <rPr>
        <u/>
        <sz val="10"/>
        <color rgb="FF1155CC"/>
        <rFont val="Roboto"/>
      </rPr>
      <t>https://drive.google.com/open?id=1tvvzaugZ5VbtZzFb1wc0vf7KdoIJmg4V</t>
    </r>
  </si>
  <si>
    <r>
      <rPr>
        <u/>
        <sz val="10"/>
        <color rgb="FF1155CC"/>
        <rFont val="Roboto"/>
      </rPr>
      <t>https://drive.google.com/open?id=1HDFZ27W2ti4R7JiNZX60LbPV6QPoNJXW</t>
    </r>
  </si>
  <si>
    <r>
      <rPr>
        <u/>
        <sz val="10"/>
        <color rgb="FF1155CC"/>
        <rFont val="Roboto"/>
      </rPr>
      <t>https://drive.google.com/open?id=1Kw_0iTyU-tqfnnz3KwmPZLlGeWXQrEhl</t>
    </r>
  </si>
  <si>
    <r>
      <rPr>
        <u/>
        <sz val="10"/>
        <color rgb="FF1155CC"/>
        <rFont val="Roboto"/>
      </rPr>
      <t>https://drive.google.com/open?id=1yRvulCXREgnaluLJJxxFF4K2EzMkV-Dr</t>
    </r>
  </si>
  <si>
    <t>Mô hình hóa quy trình mở tài khoản thanh toán khách hàng cá nhân tại MBV – Chi nhánh Gò Vấp</t>
  </si>
  <si>
    <r>
      <rPr>
        <u/>
        <sz val="10"/>
        <color rgb="FF1155CC"/>
        <rFont val="Roboto"/>
      </rPr>
      <t>https://drive.google.com/open?id=1VWKirHGFnAXdCEMoZypB7WY13ea3v_e7</t>
    </r>
  </si>
  <si>
    <r>
      <rPr>
        <u/>
        <sz val="10"/>
        <color rgb="FF1155CC"/>
        <rFont val="Roboto"/>
      </rPr>
      <t>https://drive.google.com/open?id=1Kmxj2-g-HXDL-EFtrC9jd81azp08yS6C</t>
    </r>
  </si>
  <si>
    <r>
      <rPr>
        <u/>
        <sz val="10"/>
        <color rgb="FF1155CC"/>
        <rFont val="Roboto"/>
      </rPr>
      <t>https://drive.google.com/open?id=1egLeqvU7WGcD3K2GouQhPr3rD00laTK0</t>
    </r>
  </si>
  <si>
    <t>ỨNG DỤNG HIỆP PHƯƠNG SAI CO RÚT LEDOIT-WOLF TRONG XÂY DỰNG PHÂN CỤM PHÂN CẤP: BẰNG CHỨNG THỰC NGHIỆM TẠI THỊ TRƯỜNG CHỨNG KHOÁN VIỆT NAM</t>
  </si>
  <si>
    <r>
      <rPr>
        <u/>
        <sz val="10"/>
        <color rgb="FF1155CC"/>
        <rFont val="Roboto"/>
      </rPr>
      <t>https://drive.google.com/open?id=1NRsBqbjPhrPvWL20W2LELyZlz3Yvf3os</t>
    </r>
  </si>
  <si>
    <r>
      <rPr>
        <u/>
        <sz val="10"/>
        <color rgb="FF1155CC"/>
        <rFont val="Roboto"/>
      </rPr>
      <t>https://drive.google.com/open?id=1STks1zXaMOPx7AejjnMmoiGM69bZzymR</t>
    </r>
  </si>
  <si>
    <r>
      <rPr>
        <u/>
        <sz val="10"/>
        <color rgb="FF1155CC"/>
        <rFont val="Roboto"/>
      </rPr>
      <t>https://drive.google.com/open?id=1tVe8QESnaerkhaiciDn3jwK9u71S_aHS</t>
    </r>
  </si>
  <si>
    <r>
      <rPr>
        <u/>
        <sz val="10"/>
        <color rgb="FF1155CC"/>
        <rFont val="Roboto"/>
      </rPr>
      <t>https://drive.google.com/open?id=1QCUNdJbwn59jqVLuFfpB6VVr8qDVNz4-</t>
    </r>
  </si>
  <si>
    <t>PHÂN TÍCH TÌNH HÌNH TÀI CHÍNH VÀ ĐỊNH GIÁ DOANH NGHIỆP TRƯỜNG HỢP CÔNG TY CỔ PHẦN ĐẦU TƯ NAM LONG</t>
  </si>
  <si>
    <r>
      <rPr>
        <u/>
        <sz val="10"/>
        <color rgb="FF1155CC"/>
        <rFont val="Roboto"/>
      </rPr>
      <t>https://drive.google.com/open?id=1qNUYhVZ_irfPnJFIeXXc8j7YLkGsy6wj</t>
    </r>
  </si>
  <si>
    <r>
      <rPr>
        <u/>
        <sz val="10"/>
        <color rgb="FF1155CC"/>
        <rFont val="Roboto"/>
      </rPr>
      <t>https://drive.google.com/open?id=1FmSMx_ObV2g1pYpRF2CRLxHy871wEZE8</t>
    </r>
  </si>
  <si>
    <r>
      <rPr>
        <u/>
        <sz val="10"/>
        <color rgb="FF1155CC"/>
        <rFont val="Roboto"/>
      </rPr>
      <t>https://drive.google.com/open?id=15w7mSZl_-rBNwF8GAtETBqrH0g5t_L-y</t>
    </r>
  </si>
  <si>
    <r>
      <rPr>
        <u/>
        <sz val="10"/>
        <color rgb="FF1155CC"/>
        <rFont val="Roboto"/>
      </rPr>
      <t>https://drive.google.com/open?id=1tAuqpUrxfohDlAFfLpwZYLKSFnaaFLI9</t>
    </r>
  </si>
  <si>
    <r>
      <rPr>
        <u/>
        <sz val="10"/>
        <color rgb="FF1155CC"/>
        <rFont val="Roboto"/>
      </rPr>
      <t>https://drive.google.com/open?id=1M58mCmlRgnBVoZOYxnWJk0Dy8nU4MKIO</t>
    </r>
  </si>
  <si>
    <r>
      <rPr>
        <u/>
        <sz val="10"/>
        <color rgb="FF1155CC"/>
        <rFont val="Roboto"/>
      </rPr>
      <t>https://drive.google.com/open?id=1_PWyWMWPd2aS2hAmr0U49jVLwc0-Bo_D</t>
    </r>
  </si>
  <si>
    <r>
      <rPr>
        <u/>
        <sz val="10"/>
        <color rgb="FF1155CC"/>
        <rFont val="Roboto"/>
      </rPr>
      <t>https://drive.google.com/open?id=1r9JHeHzS-p2bHJjGWrRRCH-HvZpP9PJC</t>
    </r>
  </si>
  <si>
    <t>Ứng dụng các mô hình học máy trong bài toán dự báo xu hướng tiền điện tử: Nghiên cứu thực nhiệm với Bitcoin</t>
  </si>
  <si>
    <r>
      <rPr>
        <u/>
        <sz val="10"/>
        <color rgb="FF1155CC"/>
        <rFont val="Roboto"/>
      </rPr>
      <t>https://drive.google.com/open?id=1aOCYe--EDUqAI9YSpToOXiRT01K95Q80</t>
    </r>
  </si>
  <si>
    <r>
      <rPr>
        <u/>
        <sz val="10"/>
        <color rgb="FF1155CC"/>
        <rFont val="Roboto"/>
      </rPr>
      <t>https://drive.google.com/open?id=1cCRl-unfJfYGUK9fSbrdM3b5zu9-Djg6</t>
    </r>
  </si>
  <si>
    <r>
      <rPr>
        <u/>
        <sz val="10"/>
        <color rgb="FF1155CC"/>
        <rFont val="Roboto"/>
      </rPr>
      <t>https://drive.google.com/open?id=1Un6XQ8Cppy1DRPpuGRSMagfhV79gD54e</t>
    </r>
  </si>
  <si>
    <t>Xây dựng Chatbot hỗ trợ ra khuyến nghị đầu tư tiền điện tử</t>
  </si>
  <si>
    <r>
      <rPr>
        <u/>
        <sz val="10"/>
        <color rgb="FF1155CC"/>
        <rFont val="Roboto"/>
      </rPr>
      <t>https://drive.google.com/open?id=1RN1TNxYPyT1vVOP2nd3VKKLv5ByX3D5R</t>
    </r>
  </si>
  <si>
    <r>
      <rPr>
        <u/>
        <sz val="10"/>
        <color rgb="FF1155CC"/>
        <rFont val="Roboto"/>
      </rPr>
      <t>https://drive.google.com/open?id=1HR8eCsbbp_GSVxiKq3OtvPxTlOy25POQ</t>
    </r>
  </si>
  <si>
    <r>
      <rPr>
        <u/>
        <sz val="10"/>
        <color rgb="FF1155CC"/>
        <rFont val="Roboto"/>
      </rPr>
      <t>https://drive.google.com/open?id=1ivRiijEy87mO7hxzJ67WA9f64noBj6x5</t>
    </r>
  </si>
  <si>
    <r>
      <rPr>
        <u/>
        <sz val="10"/>
        <color rgb="FF1155CC"/>
        <rFont val="Roboto"/>
      </rPr>
      <t>https://drive.google.com/open?id=1kmu_HKEj2SYTBF-Xm6WjfwKFKFd_tf0m</t>
    </r>
  </si>
  <si>
    <r>
      <rPr>
        <u/>
        <sz val="10"/>
        <color rgb="FF1155CC"/>
        <rFont val="Roboto"/>
      </rPr>
      <t>https://drive.google.com/open?id=1Y3-dQwLeQVw8JtJPh21RNm3WNC9oBpti</t>
    </r>
  </si>
  <si>
    <r>
      <rPr>
        <u/>
        <sz val="10"/>
        <color rgb="FF1155CC"/>
        <rFont val="Roboto"/>
      </rPr>
      <t>https://drive.google.com/open?id=1qlCw7gfpwv5Pee5B9CnLo51Mxwvdeo5w</t>
    </r>
  </si>
  <si>
    <r>
      <rPr>
        <u/>
        <sz val="10"/>
        <color rgb="FF1155CC"/>
        <rFont val="Roboto"/>
      </rPr>
      <t>https://drive.google.com/open?id=182wNB88HNx7aX61dxgw7Xp81DBrQBszw</t>
    </r>
  </si>
  <si>
    <r>
      <rPr>
        <u/>
        <sz val="10"/>
        <color rgb="FF1155CC"/>
        <rFont val="Roboto"/>
      </rPr>
      <t>https://drive.google.com/open?id=15PyTZKySg0d-5tuWMFzHLDp_SPPpB-PZ</t>
    </r>
  </si>
  <si>
    <r>
      <rPr>
        <u/>
        <sz val="10"/>
        <color rgb="FF1155CC"/>
        <rFont val="Roboto"/>
      </rPr>
      <t>https://drive.google.com/open?id=16j46gsYMj1Sf5L0jdCnjxXwbDogxKpfE</t>
    </r>
  </si>
  <si>
    <r>
      <rPr>
        <u/>
        <sz val="10"/>
        <color rgb="FF1155CC"/>
        <rFont val="Roboto"/>
      </rPr>
      <t>https://drive.google.com/open?id=1PGLYnyMbWZXHG9fnRIs_BM3pRMOV4lI8</t>
    </r>
  </si>
  <si>
    <r>
      <rPr>
        <u/>
        <sz val="10"/>
        <color rgb="FF1155CC"/>
        <rFont val="Roboto"/>
      </rPr>
      <t>https://drive.google.com/open?id=1ps4Mr_LqEqUyFmR7QtjOPV1aXm4I_SZV</t>
    </r>
  </si>
  <si>
    <t>HOẠT ĐỘNG HUY ĐỘNG VỐN BẰNG TIỀN GỬI CỦA KHÁCH HÀNG CÁ NHÂN TẠI NGÂN HÀNG THƯƠNG MẠI CỔ PHẦN SÀI GÒN THƯƠNG TÍN - CHI NHÁNH THỦ ĐỨC</t>
  </si>
  <si>
    <r>
      <rPr>
        <u/>
        <sz val="10"/>
        <color rgb="FF1155CC"/>
        <rFont val="Roboto"/>
      </rPr>
      <t>https://drive.google.com/open?id=1jKtuXQ62akFAt80DEAzg430UpfrocsUS</t>
    </r>
  </si>
  <si>
    <r>
      <rPr>
        <u/>
        <sz val="10"/>
        <color rgb="FF1155CC"/>
        <rFont val="Roboto"/>
      </rPr>
      <t>https://drive.google.com/open?id=12sxI1VjqxG81GPiEF1C34fFub3sWwJ_H</t>
    </r>
  </si>
  <si>
    <r>
      <rPr>
        <u/>
        <sz val="10"/>
        <color rgb="FF1155CC"/>
        <rFont val="Roboto"/>
      </rPr>
      <t>https://drive.google.com/open?id=1xzLJgbV9LwWrKAMI5Kh8tHXpt3IWa_yN</t>
    </r>
  </si>
  <si>
    <t>MACHINE LEARNING-BASED PREDICTION OF FINANCIAL DISTRESS: EVIDENCE FROM NON-FINANCIAL LISTED COMPANIES IN VIETNAM (2010-2024)</t>
  </si>
  <si>
    <r>
      <rPr>
        <u/>
        <sz val="10"/>
        <color rgb="FF1155CC"/>
        <rFont val="Roboto"/>
      </rPr>
      <t>https://drive.google.com/open?id=1YKlFWxBwgZHNewtrzHHtpZYHTFxwdSjS</t>
    </r>
  </si>
  <si>
    <r>
      <rPr>
        <u/>
        <sz val="10"/>
        <color rgb="FF1155CC"/>
        <rFont val="Roboto"/>
      </rPr>
      <t>https://drive.google.com/open?id=17AZ1wKUbcAtkL4XWzz7T8URNo1aPa_Xq</t>
    </r>
  </si>
  <si>
    <r>
      <rPr>
        <u/>
        <sz val="10"/>
        <color rgb="FF1155CC"/>
        <rFont val="Roboto"/>
      </rPr>
      <t>https://drive.google.com/open?id=1yg_v1hFjN2e2u4yOwEvZyzbtKQWc2ksY</t>
    </r>
  </si>
  <si>
    <r>
      <rPr>
        <u/>
        <sz val="10"/>
        <color rgb="FF1155CC"/>
        <rFont val="Roboto"/>
      </rPr>
      <t>https://drive.google.com/open?id=1_utwnZlRvbexiB8MVjfx55ExZzZbksm_</t>
    </r>
  </si>
  <si>
    <t>The moderating role of financial stability in the relationship between profitability and firm value: Evidence from Vietnamese real estate firms</t>
  </si>
  <si>
    <r>
      <rPr>
        <u/>
        <sz val="10"/>
        <color rgb="FF1155CC"/>
        <rFont val="Roboto"/>
      </rPr>
      <t>https://drive.google.com/open?id=1b9ighdzNJh61n7UCtWhi0LirT6fP7W_o</t>
    </r>
  </si>
  <si>
    <r>
      <rPr>
        <u/>
        <sz val="10"/>
        <color rgb="FF1155CC"/>
        <rFont val="Roboto"/>
      </rPr>
      <t>https://drive.google.com/open?id=1m0UZZFmBQuvUvxzWXfK6g2bCMwoarxEU</t>
    </r>
  </si>
  <si>
    <r>
      <rPr>
        <u/>
        <sz val="10"/>
        <color rgb="FF1155CC"/>
        <rFont val="Roboto"/>
      </rPr>
      <t>https://drive.google.com/open?id=1G8r3SkAEO47amZGTqewYa4f5BrvpH-k6</t>
    </r>
  </si>
  <si>
    <r>
      <rPr>
        <u/>
        <sz val="10"/>
        <color rgb="FF1155CC"/>
        <rFont val="Roboto"/>
      </rPr>
      <t>https://drive.google.com/open?id=1G-5ZRtKZlGLeemvGCiEAebM-ps_L6waY</t>
    </r>
  </si>
  <si>
    <r>
      <rPr>
        <u/>
        <sz val="10"/>
        <color rgb="FF1155CC"/>
        <rFont val="Roboto"/>
      </rPr>
      <t>https://drive.google.com/open?id=148UOufZKhRIKmlNukPDlKpHOa6PanpHM</t>
    </r>
  </si>
  <si>
    <r>
      <rPr>
        <u/>
        <sz val="10"/>
        <color rgb="FF1155CC"/>
        <rFont val="Roboto"/>
      </rPr>
      <t>https://drive.google.com/open?id=1poHYfELC3W0XUl9zadA6MMubLtEUc2XR</t>
    </r>
  </si>
  <si>
    <t>bachvu426@gmail.com</t>
  </si>
  <si>
    <r>
      <rPr>
        <u/>
        <sz val="10"/>
        <color rgb="FF1155CC"/>
        <rFont val="Roboto"/>
      </rPr>
      <t>https://drive.google.com/open?id=1Ubh1mUqJY2A6_EsyvehCWhcMffNdo_3P</t>
    </r>
  </si>
  <si>
    <r>
      <rPr>
        <u/>
        <sz val="10"/>
        <color rgb="FF1155CC"/>
        <rFont val="Roboto"/>
      </rPr>
      <t>https://drive.google.com/open?id=1OD_vysfhOqUTpjA7yS-JhDZGy2DPbtRx</t>
    </r>
  </si>
  <si>
    <r>
      <rPr>
        <u/>
        <sz val="10"/>
        <color rgb="FF1155CC"/>
        <rFont val="Roboto"/>
      </rPr>
      <t>https://drive.google.com/open?id=1inV6lrTRcwhXtXK9ScSLR0YBwdYDzy9L</t>
    </r>
  </si>
  <si>
    <r>
      <rPr>
        <u/>
        <sz val="10"/>
        <color rgb="FF1155CC"/>
        <rFont val="Roboto"/>
      </rPr>
      <t>https://drive.google.com/open?id=1IQ_vRg57sOvz5O5OJg-FXxkH4N5gZTWy</t>
    </r>
  </si>
  <si>
    <r>
      <rPr>
        <u/>
        <sz val="10"/>
        <color rgb="FF1155CC"/>
        <rFont val="Roboto"/>
      </rPr>
      <t>https://drive.google.com/open?id=1kfIoJ2kNB57znE_IUX8uFPbEov-BslJO</t>
    </r>
  </si>
  <si>
    <r>
      <rPr>
        <u/>
        <sz val="10"/>
        <color rgb="FF1155CC"/>
        <rFont val="Roboto"/>
      </rPr>
      <t>https://drive.google.com/open?id=1JQAy26rehS8yrOuwl36xjpaSir7DOcvn</t>
    </r>
  </si>
  <si>
    <t>Ứng dụng mô hình Deep Learning để tối ưu hóa danh mục đầu tư theo trạng thái rủi ro thị trường</t>
  </si>
  <si>
    <r>
      <rPr>
        <u/>
        <sz val="10"/>
        <color rgb="FF1155CC"/>
        <rFont val="Roboto"/>
      </rPr>
      <t>https://drive.google.com/open?id=1zC1Sa_9_DWC_zTAgsOY1vjuqBApLqT8O</t>
    </r>
  </si>
  <si>
    <r>
      <rPr>
        <u/>
        <sz val="10"/>
        <color rgb="FF1155CC"/>
        <rFont val="Roboto"/>
      </rPr>
      <t>https://drive.google.com/open?id=1_6NdeQ7TbfzlugYH8GCl1LJa3VLiskYQ</t>
    </r>
  </si>
  <si>
    <r>
      <rPr>
        <u/>
        <sz val="10"/>
        <color rgb="FF1155CC"/>
        <rFont val="Roboto"/>
      </rPr>
      <t>https://drive.google.com/open?id=1VSEhyZeQBnWPxARPdvK6qcMVWTvv0QBA</t>
    </r>
  </si>
  <si>
    <r>
      <rPr>
        <u/>
        <sz val="10"/>
        <color rgb="FF1155CC"/>
        <rFont val="Roboto"/>
      </rPr>
      <t>https://drive.google.com/open?id=1iI6ZSutx79BM-umg-FzqYTGQMcj2PUne</t>
    </r>
  </si>
  <si>
    <r>
      <rPr>
        <u/>
        <sz val="10"/>
        <color rgb="FF1155CC"/>
        <rFont val="Roboto"/>
      </rPr>
      <t>https://drive.google.com/open?id=1uQg1Jf4XngyRRntyURSuTXTR0184uOov</t>
    </r>
  </si>
  <si>
    <r>
      <rPr>
        <u/>
        <sz val="10"/>
        <color rgb="FF1155CC"/>
        <rFont val="Roboto"/>
      </rPr>
      <t>https://drive.google.com/open?id=1Zgmqmhbpsp0sYEdpvqxIj1drPydeRoXx</t>
    </r>
  </si>
  <si>
    <r>
      <rPr>
        <u/>
        <sz val="10"/>
        <color rgb="FF1155CC"/>
        <rFont val="Roboto"/>
      </rPr>
      <t>https://drive.google.com/open?id=1yJvBeOwD-F-4dIZIhDoBMHN8crOkSoI2</t>
    </r>
  </si>
  <si>
    <t>toan.9c.pvt@gmail.com</t>
  </si>
  <si>
    <t>Ứng dụng phân tích dữ liệu khách hàng trong các chương trình Loyalty Marketing tại Công ty Amiras</t>
  </si>
  <si>
    <r>
      <rPr>
        <u/>
        <sz val="10"/>
        <color rgb="FF1155CC"/>
        <rFont val="Roboto"/>
      </rPr>
      <t>https://drive.google.com/open?id=1dpzIsAq-9wmPIvt_Pjw94M1ME0yQ_ZrU</t>
    </r>
  </si>
  <si>
    <r>
      <rPr>
        <u/>
        <sz val="10"/>
        <color rgb="FF1155CC"/>
        <rFont val="Roboto"/>
      </rPr>
      <t>https://drive.google.com/open?id=1dJQQL6cn_fsBrH5-27Ij4BqltFBvEk0Q</t>
    </r>
  </si>
  <si>
    <r>
      <rPr>
        <u/>
        <sz val="10"/>
        <color rgb="FF1155CC"/>
        <rFont val="Roboto"/>
      </rPr>
      <t>https://drive.google.com/open?id=19yGy5jBgV5PdQHS1PXx2-a_1uJ2rb5Sp</t>
    </r>
  </si>
  <si>
    <t>A comparative study of the effectiveness of Arima, Sarima, LSTM models in crypto currency price forecasting</t>
  </si>
  <si>
    <r>
      <rPr>
        <u/>
        <sz val="10"/>
        <color rgb="FF1155CC"/>
        <rFont val="Roboto"/>
      </rPr>
      <t>https://drive.google.com/open?id=14L3_jLl-FjkoCFxxIddu3RpTKa5UGQD9</t>
    </r>
  </si>
  <si>
    <r>
      <rPr>
        <u/>
        <sz val="10"/>
        <color rgb="FF1155CC"/>
        <rFont val="Roboto"/>
      </rPr>
      <t>https://drive.google.com/open?id=174tJ5tq4cyP7xemUlsCu1JKJ_D-MsKBM</t>
    </r>
  </si>
  <si>
    <r>
      <rPr>
        <u/>
        <sz val="10"/>
        <color rgb="FF1155CC"/>
        <rFont val="Roboto"/>
      </rPr>
      <t>https://drive.google.com/open?id=1BPUYM6YcvcrHSh7JpW273eG_5OPMl4R3</t>
    </r>
  </si>
  <si>
    <r>
      <rPr>
        <u/>
        <sz val="10"/>
        <color rgb="FF1155CC"/>
        <rFont val="Roboto"/>
      </rPr>
      <t>https://drive.google.com/open?id=10u2DFHfijECTagiMR7uYmYSeIaqEw-jj</t>
    </r>
  </si>
  <si>
    <t>ANALYZING USER SENTIMENT FROM MOBILE BANKING APPLICATION REVIEWS AND ITS ASSOCIATION WITH BANK STOCK PRICE FLUCTUATIONS IN VIETNAM</t>
  </si>
  <si>
    <r>
      <rPr>
        <u/>
        <sz val="10"/>
        <color rgb="FF1155CC"/>
        <rFont val="Roboto"/>
      </rPr>
      <t>https://drive.google.com/open?id=1oUhfWX1gvOe0u1FaYdRCjRyQxorN4S0t</t>
    </r>
  </si>
  <si>
    <r>
      <rPr>
        <u/>
        <sz val="10"/>
        <color rgb="FF1155CC"/>
        <rFont val="Roboto"/>
      </rPr>
      <t>https://drive.google.com/open?id=1w2bV406fMqwcwzYeOJ41tdFpfTxnyAIq</t>
    </r>
  </si>
  <si>
    <r>
      <rPr>
        <u/>
        <sz val="10"/>
        <color rgb="FF1155CC"/>
        <rFont val="Roboto"/>
      </rPr>
      <t>https://drive.google.com/open?id=1x6q3CgeCfCNwUZclyHBddI26fJN6ZZjg</t>
    </r>
  </si>
  <si>
    <r>
      <rPr>
        <u/>
        <sz val="10"/>
        <color rgb="FF1155CC"/>
        <rFont val="Roboto"/>
      </rPr>
      <t>https://drive.google.com/open?id=1Y1omWwEte0_-Bo5eVfaV1blqX1b6A2jt</t>
    </r>
  </si>
  <si>
    <r>
      <rPr>
        <u/>
        <sz val="10"/>
        <color rgb="FF1155CC"/>
        <rFont val="Roboto"/>
      </rPr>
      <t>https://drive.google.com/open?id=11LqRPxfcHgcT4mkFm-Gw_pUPjTrktJfn</t>
    </r>
  </si>
  <si>
    <r>
      <rPr>
        <u/>
        <sz val="10"/>
        <color rgb="FF1155CC"/>
        <rFont val="Roboto"/>
      </rPr>
      <t>https://drive.google.com/open?id=1xM7fE34cw2cIAwXmniQ1LByIz8fpiVDM</t>
    </r>
  </si>
  <si>
    <r>
      <rPr>
        <u/>
        <sz val="10"/>
        <color rgb="FF1155CC"/>
        <rFont val="Roboto"/>
      </rPr>
      <t>https://drive.google.com/open?id=1mbKm4wvTq778sg55aqa-TwwqSc2_OFE1</t>
    </r>
  </si>
  <si>
    <t>ỨNG DỤNG MÁY HỌC TRONG PHÂN TÍCH CẢM XÚC THỊ TRƯỜNG ĐỂ DỰ BÁO GIÁ CỔ PHIẾU VIỆT NAM</t>
  </si>
  <si>
    <r>
      <rPr>
        <u/>
        <sz val="10"/>
        <color rgb="FF1155CC"/>
        <rFont val="Roboto"/>
      </rPr>
      <t>https://drive.google.com/open?id=1aVXn76_BzFR8mtc0MyohJE0m4yx57Bzo</t>
    </r>
  </si>
  <si>
    <r>
      <rPr>
        <u/>
        <sz val="10"/>
        <color rgb="FF1155CC"/>
        <rFont val="Roboto"/>
      </rPr>
      <t>https://drive.google.com/open?id=1Q-NH1QssT65EtjAUP_RzbvILG0Z75t0x</t>
    </r>
  </si>
  <si>
    <r>
      <rPr>
        <u/>
        <sz val="10"/>
        <color rgb="FF1155CC"/>
        <rFont val="Roboto"/>
      </rPr>
      <t>https://drive.google.com/open?id=1HUdU1gTzxnJpZbVVFBwj79eoJ7V1pcmS</t>
    </r>
  </si>
  <si>
    <r>
      <rPr>
        <u/>
        <sz val="10"/>
        <color rgb="FF1155CC"/>
        <rFont val="Roboto"/>
      </rPr>
      <t>https://drive.google.com/open?id=1RoUxwKWBhS44BzODwBc3Xko8QxCfpViD</t>
    </r>
  </si>
  <si>
    <r>
      <rPr>
        <u/>
        <sz val="10"/>
        <color rgb="FF1155CC"/>
        <rFont val="Roboto"/>
      </rPr>
      <t>https://drive.google.com/open?id=1DBzaKSNdfcnK3J7MuErdfmcA5IVK6jSY</t>
    </r>
  </si>
  <si>
    <r>
      <rPr>
        <u/>
        <sz val="10"/>
        <color rgb="FF1155CC"/>
        <rFont val="Roboto"/>
      </rPr>
      <t>https://drive.google.com/open?id=1PWMc8zXVtayzMO2c9wE_F1r4_UrnVfNm</t>
    </r>
  </si>
  <si>
    <r>
      <rPr>
        <u/>
        <sz val="10"/>
        <color rgb="FF1155CC"/>
        <rFont val="Roboto"/>
      </rPr>
      <t>https://drive.google.com/open?id=1FLjJXLnRdpa9I8MBM6ZQdF7SrKAwW6Bk</t>
    </r>
  </si>
  <si>
    <t>DEVELOPING MANAGEMENT-ORIENTED FINANCIAL ANALYTICS FRAMEWORK AND CASH FLOW FORECASTING FOR AIESEC VIETNAM SOCIAL COMPANY LIMITED (HO CHI MINH CITY EAST BRANCH)</t>
  </si>
  <si>
    <r>
      <rPr>
        <u/>
        <sz val="10"/>
        <color rgb="FF1155CC"/>
        <rFont val="Roboto"/>
      </rPr>
      <t>https://drive.google.com/open?id=1LPEwFQbYSLJ5vn2rLrDHFvEWINztFNb9</t>
    </r>
  </si>
  <si>
    <r>
      <rPr>
        <u/>
        <sz val="10"/>
        <color rgb="FF1155CC"/>
        <rFont val="Roboto"/>
      </rPr>
      <t>https://drive.google.com/open?id=14KPUaJC_3flYWo_k1WRyX0pTdAWm8_oV</t>
    </r>
  </si>
  <si>
    <r>
      <rPr>
        <u/>
        <sz val="10"/>
        <color rgb="FF1155CC"/>
        <rFont val="Roboto"/>
      </rPr>
      <t>https://drive.google.com/open?id=1x39aJ9jBieHn8K7o2-SQjG0Am-D4La3L</t>
    </r>
  </si>
  <si>
    <t>ỨNG DỤNG MÔ HÌNH BLACK–LITTERMAN KẾT HỢP REGULARIZED REGRESSION TRONG TỐI ƯU HÓA DANH MỤC ĐẦU TƯ TẠI THỊ TRƯỜNG CHỨNG KHOÁN VIỆT NAM: BẰNG CHỨNG TỪ TẬP CỔ PHIẾU VN30-2026 GIAI ĐOẠN 2021-2026</t>
  </si>
  <si>
    <r>
      <rPr>
        <u/>
        <sz val="10"/>
        <color rgb="FF1155CC"/>
        <rFont val="Roboto"/>
      </rPr>
      <t>https://drive.google.com/open?id=1JjgXaN9TNlzrcDVCl7QjPQBhYsOK68qR</t>
    </r>
  </si>
  <si>
    <r>
      <rPr>
        <u/>
        <sz val="10"/>
        <color rgb="FF1155CC"/>
        <rFont val="Roboto"/>
      </rPr>
      <t>https://drive.google.com/open?id=1zKdWFcB_fXqwHxmsOH4rSnVagjKun9Pw</t>
    </r>
  </si>
  <si>
    <r>
      <rPr>
        <u/>
        <sz val="10"/>
        <color rgb="FF1155CC"/>
        <rFont val="Roboto"/>
      </rPr>
      <t>https://drive.google.com/open?id=1JJ1v9YNHR_5wy1WsxnPX93iiMZ2CQGc-</t>
    </r>
  </si>
  <si>
    <r>
      <rPr>
        <u/>
        <sz val="10"/>
        <color rgb="FF1155CC"/>
        <rFont val="Roboto"/>
      </rPr>
      <t>https://drive.google.com/open?id=1BV2HTCiXKYn2wmAQnZwAqOKCaR3qA1en</t>
    </r>
  </si>
  <si>
    <t>tmhd89159@gmail.com</t>
  </si>
  <si>
    <t>k22414c</t>
  </si>
  <si>
    <t>DỰ BÁO XÁC SUẤT VỠ NỢ (PD) CHO KHOẢN VAY THẾ CHẤP GIAI ĐOẠN 2020–2023 VÀ HÀM Ý QUẢN TRỊ RỦI RO TÍN DỤNG</t>
  </si>
  <si>
    <r>
      <rPr>
        <u/>
        <sz val="10"/>
        <color rgb="FF1155CC"/>
        <rFont val="Roboto"/>
      </rPr>
      <t>https://drive.google.com/open?id=1JWy7Usj0t8KJUe4tkFdfQ0VrKEtAlcoJ</t>
    </r>
  </si>
  <si>
    <r>
      <rPr>
        <u/>
        <sz val="10"/>
        <color rgb="FF1155CC"/>
        <rFont val="Roboto"/>
      </rPr>
      <t>https://drive.google.com/open?id=1JhxdlbeN_CzmXPQ4FMnaBFWCfNBr8yKY</t>
    </r>
  </si>
  <si>
    <r>
      <rPr>
        <u/>
        <sz val="10"/>
        <color rgb="FF1155CC"/>
        <rFont val="Roboto"/>
      </rPr>
      <t>https://drive.google.com/open?id=1Od__fKWQ1DJ6yajgPk9dUFm1f6YYuz3c</t>
    </r>
  </si>
  <si>
    <r>
      <rPr>
        <u/>
        <sz val="10"/>
        <color rgb="FF1155CC"/>
        <rFont val="Roboto"/>
      </rPr>
      <t>https://drive.google.com/open?id=1xwb8CbIjm8hC3RA7W8fjshQprPjZssXU</t>
    </r>
  </si>
  <si>
    <r>
      <rPr>
        <u/>
        <sz val="10"/>
        <color rgb="FF1155CC"/>
        <rFont val="Roboto"/>
      </rPr>
      <t>https://drive.google.com/open?id=1CoJ92naC5yJLK6qiXZmhsDbx_QUyqA52</t>
    </r>
  </si>
  <si>
    <r>
      <rPr>
        <u/>
        <sz val="10"/>
        <color rgb="FF1155CC"/>
        <rFont val="Roboto"/>
      </rPr>
      <t>https://drive.google.com/open?id=1Q_PR-p7xCscJ9GJ63-JwnYT7He7rcxDX</t>
    </r>
  </si>
  <si>
    <r>
      <rPr>
        <u/>
        <sz val="10"/>
        <color rgb="FF1155CC"/>
        <rFont val="Roboto"/>
      </rPr>
      <t>https://drive.google.com/open?id=1XwLN5LE9wKvAB3eAm2TKGGvJhKXzOMfb</t>
    </r>
  </si>
  <si>
    <t>htbly138@gmail.com</t>
  </si>
  <si>
    <t>Tác động của tăng trưởng tín dụng đến rủi ro thanh khoản của các ngân hàng thương mại cổ phần Việt Nam</t>
  </si>
  <si>
    <r>
      <rPr>
        <u/>
        <sz val="10"/>
        <color rgb="FF1155CC"/>
        <rFont val="Roboto"/>
      </rPr>
      <t>https://drive.google.com/open?id=1KP4Of8aNXFZFMw6zm_HXWPNUsFGKcypz</t>
    </r>
  </si>
  <si>
    <r>
      <rPr>
        <u/>
        <sz val="10"/>
        <color rgb="FF1155CC"/>
        <rFont val="Roboto"/>
      </rPr>
      <t>https://drive.google.com/open?id=13v6lhNqT73TZyJZ6muu8ttmfwQnztK7e</t>
    </r>
  </si>
  <si>
    <r>
      <rPr>
        <u/>
        <sz val="10"/>
        <color rgb="FF1155CC"/>
        <rFont val="Roboto"/>
      </rPr>
      <t>https://drive.google.com/open?id=16VQ6d89mL9Ny3J2oUO_K1njnkP0hGXO-</t>
    </r>
  </si>
  <si>
    <r>
      <rPr>
        <u/>
        <sz val="10"/>
        <color rgb="FF1155CC"/>
        <rFont val="Roboto"/>
      </rPr>
      <t>https://drive.google.com/open?id=1_evaqKEcYffiZxvGnqvJ85ZEqfiGE1es</t>
    </r>
  </si>
  <si>
    <r>
      <rPr>
        <u/>
        <sz val="10"/>
        <color rgb="FF1155CC"/>
        <rFont val="Roboto"/>
      </rPr>
      <t>https://drive.google.com/open?id=1CS8IwdnKJxfUIMG5EwqvrvWAnuupiFLd</t>
    </r>
  </si>
  <si>
    <r>
      <rPr>
        <u/>
        <sz val="10"/>
        <color rgb="FF1155CC"/>
        <rFont val="Roboto"/>
      </rPr>
      <t>https://drive.google.com/open?id=1w678uCtOKR05632KVvNB2_H4Jqe-K-UV</t>
    </r>
  </si>
  <si>
    <t>Tác động của các chỉ số kinh tế vĩ mô đến tỷ giá hối đoái tại Việt Nam trong giai đoạn 2016 - 2025 : ứng dụng phương pháp VECM và Machine Learning</t>
  </si>
  <si>
    <r>
      <rPr>
        <u/>
        <sz val="10"/>
        <color rgb="FF1155CC"/>
        <rFont val="Roboto"/>
      </rPr>
      <t>https://drive.google.com/open?id=1pwmU8wNL9l5V90y_EjtnhaNqcUbnEt6U</t>
    </r>
  </si>
  <si>
    <r>
      <rPr>
        <u/>
        <sz val="10"/>
        <color rgb="FF1155CC"/>
        <rFont val="Roboto"/>
      </rPr>
      <t>https://drive.google.com/open?id=1wkUqcJxU7fh_H_7de6-ZyHsfpo7Iqn_A</t>
    </r>
  </si>
  <si>
    <r>
      <rPr>
        <u/>
        <sz val="10"/>
        <color rgb="FF1155CC"/>
        <rFont val="Roboto"/>
      </rPr>
      <t>https://drive.google.com/open?id=1BL5-zvJ35HIEg-jX9h1pxY5Qytg_kul_</t>
    </r>
  </si>
  <si>
    <r>
      <rPr>
        <u/>
        <sz val="10"/>
        <color rgb="FF1155CC"/>
        <rFont val="Roboto"/>
      </rPr>
      <t>https://drive.google.com/open?id=1rPSGxBx8ACS2FijTLvbAw1UTdVWKaPVf</t>
    </r>
  </si>
  <si>
    <r>
      <rPr>
        <u/>
        <sz val="10"/>
        <color rgb="FF1155CC"/>
        <rFont val="Roboto"/>
      </rPr>
      <t>https://drive.google.com/open?id=1cWRUnZpUgwaSDIQKqOJIKXY6aQxMmui4</t>
    </r>
  </si>
  <si>
    <r>
      <rPr>
        <u/>
        <sz val="10"/>
        <color rgb="FF1155CC"/>
        <rFont val="Roboto"/>
      </rPr>
      <t>https://drive.google.com/open?id=1ZPBvgjTJfusgIZnyJrussjeie3ll7UfO</t>
    </r>
  </si>
  <si>
    <r>
      <rPr>
        <u/>
        <sz val="10"/>
        <color rgb="FF1155CC"/>
        <rFont val="Roboto"/>
      </rPr>
      <t>https://drive.google.com/open?id=1m0eTfXxBQ4KuiBGBiq3flTMFzLjVC3Z9</t>
    </r>
  </si>
  <si>
    <t>buidangquynhnhu.work@gmail.com</t>
  </si>
  <si>
    <r>
      <rPr>
        <u/>
        <sz val="10"/>
        <color rgb="FF1155CC"/>
        <rFont val="Roboto"/>
      </rPr>
      <t>https://drive.google.com/open?id=1O53iEN6SUMV9VJVy2E0f--e_c01bAhYz</t>
    </r>
  </si>
  <si>
    <r>
      <rPr>
        <u/>
        <sz val="10"/>
        <color rgb="FF1155CC"/>
        <rFont val="Roboto"/>
      </rPr>
      <t>https://drive.google.com/open?id=1ScRqTIPYgE-rvrZeA8a5rHBV32L7JJbb</t>
    </r>
  </si>
  <si>
    <r>
      <rPr>
        <u/>
        <sz val="10"/>
        <color rgb="FF1155CC"/>
        <rFont val="Roboto"/>
      </rPr>
      <t>https://drive.google.com/open?id=1lAXmvVDkOjvFZ11oPIZWTLyhZROJm-2x</t>
    </r>
  </si>
  <si>
    <r>
      <rPr>
        <u/>
        <sz val="10"/>
        <color rgb="FF1155CC"/>
        <rFont val="Roboto"/>
      </rPr>
      <t>https://drive.google.com/open?id=15loWZ1w5QDUb7jl_6PuxvinuFFhukCE0</t>
    </r>
  </si>
  <si>
    <r>
      <rPr>
        <u/>
        <sz val="10"/>
        <color rgb="FF1155CC"/>
        <rFont val="Roboto"/>
      </rPr>
      <t>https://drive.google.com/open?id=1dQcCyu4o5pL1lGcWlQebtZ2tPhZxkWRJ</t>
    </r>
  </si>
  <si>
    <r>
      <rPr>
        <u/>
        <sz val="10"/>
        <color rgb="FF1155CC"/>
        <rFont val="Roboto"/>
      </rPr>
      <t>https://drive.google.com/open?id=1blgd6IDnZWPYStIFWggScqNyAVABERcU</t>
    </r>
  </si>
  <si>
    <r>
      <rPr>
        <u/>
        <sz val="10"/>
        <color rgb="FF1155CC"/>
        <rFont val="Roboto"/>
      </rPr>
      <t>https://drive.google.com/open?id=11x-DR8ds24LKuGgtRXvQVQ6hh_F3Q43g</t>
    </r>
  </si>
  <si>
    <t>THỰC TRẠNG VÀ HIỆU QUẢ CỦA GÓI VAY MUA NHÀ "DREAM HOME" CHO GIỚI TRẺ TẠI NGÂN HÀNG TMCP QUÂN ĐỘI MB</t>
  </si>
  <si>
    <r>
      <rPr>
        <u/>
        <sz val="10"/>
        <color rgb="FF1155CC"/>
        <rFont val="Roboto"/>
      </rPr>
      <t>https://drive.google.com/open?id=1rHm4vkya5UHLNDrUtl0F2ssMhgryueuk</t>
    </r>
  </si>
  <si>
    <r>
      <rPr>
        <u/>
        <sz val="10"/>
        <color rgb="FF1155CC"/>
        <rFont val="Roboto"/>
      </rPr>
      <t>https://drive.google.com/open?id=1PGntLVO09mZNNVGh2Wg8ST5qJlbsw1Vq</t>
    </r>
  </si>
  <si>
    <r>
      <rPr>
        <u/>
        <sz val="10"/>
        <color rgb="FF1155CC"/>
        <rFont val="Roboto"/>
      </rPr>
      <t>https://drive.google.com/open?id=18AMjzz4VmNbS5MNlHzFNLdixRtImNLp8</t>
    </r>
  </si>
  <si>
    <r>
      <rPr>
        <u/>
        <sz val="10"/>
        <color rgb="FF1155CC"/>
        <rFont val="Roboto"/>
      </rPr>
      <t>https://drive.google.com/open?id=1tG0abyWyzm65mrLp7vJR6_JrmqIZrJhF</t>
    </r>
  </si>
  <si>
    <r>
      <rPr>
        <u/>
        <sz val="10"/>
        <color rgb="FF1155CC"/>
        <rFont val="Roboto"/>
      </rPr>
      <t>https://drive.google.com/open?id=1R4PWhm3rHCO6b90NRo15gIoSvxpHYjoV</t>
    </r>
  </si>
  <si>
    <r>
      <rPr>
        <u/>
        <sz val="10"/>
        <color rgb="FF1155CC"/>
        <rFont val="Roboto"/>
      </rPr>
      <t>https://drive.google.com/open?id=1Ev8r4YRvGFtj_MjV20pXdpBwpKBww84l</t>
    </r>
  </si>
  <si>
    <r>
      <rPr>
        <u/>
        <sz val="10"/>
        <color rgb="FF1155CC"/>
        <rFont val="Roboto"/>
      </rPr>
      <t>https://drive.google.com/open?id=10WV9SiSOaUl3j0mpXQhOc7go1cgR-yhQ</t>
    </r>
  </si>
  <si>
    <r>
      <rPr>
        <u/>
        <sz val="10"/>
        <color rgb="FF1155CC"/>
        <rFont val="Roboto"/>
      </rPr>
      <t>https://drive.google.com/open?id=1f202ntPvH433SURMYvOYKlL00KuQ9R7i</t>
    </r>
  </si>
  <si>
    <r>
      <rPr>
        <u/>
        <sz val="10"/>
        <color rgb="FF1155CC"/>
        <rFont val="Roboto"/>
      </rPr>
      <t>https://drive.google.com/open?id=1DSMJ93WvFsSIrxoJvCDjtWas0-Cn-_ZW</t>
    </r>
  </si>
  <si>
    <r>
      <rPr>
        <u/>
        <sz val="10"/>
        <color rgb="FF1155CC"/>
        <rFont val="Roboto"/>
      </rPr>
      <t>https://drive.google.com/open?id=12MgEJqBfkZsiMk1TTvumE7mGQmoO6h20</t>
    </r>
  </si>
  <si>
    <r>
      <rPr>
        <u/>
        <sz val="10"/>
        <color rgb="FF1155CC"/>
        <rFont val="Roboto"/>
      </rPr>
      <t>https://drive.google.com/open?id=1EEugIlYOg-f6zlbA_qI6CGXYr0wxG79G</t>
    </r>
  </si>
  <si>
    <r>
      <rPr>
        <u/>
        <sz val="10"/>
        <color rgb="FF1155CC"/>
        <rFont val="Roboto"/>
      </rPr>
      <t>https://drive.google.com/open?id=1pO0BXfAWh9zzaLdGT-CZT_RLgIkUgcyl</t>
    </r>
  </si>
  <si>
    <r>
      <rPr>
        <u/>
        <sz val="10"/>
        <color rgb="FF1155CC"/>
        <rFont val="Roboto"/>
      </rPr>
      <t>https://drive.google.com/open?id=1xQlHv0wKGuutgTTULbr2ijEtGg8ROMDj</t>
    </r>
  </si>
  <si>
    <t>trucbonnie0608@gmail.com</t>
  </si>
  <si>
    <t>The Current Situation and Effectiveness of "The Dream Home"Home Loan Package for young customers at military commercial joint stock bank (MB)</t>
  </si>
  <si>
    <r>
      <rPr>
        <u/>
        <sz val="10"/>
        <color rgb="FF1155CC"/>
        <rFont val="Roboto"/>
      </rPr>
      <t>https://drive.google.com/open?id=1146jAXQcu50AiSRa12sPjMoceAvvAhMr</t>
    </r>
  </si>
  <si>
    <r>
      <rPr>
        <u/>
        <sz val="10"/>
        <color rgb="FF1155CC"/>
        <rFont val="Roboto"/>
      </rPr>
      <t>https://drive.google.com/open?id=1miIJGN1c0lGzv9Siln_-YZH9Gv5_uQJj</t>
    </r>
  </si>
  <si>
    <r>
      <rPr>
        <u/>
        <sz val="10"/>
        <color rgb="FF1155CC"/>
        <rFont val="Roboto"/>
      </rPr>
      <t>https://drive.google.com/open?id=1Jiq7TDP6gIiWOmvIMsF-YjJOfZdHi8Ta</t>
    </r>
  </si>
  <si>
    <r>
      <rPr>
        <u/>
        <sz val="10"/>
        <color rgb="FF1155CC"/>
        <rFont val="Roboto"/>
      </rPr>
      <t>https://drive.google.com/open?id=1MJVRzstYpkFvmRGfnS-pSO8Ohbkzuik6</t>
    </r>
  </si>
  <si>
    <r>
      <rPr>
        <u/>
        <sz val="10"/>
        <color rgb="FF1155CC"/>
        <rFont val="Roboto"/>
      </rPr>
      <t>https://drive.google.com/open?id=1S8__T5FrTjQluvX8NdJ7Zxy-QQt1NaO8</t>
    </r>
  </si>
  <si>
    <r>
      <rPr>
        <u/>
        <sz val="10"/>
        <color rgb="FF1155CC"/>
        <rFont val="Roboto"/>
      </rPr>
      <t>https://drive.google.com/open?id=1Dol4CxgNj8IsB9a---8v7Qc24Mqb8LM5</t>
    </r>
  </si>
  <si>
    <r>
      <rPr>
        <u/>
        <sz val="10"/>
        <color rgb="FF1155CC"/>
        <rFont val="Roboto"/>
      </rPr>
      <t>https://drive.google.com/open?id=1k9lKfMw11Hmyl_GOZy23QzVF7BwGI25D</t>
    </r>
  </si>
  <si>
    <t>Dự báo rủi ro phá sản doanh nghiệp phi tài chính trên sàn giao dịch Chứng khoán TP. Hồ Chí Minh: Hướng tiếp cận phương pháp lai tích hợp mô hình Altman Z’’-score và Machine Learning</t>
  </si>
  <si>
    <r>
      <rPr>
        <u/>
        <sz val="10"/>
        <color rgb="FF1155CC"/>
        <rFont val="Roboto"/>
      </rPr>
      <t>https://drive.google.com/open?id=1nBsui_KWUPMC8paQbAyyi3Vfhf23X9Hr</t>
    </r>
  </si>
  <si>
    <r>
      <rPr>
        <u/>
        <sz val="10"/>
        <color rgb="FF1155CC"/>
        <rFont val="Roboto"/>
      </rPr>
      <t>https://drive.google.com/open?id=1rqFQ-63kJazg9Uyg0Jym7j80nZnUglPy</t>
    </r>
  </si>
  <si>
    <r>
      <rPr>
        <u/>
        <sz val="10"/>
        <color rgb="FF1155CC"/>
        <rFont val="Roboto"/>
      </rPr>
      <t>https://drive.google.com/open?id=1S8iPCDmgLZ2I83-GRUkd8_A6_Zq29xeA</t>
    </r>
  </si>
  <si>
    <r>
      <rPr>
        <u/>
        <sz val="10"/>
        <color rgb="FF1155CC"/>
        <rFont val="Roboto"/>
      </rPr>
      <t>https://drive.google.com/open?id=1M8LU-k9XJ64obieWt5rCwvHco3Gh-1Q-</t>
    </r>
  </si>
  <si>
    <r>
      <rPr>
        <u/>
        <sz val="10"/>
        <color rgb="FF1155CC"/>
        <rFont val="Roboto"/>
      </rPr>
      <t>https://drive.google.com/open?id=1g7yOmmvKKMk53Jgz7thWfr3I2Yo1AS02</t>
    </r>
  </si>
  <si>
    <t xml:space="preserve">Họ tên SV: </t>
  </si>
  <si>
    <t xml:space="preserve">MSSV: </t>
  </si>
  <si>
    <t xml:space="preserve">Tên đề tài: </t>
  </si>
  <si>
    <t xml:space="preserve">GV hướng dẫn: </t>
  </si>
  <si>
    <t xml:space="preserve">GV phản biện: </t>
  </si>
  <si>
    <t xml:space="preserve">Hội đồng </t>
  </si>
  <si>
    <t xml:space="preserve">Chủ tich: </t>
  </si>
  <si>
    <t xml:space="preserve">Ủy viên: </t>
  </si>
  <si>
    <t xml:space="preserve">Thư ký: </t>
  </si>
  <si>
    <t xml:space="preserve">Thời gian làm việc dự kiến: </t>
  </si>
  <si>
    <t xml:space="preserve">Phòng: </t>
  </si>
  <si>
    <t>K22404E</t>
  </si>
  <si>
    <t>K20404E</t>
  </si>
  <si>
    <t>K21404E</t>
  </si>
  <si>
    <t>Họ tên SV</t>
  </si>
  <si>
    <t>K22414E</t>
  </si>
  <si>
    <t>GVPB</t>
  </si>
  <si>
    <t>CTHĐ</t>
  </si>
  <si>
    <t>TVHĐ</t>
  </si>
  <si>
    <t>TKHĐ</t>
  </si>
  <si>
    <t>Thời gian</t>
  </si>
  <si>
    <t>Phòng</t>
  </si>
  <si>
    <t>8h00 sáng thứ năm ngày 05/3/2026</t>
  </si>
  <si>
    <t>B1.501</t>
  </si>
  <si>
    <t>01</t>
  </si>
  <si>
    <t>B1.502</t>
  </si>
  <si>
    <t>02</t>
  </si>
  <si>
    <t>B1.503</t>
  </si>
  <si>
    <t>03</t>
  </si>
  <si>
    <t>13h00 chiều thứ năm ngày 05/3/2026</t>
  </si>
  <si>
    <t>04</t>
  </si>
  <si>
    <t>05</t>
  </si>
  <si>
    <t>06</t>
  </si>
  <si>
    <t>8h00 sáng thứ sáu ngày 06/3/2026</t>
  </si>
  <si>
    <t>B1.401</t>
  </si>
  <si>
    <t>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</si>
</sst>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dd/yyyy"/>
    <numFmt numFmtId="166" formatCode="_-* #,##0\ _₫_-;\-* #,##0\ _₫_-;_-* &quot;-&quot;??\ _₫_-;_-@"/>
    <numFmt numFmtId="167" formatCode="m/d/yyyy\ h:mm:ss"/>
  </numFmts>
  <fonts count="18" x14ac:knownFonts="1">
    <font>
      <sz val="10"/>
      <color rgb="FF000000"/>
      <name val="Arial"/>
      <scheme val="minor"/>
    </font>
    <font>
      <b/>
      <sz val="13"/>
      <color rgb="FF000000"/>
      <name val="Times New Roman"/>
    </font>
    <font>
      <sz val="13"/>
      <color rgb="FF000000"/>
      <name val="Times New Roman"/>
    </font>
    <font>
      <sz val="13"/>
      <color theme="1"/>
      <name val="Times New Roman"/>
    </font>
    <font>
      <sz val="12"/>
      <color rgb="FF000000"/>
      <name val="Times New Roman"/>
    </font>
    <font>
      <sz val="10"/>
      <color rgb="FF000000"/>
      <name val="Arial"/>
    </font>
    <font>
      <sz val="11"/>
      <color rgb="FF000000"/>
      <name val="Calibri"/>
    </font>
    <font>
      <sz val="10"/>
      <color theme="1"/>
      <name val="Arial"/>
      <scheme val="minor"/>
    </font>
    <font>
      <b/>
      <i/>
      <sz val="13"/>
      <color rgb="FF000000"/>
      <name val="Times New Roman"/>
    </font>
    <font>
      <sz val="10"/>
      <name val="Arial"/>
    </font>
    <font>
      <i/>
      <sz val="13"/>
      <color rgb="FF000000"/>
      <name val="Times New Roman"/>
    </font>
    <font>
      <b/>
      <i/>
      <sz val="13"/>
      <color theme="1"/>
      <name val="Times New Roman"/>
    </font>
    <font>
      <sz val="10"/>
      <color rgb="FF000000"/>
      <name val="Arial"/>
    </font>
    <font>
      <u/>
      <sz val="10"/>
      <color rgb="FF0000FF"/>
      <name val="Roboto"/>
    </font>
    <font>
      <u/>
      <sz val="10"/>
      <color rgb="FF0000FF"/>
      <name val="Roboto"/>
    </font>
    <font>
      <sz val="10"/>
      <color rgb="FF9C0006"/>
      <name val="Arial"/>
    </font>
    <font>
      <u/>
      <sz val="10"/>
      <color rgb="FF0000FF"/>
      <name val="Roboto"/>
    </font>
    <font>
      <u/>
      <sz val="10"/>
      <color rgb="FF1155CC"/>
      <name val="Roboto"/>
    </font>
  </fonts>
  <fills count="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FFC7CE"/>
        <bgColor rgb="FFFFC7CE"/>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rgb="FF5B3F86"/>
      </left>
      <right/>
      <top/>
      <bottom/>
      <diagonal/>
    </border>
    <border>
      <left/>
      <right style="thin">
        <color rgb="FF5B3F86"/>
      </right>
      <top/>
      <bottom/>
      <diagonal/>
    </border>
    <border>
      <left style="thin">
        <color rgb="FF5B3F86"/>
      </left>
      <right/>
      <top/>
      <bottom style="thin">
        <color rgb="FF5B3F86"/>
      </bottom>
      <diagonal/>
    </border>
    <border>
      <left/>
      <right/>
      <top/>
      <bottom style="thin">
        <color rgb="FF5B3F86"/>
      </bottom>
      <diagonal/>
    </border>
    <border>
      <left style="thin">
        <color rgb="FF000000"/>
      </left>
      <right style="thin">
        <color rgb="FF000000"/>
      </right>
      <top/>
      <bottom/>
      <diagonal/>
    </border>
  </borders>
  <cellStyleXfs count="1">
    <xf numFmtId="0" fontId="0" fillId="0" borderId="0"/>
  </cellStyleXfs>
  <cellXfs count="77">
    <xf numFmtId="0" fontId="0" fillId="0" borderId="0" xfId="0"/>
    <xf numFmtId="0" fontId="2" fillId="0" borderId="0" xfId="0" applyFont="1"/>
    <xf numFmtId="0" fontId="3" fillId="0" borderId="1" xfId="0" applyFont="1" applyBorder="1" applyAlignment="1">
      <alignment vertical="center" wrapText="1"/>
    </xf>
    <xf numFmtId="0" fontId="6" fillId="0" borderId="1" xfId="0" applyFont="1" applyBorder="1" applyAlignment="1">
      <alignment horizontal="left"/>
    </xf>
    <xf numFmtId="165" fontId="6" fillId="0" borderId="1" xfId="0" applyNumberFormat="1" applyFont="1" applyBorder="1" applyAlignment="1">
      <alignment horizontal="left"/>
    </xf>
    <xf numFmtId="14" fontId="6" fillId="0" borderId="1" xfId="0" applyNumberFormat="1" applyFont="1" applyBorder="1" applyAlignment="1">
      <alignment horizontal="left"/>
    </xf>
    <xf numFmtId="0" fontId="6" fillId="0" borderId="1" xfId="0" applyFont="1" applyBorder="1"/>
    <xf numFmtId="0" fontId="7" fillId="0" borderId="0" xfId="0" applyFont="1"/>
    <xf numFmtId="0" fontId="2" fillId="0" borderId="1" xfId="0" applyFont="1" applyBorder="1"/>
    <xf numFmtId="0" fontId="1" fillId="0" borderId="1" xfId="0" applyFont="1" applyBorder="1" applyAlignment="1">
      <alignment horizontal="center"/>
    </xf>
    <xf numFmtId="0" fontId="1" fillId="0" borderId="1" xfId="0" applyFont="1" applyBorder="1"/>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166" fontId="10" fillId="0" borderId="1" xfId="0" applyNumberFormat="1" applyFont="1" applyBorder="1"/>
    <xf numFmtId="166" fontId="10" fillId="0" borderId="5" xfId="0" applyNumberFormat="1" applyFont="1" applyBorder="1"/>
    <xf numFmtId="0" fontId="8" fillId="0" borderId="1" xfId="0" applyFont="1" applyBorder="1" applyAlignment="1">
      <alignment horizontal="right"/>
    </xf>
    <xf numFmtId="0" fontId="11" fillId="0" borderId="6" xfId="0" applyFont="1" applyBorder="1" applyAlignment="1">
      <alignment horizontal="center"/>
    </xf>
    <xf numFmtId="0" fontId="11" fillId="0" borderId="7" xfId="0" applyFont="1" applyBorder="1" applyAlignment="1">
      <alignment horizontal="center"/>
    </xf>
    <xf numFmtId="164" fontId="11" fillId="0" borderId="8" xfId="0" applyNumberFormat="1" applyFont="1" applyBorder="1" applyAlignment="1">
      <alignment horizontal="center"/>
    </xf>
    <xf numFmtId="0" fontId="11" fillId="0" borderId="8" xfId="0" applyFont="1" applyBorder="1" applyAlignment="1">
      <alignment horizontal="center"/>
    </xf>
    <xf numFmtId="0" fontId="10" fillId="0" borderId="1" xfId="0" applyFont="1" applyBorder="1"/>
    <xf numFmtId="0" fontId="10" fillId="0" borderId="5" xfId="0" applyFont="1" applyBorder="1"/>
    <xf numFmtId="0" fontId="3" fillId="0" borderId="6" xfId="0" applyFont="1" applyBorder="1"/>
    <xf numFmtId="0" fontId="3" fillId="0" borderId="8" xfId="0" applyFont="1" applyBorder="1"/>
    <xf numFmtId="0" fontId="3" fillId="0" borderId="9" xfId="0" applyFont="1" applyBorder="1"/>
    <xf numFmtId="0" fontId="3" fillId="0" borderId="10" xfId="0" applyFont="1" applyBorder="1"/>
    <xf numFmtId="0" fontId="3" fillId="0" borderId="7" xfId="0" applyFont="1" applyBorder="1"/>
    <xf numFmtId="166" fontId="2" fillId="0" borderId="1" xfId="0" applyNumberFormat="1" applyFont="1" applyBorder="1"/>
    <xf numFmtId="166" fontId="8" fillId="0" borderId="1" xfId="0" applyNumberFormat="1" applyFont="1" applyBorder="1" applyAlignment="1">
      <alignment horizontal="left"/>
    </xf>
    <xf numFmtId="0" fontId="3" fillId="0" borderId="1" xfId="0" applyFont="1" applyBorder="1"/>
    <xf numFmtId="0" fontId="8" fillId="0" borderId="0" xfId="0" applyFont="1"/>
    <xf numFmtId="166" fontId="8" fillId="0" borderId="0" xfId="0" applyNumberFormat="1" applyFont="1"/>
    <xf numFmtId="0" fontId="3" fillId="0" borderId="0" xfId="0" applyFont="1" applyAlignment="1">
      <alignment vertical="center" wrapText="1"/>
    </xf>
    <xf numFmtId="0" fontId="12" fillId="2" borderId="12" xfId="0" applyFont="1" applyFill="1" applyBorder="1" applyAlignment="1">
      <alignment horizontal="left"/>
    </xf>
    <xf numFmtId="0" fontId="12" fillId="2" borderId="13" xfId="0" applyFont="1" applyFill="1" applyBorder="1" applyAlignment="1">
      <alignment horizontal="left"/>
    </xf>
    <xf numFmtId="0" fontId="12" fillId="2" borderId="14" xfId="0" applyFont="1" applyFill="1" applyBorder="1" applyAlignment="1">
      <alignment horizontal="left"/>
    </xf>
    <xf numFmtId="167" fontId="12" fillId="3" borderId="15" xfId="0" applyNumberFormat="1" applyFont="1" applyFill="1" applyBorder="1" applyAlignment="1">
      <alignment horizontal="right"/>
    </xf>
    <xf numFmtId="0" fontId="12" fillId="3" borderId="0" xfId="0" applyFont="1" applyFill="1" applyAlignment="1">
      <alignment horizontal="left"/>
    </xf>
    <xf numFmtId="0" fontId="13" fillId="0" borderId="0" xfId="0" applyFont="1" applyAlignment="1">
      <alignment horizontal="left"/>
    </xf>
    <xf numFmtId="0" fontId="12" fillId="3" borderId="0" xfId="0" applyFont="1" applyFill="1"/>
    <xf numFmtId="0" fontId="12" fillId="3" borderId="16" xfId="0" applyFont="1" applyFill="1" applyBorder="1"/>
    <xf numFmtId="167" fontId="12" fillId="4" borderId="15" xfId="0" applyNumberFormat="1" applyFont="1" applyFill="1" applyBorder="1" applyAlignment="1">
      <alignment horizontal="right"/>
    </xf>
    <xf numFmtId="0" fontId="12" fillId="4" borderId="0" xfId="0" applyFont="1" applyFill="1" applyAlignment="1">
      <alignment horizontal="left"/>
    </xf>
    <xf numFmtId="0" fontId="12" fillId="4" borderId="0" xfId="0" applyFont="1" applyFill="1"/>
    <xf numFmtId="0" fontId="12" fillId="4" borderId="16" xfId="0" applyFont="1" applyFill="1" applyBorder="1"/>
    <xf numFmtId="0" fontId="12" fillId="4" borderId="0" xfId="0" applyFont="1" applyFill="1" applyAlignment="1">
      <alignment horizontal="right"/>
    </xf>
    <xf numFmtId="0" fontId="14" fillId="0" borderId="16" xfId="0" applyFont="1" applyBorder="1" applyAlignment="1">
      <alignment horizontal="left"/>
    </xf>
    <xf numFmtId="0" fontId="15" fillId="5" borderId="0" xfId="0" applyFont="1" applyFill="1" applyAlignment="1">
      <alignment horizontal="left"/>
    </xf>
    <xf numFmtId="0" fontId="12" fillId="3" borderId="0" xfId="0" applyFont="1" applyFill="1" applyAlignment="1">
      <alignment horizontal="right"/>
    </xf>
    <xf numFmtId="167" fontId="12" fillId="4" borderId="17" xfId="0" applyNumberFormat="1" applyFont="1" applyFill="1" applyBorder="1" applyAlignment="1">
      <alignment horizontal="right"/>
    </xf>
    <xf numFmtId="0" fontId="12" fillId="4" borderId="18" xfId="0" applyFont="1" applyFill="1" applyBorder="1" applyAlignment="1">
      <alignment horizontal="left"/>
    </xf>
    <xf numFmtId="0" fontId="12" fillId="4" borderId="18" xfId="0" applyFont="1" applyFill="1" applyBorder="1"/>
    <xf numFmtId="0" fontId="16" fillId="0" borderId="18" xfId="0" applyFont="1" applyBorder="1" applyAlignment="1">
      <alignment horizontal="left"/>
    </xf>
    <xf numFmtId="0" fontId="5" fillId="0" borderId="0" xfId="0" applyFont="1" applyAlignment="1">
      <alignment wrapText="1"/>
    </xf>
    <xf numFmtId="0" fontId="1" fillId="0" borderId="1" xfId="0" applyFont="1" applyBorder="1" applyAlignment="1">
      <alignment horizontal="center" wrapText="1"/>
    </xf>
    <xf numFmtId="0" fontId="2" fillId="0" borderId="1" xfId="0" applyFont="1" applyBorder="1" applyAlignment="1">
      <alignment horizontal="left"/>
    </xf>
    <xf numFmtId="0" fontId="4" fillId="0" borderId="1" xfId="0" applyFont="1" applyBorder="1" applyAlignment="1">
      <alignment horizontal="left"/>
    </xf>
    <xf numFmtId="0" fontId="2" fillId="0" borderId="1" xfId="0" applyFont="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horizontal="left"/>
    </xf>
    <xf numFmtId="0" fontId="2" fillId="0" borderId="0" xfId="0" applyFont="1" applyAlignment="1">
      <alignment horizontal="left"/>
    </xf>
    <xf numFmtId="0" fontId="1" fillId="0" borderId="5" xfId="0" applyFont="1" applyBorder="1" applyAlignment="1">
      <alignment horizontal="center" wrapText="1"/>
    </xf>
    <xf numFmtId="0" fontId="9" fillId="0" borderId="11" xfId="0" applyFont="1" applyBorder="1"/>
    <xf numFmtId="0" fontId="8" fillId="0" borderId="4" xfId="0" applyFont="1" applyBorder="1" applyAlignment="1">
      <alignment horizontal="center"/>
    </xf>
    <xf numFmtId="0" fontId="9" fillId="0" borderId="3" xfId="0" applyFont="1" applyBorder="1"/>
    <xf numFmtId="0" fontId="9" fillId="0" borderId="2" xfId="0" applyFont="1" applyBorder="1"/>
    <xf numFmtId="0" fontId="12" fillId="4" borderId="0" xfId="0" applyFont="1" applyFill="1" applyAlignment="1">
      <alignment horizontal="left"/>
    </xf>
    <xf numFmtId="0" fontId="0" fillId="0" borderId="0" xfId="0"/>
    <xf numFmtId="0" fontId="13" fillId="0" borderId="0" xfId="0" applyFont="1" applyAlignment="1">
      <alignment horizontal="left"/>
    </xf>
    <xf numFmtId="0" fontId="12" fillId="3" borderId="0" xfId="0" applyFont="1" applyFill="1" applyAlignment="1">
      <alignment horizontal="left"/>
    </xf>
    <xf numFmtId="0" fontId="12" fillId="4" borderId="18" xfId="0" applyFont="1" applyFill="1" applyBorder="1" applyAlignment="1">
      <alignment horizontal="left"/>
    </xf>
    <xf numFmtId="0" fontId="9" fillId="0" borderId="18" xfId="0" applyFont="1" applyBorder="1"/>
    <xf numFmtId="0" fontId="16" fillId="0" borderId="18" xfId="0" applyFont="1" applyBorder="1" applyAlignment="1">
      <alignment horizontal="left"/>
    </xf>
    <xf numFmtId="0" fontId="1" fillId="0" borderId="19"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1" Type="http://schemas.openxmlformats.org/officeDocument/2006/relationships/hyperlink" Target="https://drive.google.com/open?id=1dwtSoFMFtYCuFLdFEC0j-Z-2XlyuOnkZ" TargetMode="External"/><Relationship Id="rId170" Type="http://schemas.openxmlformats.org/officeDocument/2006/relationships/hyperlink" Target="https://drive.google.com/open?id=1CjJ7anYeNT3mVc21i3jpMEiPjSg48fbN" TargetMode="External"/><Relationship Id="rId268" Type="http://schemas.openxmlformats.org/officeDocument/2006/relationships/hyperlink" Target="https://drive.google.com/open?id=1JZvCg6OUjVE21_Xu6a6S3o5E_uHTdU-z" TargetMode="External"/><Relationship Id="rId475" Type="http://schemas.openxmlformats.org/officeDocument/2006/relationships/hyperlink" Target="https://drive.google.com/open?id=1XMnQDn5kp4i7xZPaNh-FSBIVvG80Vws9" TargetMode="External"/><Relationship Id="rId682" Type="http://schemas.openxmlformats.org/officeDocument/2006/relationships/hyperlink" Target="https://drive.google.com/open?id=1dubNeYfNPfWmXqEmM31y0gq_n6rNaw2b" TargetMode="External"/><Relationship Id="rId128" Type="http://schemas.openxmlformats.org/officeDocument/2006/relationships/hyperlink" Target="https://drive.google.com/open?id=175ah4OS1dH1vEEh3973W2Sod54tg2N_M" TargetMode="External"/><Relationship Id="rId335" Type="http://schemas.openxmlformats.org/officeDocument/2006/relationships/hyperlink" Target="https://drive.google.com/open?id=1Fdip9shDOGotAU6dYud5DuVjXhAE7J2V" TargetMode="External"/><Relationship Id="rId542" Type="http://schemas.openxmlformats.org/officeDocument/2006/relationships/hyperlink" Target="https://drive.google.com/open?id=1xltPUoWnClLWrv2nWIgqT_Aw1VBJxBLB" TargetMode="External"/><Relationship Id="rId987" Type="http://schemas.openxmlformats.org/officeDocument/2006/relationships/hyperlink" Target="https://drive.google.com/open?id=147hMUBO1QwgInt8wGO1akv-7fT6QoB1Y" TargetMode="External"/><Relationship Id="rId1172" Type="http://schemas.openxmlformats.org/officeDocument/2006/relationships/hyperlink" Target="https://drive.google.com/open?id=1VSEhyZeQBnWPxARPdvK6qcMVWTvv0QBA" TargetMode="External"/><Relationship Id="rId402" Type="http://schemas.openxmlformats.org/officeDocument/2006/relationships/hyperlink" Target="https://drive.google.com/open?id=1WQEE_M4lO3fVKOltWKhBSQkyUDSI5vtR" TargetMode="External"/><Relationship Id="rId847" Type="http://schemas.openxmlformats.org/officeDocument/2006/relationships/hyperlink" Target="https://drive.google.com/open?id=1U5K_-h0dv_c1uIKCkahKmWmzVeaTolni" TargetMode="External"/><Relationship Id="rId1032" Type="http://schemas.openxmlformats.org/officeDocument/2006/relationships/hyperlink" Target="https://drive.google.com/open?id=1ZcA59yLRLmajw-M78tXX9DdYgMYfGvSP" TargetMode="External"/><Relationship Id="rId707" Type="http://schemas.openxmlformats.org/officeDocument/2006/relationships/hyperlink" Target="https://drive.google.com/open?id=1eM4ZCxfCpPwE1MAtKlcGcnMAnYdCxBQG" TargetMode="External"/><Relationship Id="rId914" Type="http://schemas.openxmlformats.org/officeDocument/2006/relationships/hyperlink" Target="https://drive.google.com/open?id=1amLsz-wU0LMF5afG77Mk-lX-n_VEL1up" TargetMode="External"/><Relationship Id="rId43" Type="http://schemas.openxmlformats.org/officeDocument/2006/relationships/hyperlink" Target="https://drive.google.com/open?id=1BKye8uTXhr4UsHEWN-wvYnf0pM2-TFSf" TargetMode="External"/><Relationship Id="rId192" Type="http://schemas.openxmlformats.org/officeDocument/2006/relationships/hyperlink" Target="https://drive.google.com/open?id=1-bTl9M8dRlvV1k4yv6lh_LTa9zNnv27i" TargetMode="External"/><Relationship Id="rId497" Type="http://schemas.openxmlformats.org/officeDocument/2006/relationships/hyperlink" Target="https://drive.google.com/open?id=1WN9FMXcEch3XtjPFCAulZI0JXYDLivcs" TargetMode="External"/><Relationship Id="rId357" Type="http://schemas.openxmlformats.org/officeDocument/2006/relationships/hyperlink" Target="https://drive.google.com/open?id=1C9PPQymOOu9FxcPWy1KNGIASBoUJ1k_j" TargetMode="External"/><Relationship Id="rId1194" Type="http://schemas.openxmlformats.org/officeDocument/2006/relationships/hyperlink" Target="https://drive.google.com/open?id=1RoUxwKWBhS44BzODwBc3Xko8QxCfpViD" TargetMode="External"/><Relationship Id="rId217" Type="http://schemas.openxmlformats.org/officeDocument/2006/relationships/hyperlink" Target="https://drive.google.com/open?id=1mwX5Plfl0X6wz-Wcg82cz1cMNja9AuzS" TargetMode="External"/><Relationship Id="rId564" Type="http://schemas.openxmlformats.org/officeDocument/2006/relationships/hyperlink" Target="https://drive.google.com/open?id=1H9pMCTQ3YQ0IoaI6G8LvRqpqB4VajsU0" TargetMode="External"/><Relationship Id="rId771" Type="http://schemas.openxmlformats.org/officeDocument/2006/relationships/hyperlink" Target="https://drive.google.com/open?id=10n-qMVaBqZABx-ADbdBDzP4CZCv7AGGP" TargetMode="External"/><Relationship Id="rId869" Type="http://schemas.openxmlformats.org/officeDocument/2006/relationships/hyperlink" Target="https://drive.google.com/open?id=1Tr-aUWXmBWmU-4ofiuZrYxs1ifQ9hcIx" TargetMode="External"/><Relationship Id="rId424" Type="http://schemas.openxmlformats.org/officeDocument/2006/relationships/hyperlink" Target="https://drive.google.com/open?id=1QWyfMe9-2Yw_d5k0e_trAyCbBhF0St6W" TargetMode="External"/><Relationship Id="rId631" Type="http://schemas.openxmlformats.org/officeDocument/2006/relationships/hyperlink" Target="https://drive.google.com/open?id=12tui8HUKjdP38BQeDSoSsFkEE4NEeqGN" TargetMode="External"/><Relationship Id="rId729" Type="http://schemas.openxmlformats.org/officeDocument/2006/relationships/hyperlink" Target="https://drive.google.com/open?id=11gG4rxqqXc6_IQi_RWhcHkueciXv3vrP" TargetMode="External"/><Relationship Id="rId1054" Type="http://schemas.openxmlformats.org/officeDocument/2006/relationships/hyperlink" Target="https://drive.google.com/open?id=1hyTaSHWks8WJ21m7ROfMBdwZO0GO177B" TargetMode="External"/><Relationship Id="rId936" Type="http://schemas.openxmlformats.org/officeDocument/2006/relationships/hyperlink" Target="https://drive.google.com/open?id=1dHA-zRIVx5LjjjrBWuEFli1GJSrQkXpr" TargetMode="External"/><Relationship Id="rId1121" Type="http://schemas.openxmlformats.org/officeDocument/2006/relationships/hyperlink" Target="https://drive.google.com/open?id=1Kw_0iTyU-tqfnnz3KwmPZLlGeWXQrEhl" TargetMode="External"/><Relationship Id="rId1219" Type="http://schemas.openxmlformats.org/officeDocument/2006/relationships/hyperlink" Target="https://drive.google.com/open?id=1wkUqcJxU7fh_H_7de6-ZyHsfpo7Iqn_A" TargetMode="External"/><Relationship Id="rId65" Type="http://schemas.openxmlformats.org/officeDocument/2006/relationships/hyperlink" Target="https://drive.google.com/open?id=1Gp22yM9A4kYW7lvvsbq0uKGSHxtrx8mO" TargetMode="External"/><Relationship Id="rId281" Type="http://schemas.openxmlformats.org/officeDocument/2006/relationships/hyperlink" Target="https://drive.google.com/open?id=1EVQ6GiYHb-REG5kccE3b5LibSgsMS5sC" TargetMode="External"/><Relationship Id="rId141" Type="http://schemas.openxmlformats.org/officeDocument/2006/relationships/hyperlink" Target="https://drive.google.com/open?id=1t99aM9J-xZZlOrLhBpQueiuG88d7I2AF" TargetMode="External"/><Relationship Id="rId379" Type="http://schemas.openxmlformats.org/officeDocument/2006/relationships/hyperlink" Target="https://drive.google.com/open?id=1YMA-p1cH3cRS7DoNnLfM-gS3zWxQa93_" TargetMode="External"/><Relationship Id="rId586" Type="http://schemas.openxmlformats.org/officeDocument/2006/relationships/hyperlink" Target="https://drive.google.com/open?id=1JvUxqipLGRDzkgSeYKYh9142XUxwR3mz" TargetMode="External"/><Relationship Id="rId793" Type="http://schemas.openxmlformats.org/officeDocument/2006/relationships/hyperlink" Target="https://drive.google.com/open?id=1Zt3d2tQWoEksEjCQPYlZTMlOO3qvLmqo" TargetMode="External"/><Relationship Id="rId7" Type="http://schemas.openxmlformats.org/officeDocument/2006/relationships/hyperlink" Target="https://drive.google.com/open?id=1Sm0bJ34ecuYGoZsf4UMF1BS4cNCbCdWA" TargetMode="External"/><Relationship Id="rId239" Type="http://schemas.openxmlformats.org/officeDocument/2006/relationships/hyperlink" Target="https://drive.google.com/open?id=1j5j5rBxASdnVMP1_lg9RTsQoJ7pI3laB" TargetMode="External"/><Relationship Id="rId446" Type="http://schemas.openxmlformats.org/officeDocument/2006/relationships/hyperlink" Target="https://drive.google.com/open?id=16-xOibueHCR2LpvsiZthEqQ36ugyVZuM" TargetMode="External"/><Relationship Id="rId653" Type="http://schemas.openxmlformats.org/officeDocument/2006/relationships/hyperlink" Target="https://drive.google.com/open?id=1Pf2ZQ6KZKQrQt08dsb2iOJkgYf3_W2J3" TargetMode="External"/><Relationship Id="rId1076" Type="http://schemas.openxmlformats.org/officeDocument/2006/relationships/hyperlink" Target="https://drive.google.com/open?id=1cVuMCc37BKNJjgpJX8x8E4R6xS7ny8G9" TargetMode="External"/><Relationship Id="rId306" Type="http://schemas.openxmlformats.org/officeDocument/2006/relationships/hyperlink" Target="https://drive.google.com/open?id=1LpOXVN9Ye9IAHjOeK63Sr5JRlxOeyG4Y" TargetMode="External"/><Relationship Id="rId860" Type="http://schemas.openxmlformats.org/officeDocument/2006/relationships/hyperlink" Target="https://drive.google.com/open?id=19cSXqoAzuh-GmVZ9lbsd1KmaUprdwCrM" TargetMode="External"/><Relationship Id="rId958" Type="http://schemas.openxmlformats.org/officeDocument/2006/relationships/hyperlink" Target="https://drive.google.com/open?id=1ILzC1FUpzMZu68jgDb5upU6J6YpV1yJq" TargetMode="External"/><Relationship Id="rId1143" Type="http://schemas.openxmlformats.org/officeDocument/2006/relationships/hyperlink" Target="https://drive.google.com/open?id=1kmu_HKEj2SYTBF-Xm6WjfwKFKFd_tf0m" TargetMode="External"/><Relationship Id="rId87" Type="http://schemas.openxmlformats.org/officeDocument/2006/relationships/hyperlink" Target="https://drive.google.com/open?id=1XKRWrkUslPAzp84JS_H99K7ZuPaagZYZ" TargetMode="External"/><Relationship Id="rId513" Type="http://schemas.openxmlformats.org/officeDocument/2006/relationships/hyperlink" Target="https://drive.google.com/open?id=12WZbrcWvJeN7Dda77548IP-RmCj7OcXq" TargetMode="External"/><Relationship Id="rId720" Type="http://schemas.openxmlformats.org/officeDocument/2006/relationships/hyperlink" Target="https://drive.google.com/open?id=1m5FU35p93TuLe9zWALJhV_TU14_0oMhx" TargetMode="External"/><Relationship Id="rId818" Type="http://schemas.openxmlformats.org/officeDocument/2006/relationships/hyperlink" Target="https://drive.google.com/open?id=12UTeuqZBY_b0mbIapJTWrYL6dTNJlk8G" TargetMode="External"/><Relationship Id="rId1003" Type="http://schemas.openxmlformats.org/officeDocument/2006/relationships/hyperlink" Target="https://drive.google.com/open?id=1w8fv5e9QgxKb9zWs6s1MUGv67xKpz3Hq" TargetMode="External"/><Relationship Id="rId1210" Type="http://schemas.openxmlformats.org/officeDocument/2006/relationships/hyperlink" Target="https://drive.google.com/open?id=1Q_PR-p7xCscJ9GJ63-JwnYT7He7rcxDX" TargetMode="External"/><Relationship Id="rId14" Type="http://schemas.openxmlformats.org/officeDocument/2006/relationships/hyperlink" Target="https://drive.google.com/open?id=1IcVHLLKUxeuCDygohZCut6KkkQl__HN8" TargetMode="External"/><Relationship Id="rId163" Type="http://schemas.openxmlformats.org/officeDocument/2006/relationships/hyperlink" Target="https://drive.google.com/open?id=1l37yL0FdopI2WNkm53kmNvNvDB1YGrs1" TargetMode="External"/><Relationship Id="rId370" Type="http://schemas.openxmlformats.org/officeDocument/2006/relationships/hyperlink" Target="https://drive.google.com/open?id=1RvKcqo8SySvvbr_jmQ3b5GjRG1FCT5Ac" TargetMode="External"/><Relationship Id="rId230" Type="http://schemas.openxmlformats.org/officeDocument/2006/relationships/hyperlink" Target="https://drive.google.com/open?id=1KigMMAlwde4wGmBoNnh6pADQ0EL_IIhd" TargetMode="External"/><Relationship Id="rId468" Type="http://schemas.openxmlformats.org/officeDocument/2006/relationships/hyperlink" Target="https://drive.google.com/open?id=1pcDE6Ohuz8ad8CSwW9CBVypj8semxzKK" TargetMode="External"/><Relationship Id="rId675" Type="http://schemas.openxmlformats.org/officeDocument/2006/relationships/hyperlink" Target="https://drive.google.com/open?id=1giTfKwo2-75wiVlC4CsgP_841YRSZMRR" TargetMode="External"/><Relationship Id="rId882" Type="http://schemas.openxmlformats.org/officeDocument/2006/relationships/hyperlink" Target="https://drive.google.com/open?id=1-99E1ujeXHdm-Sx8zrjkOHC08PyLGE7y" TargetMode="External"/><Relationship Id="rId1098" Type="http://schemas.openxmlformats.org/officeDocument/2006/relationships/hyperlink" Target="https://drive.google.com/open?id=1ZlnihGONGo8rKaJ7pL7VzlHJGWYJ0Kcy" TargetMode="External"/><Relationship Id="rId328" Type="http://schemas.openxmlformats.org/officeDocument/2006/relationships/hyperlink" Target="https://drive.google.com/open?id=174qWnzIUwu3xhiZfD8biTJ16pOHlnNdQ" TargetMode="External"/><Relationship Id="rId535" Type="http://schemas.openxmlformats.org/officeDocument/2006/relationships/hyperlink" Target="https://drive.google.com/open?id=1lGSvce6eokP8gde93QUuRwi_6C08vTCI" TargetMode="External"/><Relationship Id="rId742" Type="http://schemas.openxmlformats.org/officeDocument/2006/relationships/hyperlink" Target="https://drive.google.com/open?id=1TOd57GzFlrYn8YVdtUrywKvmR7Q5dWtg" TargetMode="External"/><Relationship Id="rId1165" Type="http://schemas.openxmlformats.org/officeDocument/2006/relationships/hyperlink" Target="https://drive.google.com/open?id=1OD_vysfhOqUTpjA7yS-JhDZGy2DPbtRx" TargetMode="External"/><Relationship Id="rId602" Type="http://schemas.openxmlformats.org/officeDocument/2006/relationships/hyperlink" Target="https://drive.google.com/open?id=1C11FbRgWuRhvRLn0A-GJP71ivs78Nuln" TargetMode="External"/><Relationship Id="rId1025" Type="http://schemas.openxmlformats.org/officeDocument/2006/relationships/hyperlink" Target="https://drive.google.com/open?id=10qZ2lirt1Avr5FZ4Usmk8gv3DuPa_r0m" TargetMode="External"/><Relationship Id="rId1232" Type="http://schemas.openxmlformats.org/officeDocument/2006/relationships/hyperlink" Target="https://drive.google.com/open?id=1rHm4vkya5UHLNDrUtl0F2ssMhgryueuk" TargetMode="External"/><Relationship Id="rId907" Type="http://schemas.openxmlformats.org/officeDocument/2006/relationships/hyperlink" Target="https://drive.google.com/open?id=1Uqd_oQ4I7GQQ5zI5aB2sP5xGjDNsqRGw" TargetMode="External"/><Relationship Id="rId36" Type="http://schemas.openxmlformats.org/officeDocument/2006/relationships/hyperlink" Target="https://drive.google.com/open?id=1y-JsJvuead8YKe8H7TrJyu7Icte0-op2" TargetMode="External"/><Relationship Id="rId185" Type="http://schemas.openxmlformats.org/officeDocument/2006/relationships/hyperlink" Target="https://drive.google.com/open?id=1mH5hPf3lfKfPvnga5jCmoS_4dT6k5ywr" TargetMode="External"/><Relationship Id="rId392" Type="http://schemas.openxmlformats.org/officeDocument/2006/relationships/hyperlink" Target="https://drive.google.com/open?id=11b_GyBPkt4aVlZCigPrVOxSvf481_Qzi" TargetMode="External"/><Relationship Id="rId697" Type="http://schemas.openxmlformats.org/officeDocument/2006/relationships/hyperlink" Target="https://drive.google.com/open?id=1UHxrkB5Ato37VqPjBk_oZUlEKyEQUIh8" TargetMode="External"/><Relationship Id="rId252" Type="http://schemas.openxmlformats.org/officeDocument/2006/relationships/hyperlink" Target="https://drive.google.com/open?id=1RzQZxaa3bwA6xgfBKocS277ZGwgkneUL" TargetMode="External"/><Relationship Id="rId1187" Type="http://schemas.openxmlformats.org/officeDocument/2006/relationships/hyperlink" Target="https://drive.google.com/open?id=1Y1omWwEte0_-Bo5eVfaV1blqX1b6A2jt" TargetMode="External"/><Relationship Id="rId112" Type="http://schemas.openxmlformats.org/officeDocument/2006/relationships/hyperlink" Target="https://drive.google.com/open?id=1ZjEzNOc72Vi9y1xODpDLdB28Ms03oThT" TargetMode="External"/><Relationship Id="rId557" Type="http://schemas.openxmlformats.org/officeDocument/2006/relationships/hyperlink" Target="https://drive.google.com/open?id=1oE3_zoS4AASoCgR4CmnkuyUvMot1MB2g" TargetMode="External"/><Relationship Id="rId764" Type="http://schemas.openxmlformats.org/officeDocument/2006/relationships/hyperlink" Target="https://drive.google.com/open?id=1FzpoahBkF4Deej6KtnDgIjwwIXWZSbg7" TargetMode="External"/><Relationship Id="rId971" Type="http://schemas.openxmlformats.org/officeDocument/2006/relationships/hyperlink" Target="https://drive.google.com/open?id=1mph1EwYGe_wE8wCFv4hGoZMskerYgYG2" TargetMode="External"/><Relationship Id="rId417" Type="http://schemas.openxmlformats.org/officeDocument/2006/relationships/hyperlink" Target="https://drive.google.com/open?id=1hRqSbp4lbhnsBOStTvimXuQVxZ3P9kPE" TargetMode="External"/><Relationship Id="rId624" Type="http://schemas.openxmlformats.org/officeDocument/2006/relationships/hyperlink" Target="https://drive.google.com/open?id=1rgW6qbdPhUwlnND7SzI9iUioHz0sQLSm" TargetMode="External"/><Relationship Id="rId831" Type="http://schemas.openxmlformats.org/officeDocument/2006/relationships/hyperlink" Target="https://drive.google.com/open?id=1ZPsapHm8I7ZdwphjsZSnW46-tPKfCIYB" TargetMode="External"/><Relationship Id="rId1047" Type="http://schemas.openxmlformats.org/officeDocument/2006/relationships/hyperlink" Target="https://drive.google.com/open?id=1YNhr7QXliiB_BV_BQQLlF9W23ZIxNeng" TargetMode="External"/><Relationship Id="rId1254" Type="http://schemas.openxmlformats.org/officeDocument/2006/relationships/hyperlink" Target="https://drive.google.com/open?id=1S8iPCDmgLZ2I83-GRUkd8_A6_Zq29xeA" TargetMode="External"/><Relationship Id="rId929" Type="http://schemas.openxmlformats.org/officeDocument/2006/relationships/hyperlink" Target="https://drive.google.com/open?id=1itvLpUc-MKdbIOd_nlMeikZhE_RwtpqC" TargetMode="External"/><Relationship Id="rId1114" Type="http://schemas.openxmlformats.org/officeDocument/2006/relationships/hyperlink" Target="https://drive.google.com/open?id=1Yz2t3KJrHPMks26Pz0W2hSFngUQVar6O" TargetMode="External"/><Relationship Id="rId58" Type="http://schemas.openxmlformats.org/officeDocument/2006/relationships/hyperlink" Target="https://drive.google.com/open?id=1SYEtyGYYytdzElspvxaYpzCY-ZSpYxVH" TargetMode="External"/><Relationship Id="rId274" Type="http://schemas.openxmlformats.org/officeDocument/2006/relationships/hyperlink" Target="https://drive.google.com/open?id=1Bu_Eo-wabDiAA6RCAAIzYECjdVZWSBRF" TargetMode="External"/><Relationship Id="rId481" Type="http://schemas.openxmlformats.org/officeDocument/2006/relationships/hyperlink" Target="https://drive.google.com/open?id=1W8MQWV4sanwhYD4NafoB-J7swZrvDuWW" TargetMode="External"/><Relationship Id="rId134" Type="http://schemas.openxmlformats.org/officeDocument/2006/relationships/hyperlink" Target="https://drive.google.com/open?id=1jmU7oJnnElXloGnlw-7dDc69tyF-ae0I" TargetMode="External"/><Relationship Id="rId579" Type="http://schemas.openxmlformats.org/officeDocument/2006/relationships/hyperlink" Target="https://drive.google.com/open?id=1GrHgtiuGMFVeBOLpCK6CmQIfigbDe2oZ" TargetMode="External"/><Relationship Id="rId786" Type="http://schemas.openxmlformats.org/officeDocument/2006/relationships/hyperlink" Target="https://drive.google.com/open?id=1xh6oIYeGk3U6ezY7Hri-oHKSpQd-5twl" TargetMode="External"/><Relationship Id="rId993" Type="http://schemas.openxmlformats.org/officeDocument/2006/relationships/hyperlink" Target="https://drive.google.com/open?id=1vMN-Dy3p3gtHW09Yyt68CdfmiPVtbMvB" TargetMode="External"/><Relationship Id="rId341" Type="http://schemas.openxmlformats.org/officeDocument/2006/relationships/hyperlink" Target="https://drive.google.com/open?id=1oyu1JSRH08enJQtF7rSrZdieCyAIKxow" TargetMode="External"/><Relationship Id="rId439" Type="http://schemas.openxmlformats.org/officeDocument/2006/relationships/hyperlink" Target="https://drive.google.com/open?id=1KdDjoilKw-DA-egkuNSE2L59MZDKAjBA" TargetMode="External"/><Relationship Id="rId646" Type="http://schemas.openxmlformats.org/officeDocument/2006/relationships/hyperlink" Target="https://drive.google.com/open?id=1fGWpO8klza-k8mrSA1mvjYhQO_F6W6pG" TargetMode="External"/><Relationship Id="rId1069" Type="http://schemas.openxmlformats.org/officeDocument/2006/relationships/hyperlink" Target="https://drive.google.com/open?id=120ePY5sO7VEtXFrD841XMtefYeHAYPJE" TargetMode="External"/><Relationship Id="rId201" Type="http://schemas.openxmlformats.org/officeDocument/2006/relationships/hyperlink" Target="https://drive.google.com/open?id=1k44-Gx5UK4TiIxeWJco35Fsm85dKVfl-" TargetMode="External"/><Relationship Id="rId506" Type="http://schemas.openxmlformats.org/officeDocument/2006/relationships/hyperlink" Target="https://drive.google.com/open?id=1hTiZVmtz1BIzOjXP90AS0HPLW9K2ezdT" TargetMode="External"/><Relationship Id="rId853" Type="http://schemas.openxmlformats.org/officeDocument/2006/relationships/hyperlink" Target="https://drive.google.com/open?id=1GlFu7cdbFdhe2SDOqcxyehX5wVivpGSO" TargetMode="External"/><Relationship Id="rId1136" Type="http://schemas.openxmlformats.org/officeDocument/2006/relationships/hyperlink" Target="https://drive.google.com/open?id=1r9JHeHzS-p2bHJjGWrRRCH-HvZpP9PJC" TargetMode="External"/><Relationship Id="rId713" Type="http://schemas.openxmlformats.org/officeDocument/2006/relationships/hyperlink" Target="https://drive.google.com/open?id=1dJq_RVgjBeEYnc_ImqAGy9-JBEjabtLd" TargetMode="External"/><Relationship Id="rId920" Type="http://schemas.openxmlformats.org/officeDocument/2006/relationships/hyperlink" Target="https://drive.google.com/open?id=1Chxfwa4KIr49Z8PxbGqkrfxzUTN_ciAO" TargetMode="External"/><Relationship Id="rId1203" Type="http://schemas.openxmlformats.org/officeDocument/2006/relationships/hyperlink" Target="https://drive.google.com/open?id=1JJ1v9YNHR_5wy1WsxnPX93iiMZ2CQGc-" TargetMode="External"/><Relationship Id="rId296" Type="http://schemas.openxmlformats.org/officeDocument/2006/relationships/hyperlink" Target="https://drive.google.com/open?id=1ezcXn8Cf6Wm4Ug-923MS8OsXvX62Btoq" TargetMode="External"/><Relationship Id="rId156" Type="http://schemas.openxmlformats.org/officeDocument/2006/relationships/hyperlink" Target="https://drive.google.com/open?id=14f_YNkYe_LsLaJyBmC2tu94dRi_oPArI" TargetMode="External"/><Relationship Id="rId363" Type="http://schemas.openxmlformats.org/officeDocument/2006/relationships/hyperlink" Target="https://drive.google.com/open?id=13m23uLAStHyxZqDD5PTUP137-UARmYlm" TargetMode="External"/><Relationship Id="rId570" Type="http://schemas.openxmlformats.org/officeDocument/2006/relationships/hyperlink" Target="https://drive.google.com/open?id=1SjYXA8vBAtqhSoQB5vBlHx1Ut35nOy6o" TargetMode="External"/><Relationship Id="rId223" Type="http://schemas.openxmlformats.org/officeDocument/2006/relationships/hyperlink" Target="https://drive.google.com/open?id=1whTvza9uJDF0iQaw3_1tHubdv4LzUPKB" TargetMode="External"/><Relationship Id="rId430" Type="http://schemas.openxmlformats.org/officeDocument/2006/relationships/hyperlink" Target="https://drive.google.com/open?id=1Kjdhvdv_31tSlcoELmrZbCIw1JqoZ5L8" TargetMode="External"/><Relationship Id="rId668" Type="http://schemas.openxmlformats.org/officeDocument/2006/relationships/hyperlink" Target="https://drive.google.com/open?id=17MBVAy1wa0SR8yaFeYAn0mla9HWQHGnn" TargetMode="External"/><Relationship Id="rId875" Type="http://schemas.openxmlformats.org/officeDocument/2006/relationships/hyperlink" Target="https://drive.google.com/open?id=1PtT5e0m0JfaHGy-9pPBRyAnTQBa9QIBM" TargetMode="External"/><Relationship Id="rId1060" Type="http://schemas.openxmlformats.org/officeDocument/2006/relationships/hyperlink" Target="https://drive.google.com/open?id=1X3qDDm_p6Sho5tpr5AVih-piAd5XtjxN" TargetMode="External"/><Relationship Id="rId528" Type="http://schemas.openxmlformats.org/officeDocument/2006/relationships/hyperlink" Target="https://drive.google.com/open?id=1jc7fXPv1wf52g4ApMQpNbwU67t9CZQbi" TargetMode="External"/><Relationship Id="rId735" Type="http://schemas.openxmlformats.org/officeDocument/2006/relationships/hyperlink" Target="https://drive.google.com/open?id=15bnEA1hV4JtjlNHFlAg5s01eNuFvZk3D" TargetMode="External"/><Relationship Id="rId942" Type="http://schemas.openxmlformats.org/officeDocument/2006/relationships/hyperlink" Target="https://drive.google.com/open?id=1iwpn0J5bv3F0RmsaRFONpbK3BZ_VLeUB" TargetMode="External"/><Relationship Id="rId1158" Type="http://schemas.openxmlformats.org/officeDocument/2006/relationships/hyperlink" Target="https://drive.google.com/open?id=1b9ighdzNJh61n7UCtWhi0LirT6fP7W_o" TargetMode="External"/><Relationship Id="rId1018" Type="http://schemas.openxmlformats.org/officeDocument/2006/relationships/hyperlink" Target="https://drive.google.com/open?id=1t60Z5-AwE1CypFIwOze2BnvcUZatrF56" TargetMode="External"/><Relationship Id="rId1225" Type="http://schemas.openxmlformats.org/officeDocument/2006/relationships/hyperlink" Target="https://drive.google.com/open?id=1O53iEN6SUMV9VJVy2E0f--e_c01bAhYz" TargetMode="External"/><Relationship Id="rId71" Type="http://schemas.openxmlformats.org/officeDocument/2006/relationships/hyperlink" Target="https://drive.google.com/open?id=1B7_tsPSvNuaq1eSU9JVjd5Hhs7iofp_h" TargetMode="External"/><Relationship Id="rId802" Type="http://schemas.openxmlformats.org/officeDocument/2006/relationships/hyperlink" Target="https://drive.google.com/open?id=1GABFRLcLVo-rJuEDOu_N0ZABzWu382OC" TargetMode="External"/><Relationship Id="rId29" Type="http://schemas.openxmlformats.org/officeDocument/2006/relationships/hyperlink" Target="https://drive.google.com/open?id=1BVeSmiY_DZdNm4bq2PI7OkOZ6MxZ7Pm1" TargetMode="External"/><Relationship Id="rId178" Type="http://schemas.openxmlformats.org/officeDocument/2006/relationships/hyperlink" Target="https://drive.google.com/open?id=1VwgVuKhYCCzOe0dYrugm7mryKWSInPG2" TargetMode="External"/><Relationship Id="rId385" Type="http://schemas.openxmlformats.org/officeDocument/2006/relationships/hyperlink" Target="https://drive.google.com/open?id=1FoCgeNRKbjFBZPtmu64Kn7oA-ZlEd7eR" TargetMode="External"/><Relationship Id="rId592" Type="http://schemas.openxmlformats.org/officeDocument/2006/relationships/hyperlink" Target="https://drive.google.com/open?id=1FA9m-ZC85a101ZrFUkIi2_XLadbFGbB2" TargetMode="External"/><Relationship Id="rId245" Type="http://schemas.openxmlformats.org/officeDocument/2006/relationships/hyperlink" Target="https://drive.google.com/open?id=1sPXCxjyMc_3XrEvNonswpWZ70upQRCBM" TargetMode="External"/><Relationship Id="rId452" Type="http://schemas.openxmlformats.org/officeDocument/2006/relationships/hyperlink" Target="https://drive.google.com/open?id=16TAzlpGz82euNV0RFnQDkq_DFMXwNUlH" TargetMode="External"/><Relationship Id="rId897" Type="http://schemas.openxmlformats.org/officeDocument/2006/relationships/hyperlink" Target="https://drive.google.com/open?id=1iWg81IHqE_9Pb8CNsoiOOLq2BTWGcCCf" TargetMode="External"/><Relationship Id="rId1082" Type="http://schemas.openxmlformats.org/officeDocument/2006/relationships/hyperlink" Target="https://drive.google.com/open?id=177WnZ9ll-yDmv0Pndp6H5pIlZHxR2Otq" TargetMode="External"/><Relationship Id="rId105" Type="http://schemas.openxmlformats.org/officeDocument/2006/relationships/hyperlink" Target="https://drive.google.com/open?id=1QN0jqppCjBFEeszUL_yJvgnwHDHHN7t4" TargetMode="External"/><Relationship Id="rId312" Type="http://schemas.openxmlformats.org/officeDocument/2006/relationships/hyperlink" Target="https://drive.google.com/open?id=1xpBCQY8ivn792AhVl9I2Or-HAr_8j1RF" TargetMode="External"/><Relationship Id="rId757" Type="http://schemas.openxmlformats.org/officeDocument/2006/relationships/hyperlink" Target="https://drive.google.com/open?id=1GFMobQ4zPPvkmJwkhIhhxI-qLnGP69dZ" TargetMode="External"/><Relationship Id="rId964" Type="http://schemas.openxmlformats.org/officeDocument/2006/relationships/hyperlink" Target="https://drive.google.com/open?id=1aSZGf9dqR90YqMETPIgjqYGfmuKivvaV" TargetMode="External"/><Relationship Id="rId93" Type="http://schemas.openxmlformats.org/officeDocument/2006/relationships/hyperlink" Target="https://drive.google.com/open?id=1U1O0x228H96DBi_DVadzzj4axw4IlUj-" TargetMode="External"/><Relationship Id="rId617" Type="http://schemas.openxmlformats.org/officeDocument/2006/relationships/hyperlink" Target="https://drive.google.com/open?id=1jwCIfiRG1PaFpXBOlfzCB-idxThmtQoY" TargetMode="External"/><Relationship Id="rId824" Type="http://schemas.openxmlformats.org/officeDocument/2006/relationships/hyperlink" Target="https://drive.google.com/open?id=1s7IsjWwiv2YcmtVOY84AywO0mUQsL9eB" TargetMode="External"/><Relationship Id="rId1247" Type="http://schemas.openxmlformats.org/officeDocument/2006/relationships/hyperlink" Target="https://drive.google.com/open?id=1Jiq7TDP6gIiWOmvIMsF-YjJOfZdHi8Ta" TargetMode="External"/><Relationship Id="rId1107" Type="http://schemas.openxmlformats.org/officeDocument/2006/relationships/hyperlink" Target="https://drive.google.com/open?id=14KHr1oKnpdzF5_09SOuwK-O0zfLjJslG" TargetMode="External"/><Relationship Id="rId116" Type="http://schemas.openxmlformats.org/officeDocument/2006/relationships/hyperlink" Target="https://drive.google.com/open?id=1Zo4WUiHXwYZETzYwHs1nyNuF2CEWKTHF" TargetMode="External"/><Relationship Id="rId323" Type="http://schemas.openxmlformats.org/officeDocument/2006/relationships/hyperlink" Target="https://drive.google.com/open?id=1Ta2xVGTXikDcxe_CdeQjfiyR77meMr2p" TargetMode="External"/><Relationship Id="rId530" Type="http://schemas.openxmlformats.org/officeDocument/2006/relationships/hyperlink" Target="https://drive.google.com/open?id=1FJgp55cUD7GB_Zh0Hj2CLxe9d54wRIvf" TargetMode="External"/><Relationship Id="rId768" Type="http://schemas.openxmlformats.org/officeDocument/2006/relationships/hyperlink" Target="https://drive.google.com/open?id=1h_mZeupS44TgPflfSEpuY_s05KHp6vlX" TargetMode="External"/><Relationship Id="rId975" Type="http://schemas.openxmlformats.org/officeDocument/2006/relationships/hyperlink" Target="https://drive.google.com/open?id=107LMUKirH3tOLJR9HhdQvnsWBRFQd3VZ" TargetMode="External"/><Relationship Id="rId1160" Type="http://schemas.openxmlformats.org/officeDocument/2006/relationships/hyperlink" Target="https://drive.google.com/open?id=1G8r3SkAEO47amZGTqewYa4f5BrvpH-k6" TargetMode="External"/><Relationship Id="rId20" Type="http://schemas.openxmlformats.org/officeDocument/2006/relationships/hyperlink" Target="https://drive.google.com/open?id=1XLr3L5U77iY2vkkKxLq8C7_JM40Y1dnG" TargetMode="External"/><Relationship Id="rId628" Type="http://schemas.openxmlformats.org/officeDocument/2006/relationships/hyperlink" Target="https://drive.google.com/open?id=1wDVBpFNNtbwga3K9WnHT7TMKS4eEWTRk" TargetMode="External"/><Relationship Id="rId835" Type="http://schemas.openxmlformats.org/officeDocument/2006/relationships/hyperlink" Target="https://drive.google.com/open?id=1Z_npW6z9YO3oyLQeVmlK9gMq8C7dnkHF" TargetMode="External"/><Relationship Id="rId267" Type="http://schemas.openxmlformats.org/officeDocument/2006/relationships/hyperlink" Target="https://drive.google.com/open?id=1FclAhAv7d_PWMuQMlCVEtccysVJZmI9b" TargetMode="External"/><Relationship Id="rId474" Type="http://schemas.openxmlformats.org/officeDocument/2006/relationships/hyperlink" Target="https://drive.google.com/open?id=1kuch92MH67O90sGFYLWAJS1ayM9kxLQa" TargetMode="External"/><Relationship Id="rId1020" Type="http://schemas.openxmlformats.org/officeDocument/2006/relationships/hyperlink" Target="https://drive.google.com/open?id=1QaPyPGF3CTWvkTpQ77arzgcG1bsS_V8l" TargetMode="External"/><Relationship Id="rId1118" Type="http://schemas.openxmlformats.org/officeDocument/2006/relationships/hyperlink" Target="https://drive.google.com/open?id=1csXzh3lKOI4Jd2jS07JM8_oVkZ6Obp4g" TargetMode="External"/><Relationship Id="rId127" Type="http://schemas.openxmlformats.org/officeDocument/2006/relationships/hyperlink" Target="https://drive.google.com/open?id=1JX96BlzyjUrS8o0iXzC143_ZSof5jmcc" TargetMode="External"/><Relationship Id="rId681" Type="http://schemas.openxmlformats.org/officeDocument/2006/relationships/hyperlink" Target="https://drive.google.com/open?id=1YBh8L9twfJOwRl8bJspMxWepbJyeUgSx" TargetMode="External"/><Relationship Id="rId779" Type="http://schemas.openxmlformats.org/officeDocument/2006/relationships/hyperlink" Target="https://drive.google.com/open?id=1Jc-UMnspQBNZr0Nbb25qrUlnyEfUSwVu" TargetMode="External"/><Relationship Id="rId902" Type="http://schemas.openxmlformats.org/officeDocument/2006/relationships/hyperlink" Target="https://drive.google.com/open?id=1N3lcfAsakig5w7KQk8bS-G6dankkAlwF" TargetMode="External"/><Relationship Id="rId986" Type="http://schemas.openxmlformats.org/officeDocument/2006/relationships/hyperlink" Target="https://drive.google.com/open?id=1tIRYPTZfNjx3ruuBFLdoniQ7p77OClKX" TargetMode="External"/><Relationship Id="rId31" Type="http://schemas.openxmlformats.org/officeDocument/2006/relationships/hyperlink" Target="https://drive.google.com/open?id=1FGElvJ2-BJ-baRGIkbgo9-QbvIpGYql2" TargetMode="External"/><Relationship Id="rId334" Type="http://schemas.openxmlformats.org/officeDocument/2006/relationships/hyperlink" Target="https://drive.google.com/open?id=1cmsLf-6_xmxl1dlYyznFpzsWa9yjYVzp" TargetMode="External"/><Relationship Id="rId541" Type="http://schemas.openxmlformats.org/officeDocument/2006/relationships/hyperlink" Target="https://drive.google.com/open?id=1hPd-y0QRyP7xAS-Ua-vkhwZN1TUpFtAI" TargetMode="External"/><Relationship Id="rId639" Type="http://schemas.openxmlformats.org/officeDocument/2006/relationships/hyperlink" Target="https://drive.google.com/open?id=14rWPLJmTJKqMD8KSlWNXGrSZ3njUmrwh" TargetMode="External"/><Relationship Id="rId1171" Type="http://schemas.openxmlformats.org/officeDocument/2006/relationships/hyperlink" Target="https://drive.google.com/open?id=1_6NdeQ7TbfzlugYH8GCl1LJa3VLiskYQ" TargetMode="External"/><Relationship Id="rId180" Type="http://schemas.openxmlformats.org/officeDocument/2006/relationships/hyperlink" Target="https://drive.google.com/open?id=1oaMLvCcQm3xu7RNp4wulPzXpsuCe6-X1" TargetMode="External"/><Relationship Id="rId278" Type="http://schemas.openxmlformats.org/officeDocument/2006/relationships/hyperlink" Target="https://drive.google.com/open?id=1aRrHXLvMuL1UwsIWu887T_nnXx2XCkRz" TargetMode="External"/><Relationship Id="rId401" Type="http://schemas.openxmlformats.org/officeDocument/2006/relationships/hyperlink" Target="https://drive.google.com/open?id=1ot7SVp75D0zQFPpknUPDnWIUkpRw5Ihx" TargetMode="External"/><Relationship Id="rId846" Type="http://schemas.openxmlformats.org/officeDocument/2006/relationships/hyperlink" Target="https://drive.google.com/open?id=1pHqHxcdAuxRmI4vRP7CNKoa1hDltCeJz" TargetMode="External"/><Relationship Id="rId1031" Type="http://schemas.openxmlformats.org/officeDocument/2006/relationships/hyperlink" Target="https://drive.google.com/open?id=1gkgx2r5f7gunBgRkXutoGX1hshjzHwgh" TargetMode="External"/><Relationship Id="rId1129" Type="http://schemas.openxmlformats.org/officeDocument/2006/relationships/hyperlink" Target="https://drive.google.com/open?id=1QCUNdJbwn59jqVLuFfpB6VVr8qDVNz4-" TargetMode="External"/><Relationship Id="rId485" Type="http://schemas.openxmlformats.org/officeDocument/2006/relationships/hyperlink" Target="https://drive.google.com/open?id=1ne0wMLKGInRhVCnAJGYszBCSJsWdaGtM" TargetMode="External"/><Relationship Id="rId692" Type="http://schemas.openxmlformats.org/officeDocument/2006/relationships/hyperlink" Target="https://drive.google.com/open?id=1Wv57NATsyfsfOJ3Wqu4_xw5aLiFUfFqQ" TargetMode="External"/><Relationship Id="rId706" Type="http://schemas.openxmlformats.org/officeDocument/2006/relationships/hyperlink" Target="https://drive.google.com/open?id=1j0SOYbvN-zT3wki1_Soaju3X2FjgX1mG" TargetMode="External"/><Relationship Id="rId913" Type="http://schemas.openxmlformats.org/officeDocument/2006/relationships/hyperlink" Target="https://drive.google.com/open?id=12-5yMVCZ6Zdz29UUS-RfY60T4YdulR1I" TargetMode="External"/><Relationship Id="rId42" Type="http://schemas.openxmlformats.org/officeDocument/2006/relationships/hyperlink" Target="https://drive.google.com/open?id=1JNliL4ujxwOAKYjnW5wKtqBINm1EqJYe" TargetMode="External"/><Relationship Id="rId138" Type="http://schemas.openxmlformats.org/officeDocument/2006/relationships/hyperlink" Target="https://drive.google.com/open?id=1mM__55Wnqq1ZI4dIz_KFcRbeHbyHs5fd" TargetMode="External"/><Relationship Id="rId345" Type="http://schemas.openxmlformats.org/officeDocument/2006/relationships/hyperlink" Target="https://drive.google.com/open?id=1v3jlv1Z8oGRnQintXpBv6AJNrvdrZ326" TargetMode="External"/><Relationship Id="rId552" Type="http://schemas.openxmlformats.org/officeDocument/2006/relationships/hyperlink" Target="https://drive.google.com/open?id=1jX-4KaRAtsygnkcFdI_zbYTxjI4hAoHV" TargetMode="External"/><Relationship Id="rId997" Type="http://schemas.openxmlformats.org/officeDocument/2006/relationships/hyperlink" Target="https://drive.google.com/open?id=1iD9guPwQcJ0-Y1lGPNJIi8_PEgofy_Uz" TargetMode="External"/><Relationship Id="rId1182" Type="http://schemas.openxmlformats.org/officeDocument/2006/relationships/hyperlink" Target="https://drive.google.com/open?id=1BPUYM6YcvcrHSh7JpW273eG_5OPMl4R3" TargetMode="External"/><Relationship Id="rId191" Type="http://schemas.openxmlformats.org/officeDocument/2006/relationships/hyperlink" Target="https://drive.google.com/open?id=1vWtNWh1JBUfFb2hPwpkeo8btmYwPc0tS" TargetMode="External"/><Relationship Id="rId205" Type="http://schemas.openxmlformats.org/officeDocument/2006/relationships/hyperlink" Target="https://drive.google.com/open?id=1GMKi27W402pNU3CrBEnSCQLu_p0ji-pR" TargetMode="External"/><Relationship Id="rId412" Type="http://schemas.openxmlformats.org/officeDocument/2006/relationships/hyperlink" Target="https://drive.google.com/open?id=1XPWiFBJutctu0r8FMIsx5W7QveZshjwj" TargetMode="External"/><Relationship Id="rId857" Type="http://schemas.openxmlformats.org/officeDocument/2006/relationships/hyperlink" Target="https://drive.google.com/open?id=1leHDLjai5-yN7UbhomO6T9WKFpL5E5iT" TargetMode="External"/><Relationship Id="rId1042" Type="http://schemas.openxmlformats.org/officeDocument/2006/relationships/hyperlink" Target="https://drive.google.com/open?id=1rU4WTYfKhVeRswpLhKSTJQPyceIUteal" TargetMode="External"/><Relationship Id="rId289" Type="http://schemas.openxmlformats.org/officeDocument/2006/relationships/hyperlink" Target="https://drive.google.com/open?id=1Mq4-VKEia6FH24De7Yezq43w93wRxo4V" TargetMode="External"/><Relationship Id="rId496" Type="http://schemas.openxmlformats.org/officeDocument/2006/relationships/hyperlink" Target="https://drive.google.com/open?id=1vkWRD-FF5tvoYjw78YgKJqhEArop8JJM" TargetMode="External"/><Relationship Id="rId717" Type="http://schemas.openxmlformats.org/officeDocument/2006/relationships/hyperlink" Target="https://drive.google.com/open?id=12emzH5_O0nlSpkas2Vd2aLoyT8jgYEj7" TargetMode="External"/><Relationship Id="rId924" Type="http://schemas.openxmlformats.org/officeDocument/2006/relationships/hyperlink" Target="https://drive.google.com/open?id=1Ga1qGwhjIAYi1wDs2A2SLVbdXSml7UDX" TargetMode="External"/><Relationship Id="rId53" Type="http://schemas.openxmlformats.org/officeDocument/2006/relationships/hyperlink" Target="https://drive.google.com/open?id=1N52108VTIhjHlbnRbY2RpdApZbj04yyV" TargetMode="External"/><Relationship Id="rId149" Type="http://schemas.openxmlformats.org/officeDocument/2006/relationships/hyperlink" Target="https://drive.google.com/open?id=1NEsWCVb3UcMENpqWqNjzqNRSXNjmHlK8" TargetMode="External"/><Relationship Id="rId356" Type="http://schemas.openxmlformats.org/officeDocument/2006/relationships/hyperlink" Target="https://drive.google.com/open?id=1kya26-NPUvOma88JNHpEfC91nIi5w3p2" TargetMode="External"/><Relationship Id="rId563" Type="http://schemas.openxmlformats.org/officeDocument/2006/relationships/hyperlink" Target="https://drive.google.com/open?id=1RUsP3lf_PIf8K92_Sf-uef0JrX0FzhPk" TargetMode="External"/><Relationship Id="rId770" Type="http://schemas.openxmlformats.org/officeDocument/2006/relationships/hyperlink" Target="https://drive.google.com/open?id=1c3y001dotHmDz5gWrjouvWohD7NBzr4T" TargetMode="External"/><Relationship Id="rId1193" Type="http://schemas.openxmlformats.org/officeDocument/2006/relationships/hyperlink" Target="https://drive.google.com/open?id=1HUdU1gTzxnJpZbVVFBwj79eoJ7V1pcmS" TargetMode="External"/><Relationship Id="rId1207" Type="http://schemas.openxmlformats.org/officeDocument/2006/relationships/hyperlink" Target="https://drive.google.com/open?id=1Od__fKWQ1DJ6yajgPk9dUFm1f6YYuz3c" TargetMode="External"/><Relationship Id="rId216" Type="http://schemas.openxmlformats.org/officeDocument/2006/relationships/hyperlink" Target="https://drive.google.com/open?id=1VeKQ857RLf7ODcDvgTW9Pj8lE97TjDxW" TargetMode="External"/><Relationship Id="rId423" Type="http://schemas.openxmlformats.org/officeDocument/2006/relationships/hyperlink" Target="https://drive.google.com/open?id=1KUbWWRi5HdYIXs3hF_WPRqGxfK97CUW7" TargetMode="External"/><Relationship Id="rId868" Type="http://schemas.openxmlformats.org/officeDocument/2006/relationships/hyperlink" Target="https://drive.google.com/open?id=14vosYyJQwP4iRF_ZNUXTsHLj6CkvRN5V" TargetMode="External"/><Relationship Id="rId1053" Type="http://schemas.openxmlformats.org/officeDocument/2006/relationships/hyperlink" Target="https://drive.google.com/open?id=1dAcp_qet9NlmZ1oSiy4Mb5aV3aQpLkL5" TargetMode="External"/><Relationship Id="rId630" Type="http://schemas.openxmlformats.org/officeDocument/2006/relationships/hyperlink" Target="https://drive.google.com/open?id=11yGhiDuEpewyFuPpEFaX4AjR2P_isdQG" TargetMode="External"/><Relationship Id="rId728" Type="http://schemas.openxmlformats.org/officeDocument/2006/relationships/hyperlink" Target="https://drive.google.com/open?id=1jRqCqqYaAjCvb9YKNPrLZjMIeR_njvXB" TargetMode="External"/><Relationship Id="rId935" Type="http://schemas.openxmlformats.org/officeDocument/2006/relationships/hyperlink" Target="https://drive.google.com/open?id=1bxZS_cUelyJcmWQG_03Wtp4f7AQT9ex0" TargetMode="External"/><Relationship Id="rId64" Type="http://schemas.openxmlformats.org/officeDocument/2006/relationships/hyperlink" Target="https://drive.google.com/open?id=1o9CAYJ7IP2TlijSGOAJOM45v_8V6izVg" TargetMode="External"/><Relationship Id="rId367" Type="http://schemas.openxmlformats.org/officeDocument/2006/relationships/hyperlink" Target="https://drive.google.com/open?id=1UlLjmX6BriGlw_iurNNlMJ8lyZhZlwQp" TargetMode="External"/><Relationship Id="rId574" Type="http://schemas.openxmlformats.org/officeDocument/2006/relationships/hyperlink" Target="https://drive.google.com/open?id=1w0gYi1WcKDjZDrOpTeDJPi8WuJN5DOLY" TargetMode="External"/><Relationship Id="rId1120" Type="http://schemas.openxmlformats.org/officeDocument/2006/relationships/hyperlink" Target="https://drive.google.com/open?id=1HDFZ27W2ti4R7JiNZX60LbPV6QPoNJXW" TargetMode="External"/><Relationship Id="rId1218" Type="http://schemas.openxmlformats.org/officeDocument/2006/relationships/hyperlink" Target="https://drive.google.com/open?id=1pwmU8wNL9l5V90y_EjtnhaNqcUbnEt6U" TargetMode="External"/><Relationship Id="rId227" Type="http://schemas.openxmlformats.org/officeDocument/2006/relationships/hyperlink" Target="https://drive.google.com/open?id=1d36qJBv7FCLFzPc8ZT9r2q2OqoJTNxFT" TargetMode="External"/><Relationship Id="rId781" Type="http://schemas.openxmlformats.org/officeDocument/2006/relationships/hyperlink" Target="https://drive.google.com/open?id=1dK-OFCESsl7U8R2YblzEL7L09lkpfLlV" TargetMode="External"/><Relationship Id="rId879" Type="http://schemas.openxmlformats.org/officeDocument/2006/relationships/hyperlink" Target="https://drive.google.com/open?id=1ErZ7kHLPUxDPR7Ym9dYgao0On9FEmlyz" TargetMode="External"/><Relationship Id="rId434" Type="http://schemas.openxmlformats.org/officeDocument/2006/relationships/hyperlink" Target="https://drive.google.com/open?id=1eO0nM4Ow5C1_Vb6v2-DApEUygeBJrq8r" TargetMode="External"/><Relationship Id="rId641" Type="http://schemas.openxmlformats.org/officeDocument/2006/relationships/hyperlink" Target="https://drive.google.com/open?id=1Kmx1ZJDTqCrFG_WqUqUovGe-OhQPKMSP" TargetMode="External"/><Relationship Id="rId739" Type="http://schemas.openxmlformats.org/officeDocument/2006/relationships/hyperlink" Target="https://drive.google.com/open?id=1XRIwkn6-MF9y1Yz3kz-km-fcexVu9kH6" TargetMode="External"/><Relationship Id="rId1064" Type="http://schemas.openxmlformats.org/officeDocument/2006/relationships/hyperlink" Target="https://drive.google.com/open?id=1uA_kDYk7es1a92_7bIzDsqWe9Q-QqJUN" TargetMode="External"/><Relationship Id="rId280" Type="http://schemas.openxmlformats.org/officeDocument/2006/relationships/hyperlink" Target="https://drive.google.com/open?id=1zvt-NJ9yTzaAcNwzbB-Tnh-OvzmI55yt" TargetMode="External"/><Relationship Id="rId501" Type="http://schemas.openxmlformats.org/officeDocument/2006/relationships/hyperlink" Target="https://drive.google.com/open?id=10lpHY1hjMRfvFeUJEwOX4In0mDiuXT3J" TargetMode="External"/><Relationship Id="rId946" Type="http://schemas.openxmlformats.org/officeDocument/2006/relationships/hyperlink" Target="https://drive.google.com/open?id=1go0o92OlcI3SdTEDYOnuqqRxwlTlr93z" TargetMode="External"/><Relationship Id="rId1131" Type="http://schemas.openxmlformats.org/officeDocument/2006/relationships/hyperlink" Target="https://drive.google.com/open?id=1FmSMx_ObV2g1pYpRF2CRLxHy871wEZE8" TargetMode="External"/><Relationship Id="rId1229" Type="http://schemas.openxmlformats.org/officeDocument/2006/relationships/hyperlink" Target="https://drive.google.com/open?id=1dQcCyu4o5pL1lGcWlQebtZ2tPhZxkWRJ" TargetMode="External"/><Relationship Id="rId75" Type="http://schemas.openxmlformats.org/officeDocument/2006/relationships/hyperlink" Target="https://drive.google.com/open?id=1ZgbjVCh4SBcrQR84hgrbhQfOdI1WB6fe" TargetMode="External"/><Relationship Id="rId140" Type="http://schemas.openxmlformats.org/officeDocument/2006/relationships/hyperlink" Target="https://drive.google.com/open?id=1Se8NluBSh4Jx5-kDFRrc8Y_rTaheX-I-" TargetMode="External"/><Relationship Id="rId378" Type="http://schemas.openxmlformats.org/officeDocument/2006/relationships/hyperlink" Target="https://drive.google.com/open?id=10JEcyG5CApihiJNYJ3SjlXq_aenQQdqA" TargetMode="External"/><Relationship Id="rId585" Type="http://schemas.openxmlformats.org/officeDocument/2006/relationships/hyperlink" Target="https://drive.google.com/open?id=1MhUnV9MtNjlLmgXuyUrIMZLZnfRH5TvG" TargetMode="External"/><Relationship Id="rId792" Type="http://schemas.openxmlformats.org/officeDocument/2006/relationships/hyperlink" Target="https://drive.google.com/open?id=12K77f0CuMXL2NkY_DrMXwHHLVwKjFBnb" TargetMode="External"/><Relationship Id="rId806" Type="http://schemas.openxmlformats.org/officeDocument/2006/relationships/hyperlink" Target="https://drive.google.com/open?id=18QfMm1Jj2t20BOVXKpXpIhlVpP8jeB7H" TargetMode="External"/><Relationship Id="rId6" Type="http://schemas.openxmlformats.org/officeDocument/2006/relationships/hyperlink" Target="https://drive.google.com/open?id=1_lCAoLSpgcpsod6exHtYDXomFSr2aW_d" TargetMode="External"/><Relationship Id="rId238" Type="http://schemas.openxmlformats.org/officeDocument/2006/relationships/hyperlink" Target="https://drive.google.com/open?id=1wUMi_Px4VbVHSRiMgIjCtFyqZqOdtTh_" TargetMode="External"/><Relationship Id="rId445" Type="http://schemas.openxmlformats.org/officeDocument/2006/relationships/hyperlink" Target="https://drive.google.com/open?id=1fU4FeL8ShvpbnSTnUPWQwJFRUvB3IHd3" TargetMode="External"/><Relationship Id="rId652" Type="http://schemas.openxmlformats.org/officeDocument/2006/relationships/hyperlink" Target="https://drive.google.com/open?id=1zEZFt3QIFXlg6RqJors6v931eZGjTeG8" TargetMode="External"/><Relationship Id="rId1075" Type="http://schemas.openxmlformats.org/officeDocument/2006/relationships/hyperlink" Target="https://drive.google.com/open?id=1YdQ4jsVWyebFn2anMSj1sv7RrqlTfdNh" TargetMode="External"/><Relationship Id="rId291" Type="http://schemas.openxmlformats.org/officeDocument/2006/relationships/hyperlink" Target="https://drive.google.com/open?id=1r68QJQ1mMD8Av1cnVNZOkZTnqc0Y0TW5" TargetMode="External"/><Relationship Id="rId305" Type="http://schemas.openxmlformats.org/officeDocument/2006/relationships/hyperlink" Target="https://drive.google.com/open?id=1TXkbNt5M-Pk7MDtugny0dJ6szafeBiA1" TargetMode="External"/><Relationship Id="rId512" Type="http://schemas.openxmlformats.org/officeDocument/2006/relationships/hyperlink" Target="https://drive.google.com/open?id=1qP2kBahmzpZEXRrgJJTWQLRQLAe0IPrA" TargetMode="External"/><Relationship Id="rId957" Type="http://schemas.openxmlformats.org/officeDocument/2006/relationships/hyperlink" Target="https://drive.google.com/open?id=10ccUuIHIKALbNewM-GML29nKAHGzNxN5" TargetMode="External"/><Relationship Id="rId1142" Type="http://schemas.openxmlformats.org/officeDocument/2006/relationships/hyperlink" Target="https://drive.google.com/open?id=1ivRiijEy87mO7hxzJ67WA9f64noBj6x5" TargetMode="External"/><Relationship Id="rId86" Type="http://schemas.openxmlformats.org/officeDocument/2006/relationships/hyperlink" Target="https://drive.google.com/open?id=1LxblHohlOMP5MUnoKAETQG59Qn5QmidS" TargetMode="External"/><Relationship Id="rId151" Type="http://schemas.openxmlformats.org/officeDocument/2006/relationships/hyperlink" Target="https://drive.google.com/open?id=1JL_2OfpLxnI03CVCjIVrp_rWj5dCf4Ti" TargetMode="External"/><Relationship Id="rId389" Type="http://schemas.openxmlformats.org/officeDocument/2006/relationships/hyperlink" Target="https://drive.google.com/open?id=1h38jvDJtjSI6oGyoUyeBOOi8wxdoMcuy" TargetMode="External"/><Relationship Id="rId596" Type="http://schemas.openxmlformats.org/officeDocument/2006/relationships/hyperlink" Target="https://drive.google.com/open?id=1rNRpMNXiZIcH7bXRVDrbgTdfDrFu198F" TargetMode="External"/><Relationship Id="rId817" Type="http://schemas.openxmlformats.org/officeDocument/2006/relationships/hyperlink" Target="https://drive.google.com/open?id=1WBNYxjjh04sAk2w19Sv5lnjQTlxOfRZa" TargetMode="External"/><Relationship Id="rId1002" Type="http://schemas.openxmlformats.org/officeDocument/2006/relationships/hyperlink" Target="https://drive.google.com/open?id=1SWzxcYXDtX3R6BiDl65fQXGEU1UxXZk4" TargetMode="External"/><Relationship Id="rId249" Type="http://schemas.openxmlformats.org/officeDocument/2006/relationships/hyperlink" Target="https://drive.google.com/open?id=1dwdEaDEYgPDSWPLH7dLu76JOLbiac9bk" TargetMode="External"/><Relationship Id="rId456" Type="http://schemas.openxmlformats.org/officeDocument/2006/relationships/hyperlink" Target="https://drive.google.com/open?id=1EPNhUl4O4yR8oI9faa2k4qzYIpY7uFVJ" TargetMode="External"/><Relationship Id="rId663" Type="http://schemas.openxmlformats.org/officeDocument/2006/relationships/hyperlink" Target="https://drive.google.com/open?id=1gRiNih6IgUwZ6jl0IDQVlAnTwNKsxWuH" TargetMode="External"/><Relationship Id="rId870" Type="http://schemas.openxmlformats.org/officeDocument/2006/relationships/hyperlink" Target="https://drive.google.com/open?id=1-4mQbWgXX69uaLIhfBz1f-dCMzG1sGKc" TargetMode="External"/><Relationship Id="rId1086" Type="http://schemas.openxmlformats.org/officeDocument/2006/relationships/hyperlink" Target="https://drive.google.com/open?id=1roGwRX1qQWVB3DYsV7C8leHhhPo-3mOn" TargetMode="External"/><Relationship Id="rId13" Type="http://schemas.openxmlformats.org/officeDocument/2006/relationships/hyperlink" Target="https://drive.google.com/open?id=1F1ZqGXopONy6CtTPeVtZ68vufJxrLHyY" TargetMode="External"/><Relationship Id="rId109" Type="http://schemas.openxmlformats.org/officeDocument/2006/relationships/hyperlink" Target="https://drive.google.com/open?id=16qNImVkIhKZ8CbwP0EaugwosIn26HPss" TargetMode="External"/><Relationship Id="rId316" Type="http://schemas.openxmlformats.org/officeDocument/2006/relationships/hyperlink" Target="https://drive.google.com/open?id=13cI9fRwQi8A2iTFIsx8RE2Yg0ZxO05BS" TargetMode="External"/><Relationship Id="rId523" Type="http://schemas.openxmlformats.org/officeDocument/2006/relationships/hyperlink" Target="https://drive.google.com/open?id=1w_th_o_oe1e9BQ4ktSyCKPPYP1bB4l8j" TargetMode="External"/><Relationship Id="rId968" Type="http://schemas.openxmlformats.org/officeDocument/2006/relationships/hyperlink" Target="https://drive.google.com/open?id=1omqDfy-K9hAmywtYCmkEO4t96f8cltQh" TargetMode="External"/><Relationship Id="rId1153" Type="http://schemas.openxmlformats.org/officeDocument/2006/relationships/hyperlink" Target="https://drive.google.com/open?id=1xzLJgbV9LwWrKAMI5Kh8tHXpt3IWa_yN" TargetMode="External"/><Relationship Id="rId97" Type="http://schemas.openxmlformats.org/officeDocument/2006/relationships/hyperlink" Target="https://drive.google.com/open?id=1XId2p5RABfAl4d5kILuHjezKPFI2P_s7" TargetMode="External"/><Relationship Id="rId730" Type="http://schemas.openxmlformats.org/officeDocument/2006/relationships/hyperlink" Target="https://drive.google.com/open?id=1nvsnIHslClP_EeZefysovQtFQ7qXPWY8" TargetMode="External"/><Relationship Id="rId828" Type="http://schemas.openxmlformats.org/officeDocument/2006/relationships/hyperlink" Target="https://drive.google.com/open?id=1vzuRHxrRa8d7dDZP-wTtUaC-sQ_oGiNW" TargetMode="External"/><Relationship Id="rId1013" Type="http://schemas.openxmlformats.org/officeDocument/2006/relationships/hyperlink" Target="https://drive.google.com/open?id=1SrcObEEDm5NIwGT7cojBLCtPD_HQt8v_" TargetMode="External"/><Relationship Id="rId162" Type="http://schemas.openxmlformats.org/officeDocument/2006/relationships/hyperlink" Target="https://drive.google.com/open?id=1pNA9tbCw-yxcSFeIfOBz3dnPFvOtnNYd" TargetMode="External"/><Relationship Id="rId467" Type="http://schemas.openxmlformats.org/officeDocument/2006/relationships/hyperlink" Target="https://drive.google.com/open?id=1wgnNPwwir_WOuP4_yGlPuyEJpI854wIZ" TargetMode="External"/><Relationship Id="rId1097" Type="http://schemas.openxmlformats.org/officeDocument/2006/relationships/hyperlink" Target="https://drive.google.com/open?id=1UhIyPgca2qWYKhkTRd9tcM9K2J9Bzim0" TargetMode="External"/><Relationship Id="rId1220" Type="http://schemas.openxmlformats.org/officeDocument/2006/relationships/hyperlink" Target="https://drive.google.com/open?id=1BL5-zvJ35HIEg-jX9h1pxY5Qytg_kul_" TargetMode="External"/><Relationship Id="rId674" Type="http://schemas.openxmlformats.org/officeDocument/2006/relationships/hyperlink" Target="https://drive.google.com/open?id=1EfaSiPWkaQB0rwT_c_uHKoSApnbB03Uk" TargetMode="External"/><Relationship Id="rId881" Type="http://schemas.openxmlformats.org/officeDocument/2006/relationships/hyperlink" Target="https://drive.google.com/open?id=192cNv33ABUm8Z5LICz_76AKJv5OesCV5" TargetMode="External"/><Relationship Id="rId979" Type="http://schemas.openxmlformats.org/officeDocument/2006/relationships/hyperlink" Target="https://drive.google.com/open?id=1U3kKui09pw1QR4irVBhCux4h_yTqr-S-" TargetMode="External"/><Relationship Id="rId24" Type="http://schemas.openxmlformats.org/officeDocument/2006/relationships/hyperlink" Target="https://drive.google.com/open?id=1BInodur7Z5z0B9Lw5TfPgMKVfBZdqE9Y" TargetMode="External"/><Relationship Id="rId327" Type="http://schemas.openxmlformats.org/officeDocument/2006/relationships/hyperlink" Target="https://drive.google.com/open?id=17LOd93CnW4oauoPX5OpPGKbNuIMslXQf" TargetMode="External"/><Relationship Id="rId534" Type="http://schemas.openxmlformats.org/officeDocument/2006/relationships/hyperlink" Target="https://drive.google.com/open?id=1yXwxtcn2TSosQTcyGwWeRRE0_lCau0SJ" TargetMode="External"/><Relationship Id="rId741" Type="http://schemas.openxmlformats.org/officeDocument/2006/relationships/hyperlink" Target="https://drive.google.com/open?id=1JIEXEas3CPItZeqlCwFxIQCr5a4SOfKH" TargetMode="External"/><Relationship Id="rId839" Type="http://schemas.openxmlformats.org/officeDocument/2006/relationships/hyperlink" Target="https://drive.google.com/open?id=1tzea4vgZgf-x4KqI778KPqEqQXP9Kykd" TargetMode="External"/><Relationship Id="rId1164" Type="http://schemas.openxmlformats.org/officeDocument/2006/relationships/hyperlink" Target="https://drive.google.com/open?id=1Ubh1mUqJY2A6_EsyvehCWhcMffNdo_3P" TargetMode="External"/><Relationship Id="rId173" Type="http://schemas.openxmlformats.org/officeDocument/2006/relationships/hyperlink" Target="https://drive.google.com/open?id=1BblQeoochk0mB3GRaNzf87PAk6D9j2Bc" TargetMode="External"/><Relationship Id="rId380" Type="http://schemas.openxmlformats.org/officeDocument/2006/relationships/hyperlink" Target="https://drive.google.com/open?id=1IBA-s2nyAvO29ZqaCpVOZGS780cVF996" TargetMode="External"/><Relationship Id="rId601" Type="http://schemas.openxmlformats.org/officeDocument/2006/relationships/hyperlink" Target="https://drive.google.com/open?id=13dM8Jgv_WKqJWF6vFfUqOB9izDPx4iT8" TargetMode="External"/><Relationship Id="rId1024" Type="http://schemas.openxmlformats.org/officeDocument/2006/relationships/hyperlink" Target="https://drive.google.com/open?id=1bocZQAaER4ucqLIlPpXZdZNELormVrqq" TargetMode="External"/><Relationship Id="rId1231" Type="http://schemas.openxmlformats.org/officeDocument/2006/relationships/hyperlink" Target="https://drive.google.com/open?id=11x-DR8ds24LKuGgtRXvQVQ6hh_F3Q43g" TargetMode="External"/><Relationship Id="rId240" Type="http://schemas.openxmlformats.org/officeDocument/2006/relationships/hyperlink" Target="https://drive.google.com/open?id=1LmbJOeQIK0sbCvszEzZe8sRPWm-jDVLi" TargetMode="External"/><Relationship Id="rId478" Type="http://schemas.openxmlformats.org/officeDocument/2006/relationships/hyperlink" Target="https://drive.google.com/open?id=1UZ0UgdUXIs6dQodb-RCcT9dkdSXnZo8_" TargetMode="External"/><Relationship Id="rId685" Type="http://schemas.openxmlformats.org/officeDocument/2006/relationships/hyperlink" Target="https://drive.google.com/open?id=1TAM1UI94ZpbJT2dn4apzTYwpPmqKkRIH" TargetMode="External"/><Relationship Id="rId892" Type="http://schemas.openxmlformats.org/officeDocument/2006/relationships/hyperlink" Target="https://drive.google.com/open?id=1By-7MqGtshF6mr-FpkDLKL_28lJFeu8m" TargetMode="External"/><Relationship Id="rId906" Type="http://schemas.openxmlformats.org/officeDocument/2006/relationships/hyperlink" Target="https://drive.google.com/open?id=1SjPJT5KLJGLBT0EBwHRfD7k91_jaQXWX" TargetMode="External"/><Relationship Id="rId35" Type="http://schemas.openxmlformats.org/officeDocument/2006/relationships/hyperlink" Target="https://drive.google.com/open?id=1tr2wMa5YJt4VCShrY0uHebO-IP3XidpP" TargetMode="External"/><Relationship Id="rId100" Type="http://schemas.openxmlformats.org/officeDocument/2006/relationships/hyperlink" Target="https://drive.google.com/open?id=195bu8jGuXJkMIqjMtC4W8uPUFl7PyBrf" TargetMode="External"/><Relationship Id="rId338" Type="http://schemas.openxmlformats.org/officeDocument/2006/relationships/hyperlink" Target="https://drive.google.com/open?id=1XvwWo1Up79UlVSR0gkFNjLdaBtyXAztC" TargetMode="External"/><Relationship Id="rId545" Type="http://schemas.openxmlformats.org/officeDocument/2006/relationships/hyperlink" Target="https://drive.google.com/open?id=1bRmRcOoyot2eNBXY4xcJjG9itcztWplK" TargetMode="External"/><Relationship Id="rId752" Type="http://schemas.openxmlformats.org/officeDocument/2006/relationships/hyperlink" Target="https://drive.google.com/open?id=1VBBLfbCwCGJt1sIBVOn40ewU4femhmOl" TargetMode="External"/><Relationship Id="rId1175" Type="http://schemas.openxmlformats.org/officeDocument/2006/relationships/hyperlink" Target="https://drive.google.com/open?id=1Zgmqmhbpsp0sYEdpvqxIj1drPydeRoXx" TargetMode="External"/><Relationship Id="rId184" Type="http://schemas.openxmlformats.org/officeDocument/2006/relationships/hyperlink" Target="https://drive.google.com/open?id=1iB0zo7NjpB0GO-IG8F9E4Kz6tw1D_GYO" TargetMode="External"/><Relationship Id="rId391" Type="http://schemas.openxmlformats.org/officeDocument/2006/relationships/hyperlink" Target="https://drive.google.com/open?id=1l6pfdefEagvukaL1D_gKLZenwFghcIS1" TargetMode="External"/><Relationship Id="rId405" Type="http://schemas.openxmlformats.org/officeDocument/2006/relationships/hyperlink" Target="https://drive.google.com/open?id=1Pje4K0AmVeqIdRU8lNubhg3UtqpTskUX" TargetMode="External"/><Relationship Id="rId612" Type="http://schemas.openxmlformats.org/officeDocument/2006/relationships/hyperlink" Target="https://drive.google.com/open?id=1mbOmRU9UhnMj1e3Ac0UBN7MiyAPrul9H" TargetMode="External"/><Relationship Id="rId1035" Type="http://schemas.openxmlformats.org/officeDocument/2006/relationships/hyperlink" Target="https://drive.google.com/open?id=1IHVQgptCrqasjC2MtWHRxoLSqS2vYlGj" TargetMode="External"/><Relationship Id="rId1242" Type="http://schemas.openxmlformats.org/officeDocument/2006/relationships/hyperlink" Target="https://drive.google.com/open?id=1EEugIlYOg-f6zlbA_qI6CGXYr0wxG79G" TargetMode="External"/><Relationship Id="rId251" Type="http://schemas.openxmlformats.org/officeDocument/2006/relationships/hyperlink" Target="https://drive.google.com/open?id=18YABECxIIVf4ZhToxUTtCfAumeIRvHyI" TargetMode="External"/><Relationship Id="rId489" Type="http://schemas.openxmlformats.org/officeDocument/2006/relationships/hyperlink" Target="https://drive.google.com/open?id=1Q5gyEZfKzPBc5ZpfxbJO8DLThEJcbhWY" TargetMode="External"/><Relationship Id="rId696" Type="http://schemas.openxmlformats.org/officeDocument/2006/relationships/hyperlink" Target="https://drive.google.com/open?id=1TM1vT46hVPIrlLXY41qnHHodBkLhjL-q" TargetMode="External"/><Relationship Id="rId917" Type="http://schemas.openxmlformats.org/officeDocument/2006/relationships/hyperlink" Target="https://drive.google.com/open?id=1V0spmarOOkCwTwk2zmkwXOksdHP_TnLF" TargetMode="External"/><Relationship Id="rId1102" Type="http://schemas.openxmlformats.org/officeDocument/2006/relationships/hyperlink" Target="https://drive.google.com/open?id=13a6xT-anbNLEW_1cU9CxpbQGh4c1-R-8" TargetMode="External"/><Relationship Id="rId46" Type="http://schemas.openxmlformats.org/officeDocument/2006/relationships/hyperlink" Target="https://drive.google.com/open?id=1NfJYUhD6vu9nHpH_RKdwLn5Viip3ZwP5" TargetMode="External"/><Relationship Id="rId349" Type="http://schemas.openxmlformats.org/officeDocument/2006/relationships/hyperlink" Target="https://drive.google.com/open?id=1teVeQvKnkxgPoK2cZ4BZQLcDbAMe9Lxv" TargetMode="External"/><Relationship Id="rId556" Type="http://schemas.openxmlformats.org/officeDocument/2006/relationships/hyperlink" Target="https://drive.google.com/open?id=1-mXPqR0BOmaZwqXMfMy1MvUJ7ZoJp7VF" TargetMode="External"/><Relationship Id="rId763" Type="http://schemas.openxmlformats.org/officeDocument/2006/relationships/hyperlink" Target="https://drive.google.com/open?id=1-Ciet1dyr5mlTQUrTE734hejb_EwOLMq" TargetMode="External"/><Relationship Id="rId1186" Type="http://schemas.openxmlformats.org/officeDocument/2006/relationships/hyperlink" Target="https://drive.google.com/open?id=1x6q3CgeCfCNwUZclyHBddI26fJN6ZZjg" TargetMode="External"/><Relationship Id="rId111" Type="http://schemas.openxmlformats.org/officeDocument/2006/relationships/hyperlink" Target="https://drive.google.com/open?id=1VjFyiKdCiVqPzTnnl1Qv7yCfhWKIqAaK" TargetMode="External"/><Relationship Id="rId195" Type="http://schemas.openxmlformats.org/officeDocument/2006/relationships/hyperlink" Target="https://drive.google.com/open?id=1jLASRRonxh69lszOjDeikVavOpYGVWAA" TargetMode="External"/><Relationship Id="rId209" Type="http://schemas.openxmlformats.org/officeDocument/2006/relationships/hyperlink" Target="https://drive.google.com/open?id=1xB25eZbaj9Vaiw8nveptDisOGPbc3JXd" TargetMode="External"/><Relationship Id="rId416" Type="http://schemas.openxmlformats.org/officeDocument/2006/relationships/hyperlink" Target="https://drive.google.com/open?id=1xD4GnQ_DwxqjLUaJxYF8fFY8w7cJ7T4M" TargetMode="External"/><Relationship Id="rId970" Type="http://schemas.openxmlformats.org/officeDocument/2006/relationships/hyperlink" Target="https://drive.google.com/open?id=17H9612c1oa8J6JlQ5v2_5MFrt3uyhOfr" TargetMode="External"/><Relationship Id="rId1046" Type="http://schemas.openxmlformats.org/officeDocument/2006/relationships/hyperlink" Target="https://drive.google.com/open?id=1-BC9yK0Bm8DwW7WT3zCp3DRWi5FwBsrd" TargetMode="External"/><Relationship Id="rId1253" Type="http://schemas.openxmlformats.org/officeDocument/2006/relationships/hyperlink" Target="https://drive.google.com/open?id=1rqFQ-63kJazg9Uyg0Jym7j80nZnUglPy" TargetMode="External"/><Relationship Id="rId623" Type="http://schemas.openxmlformats.org/officeDocument/2006/relationships/hyperlink" Target="https://drive.google.com/open?id=1K2NfBDFrHh4cN-5QuF7hJUIYRpARfO73" TargetMode="External"/><Relationship Id="rId830" Type="http://schemas.openxmlformats.org/officeDocument/2006/relationships/hyperlink" Target="https://drive.google.com/open?id=1sBKtmKmyKUTtQ9THxd3hY0c4C-QqVEHH" TargetMode="External"/><Relationship Id="rId928" Type="http://schemas.openxmlformats.org/officeDocument/2006/relationships/hyperlink" Target="https://drive.google.com/open?id=1etDF0Jg6IWqVnyUn_1aqS78rcM8onOLP" TargetMode="External"/><Relationship Id="rId57" Type="http://schemas.openxmlformats.org/officeDocument/2006/relationships/hyperlink" Target="https://drive.google.com/open?id=1XXmyiUhR_oFSYottEIMoOJsKxwXx4jlI" TargetMode="External"/><Relationship Id="rId262" Type="http://schemas.openxmlformats.org/officeDocument/2006/relationships/hyperlink" Target="https://drive.google.com/open?id=1CQisGryiw7FxdrIuNrRgDsJr1CXJSuQt" TargetMode="External"/><Relationship Id="rId567" Type="http://schemas.openxmlformats.org/officeDocument/2006/relationships/hyperlink" Target="https://drive.google.com/open?id=14BueM2JPAWozHYKykmq84vh7X6-tNJFU" TargetMode="External"/><Relationship Id="rId1113" Type="http://schemas.openxmlformats.org/officeDocument/2006/relationships/hyperlink" Target="https://drive.google.com/open?id=1bm7GSIXpzAZpqC1ATkUbutqdzq8eJory" TargetMode="External"/><Relationship Id="rId1197" Type="http://schemas.openxmlformats.org/officeDocument/2006/relationships/hyperlink" Target="https://drive.google.com/open?id=1FLjJXLnRdpa9I8MBM6ZQdF7SrKAwW6Bk" TargetMode="External"/><Relationship Id="rId122" Type="http://schemas.openxmlformats.org/officeDocument/2006/relationships/hyperlink" Target="https://drive.google.com/open?id=1XJtGAYi4gV_tUjGqCb4qaJgZrocDfhK7" TargetMode="External"/><Relationship Id="rId774" Type="http://schemas.openxmlformats.org/officeDocument/2006/relationships/hyperlink" Target="https://drive.google.com/open?id=1pkb0v1lzbrfJg5vCyuYi6WouE3QTzLR8" TargetMode="External"/><Relationship Id="rId981" Type="http://schemas.openxmlformats.org/officeDocument/2006/relationships/hyperlink" Target="https://drive.google.com/open?id=1WhpufWxeZDSW-VlUsugnTqWG2-_U8cV1" TargetMode="External"/><Relationship Id="rId1057" Type="http://schemas.openxmlformats.org/officeDocument/2006/relationships/hyperlink" Target="https://drive.google.com/open?id=1WFVBDO4pIZncRN9NwFQzCox3yRE57eIN" TargetMode="External"/><Relationship Id="rId427" Type="http://schemas.openxmlformats.org/officeDocument/2006/relationships/hyperlink" Target="https://drive.google.com/open?id=10ZzFlVTxL7Y8SOcNk8CGbkjtQMLBoVyi" TargetMode="External"/><Relationship Id="rId634" Type="http://schemas.openxmlformats.org/officeDocument/2006/relationships/hyperlink" Target="https://drive.google.com/open?id=1L8r8ppUS8S5-DrYEa5168cWLieUMaWuq" TargetMode="External"/><Relationship Id="rId841" Type="http://schemas.openxmlformats.org/officeDocument/2006/relationships/hyperlink" Target="https://drive.google.com/open?id=1cfwjNq8I0TmiuW-qScwF4__gQZbF8Moh" TargetMode="External"/><Relationship Id="rId273" Type="http://schemas.openxmlformats.org/officeDocument/2006/relationships/hyperlink" Target="https://drive.google.com/open?id=1PJBsplG6Hnd4sWTbiDGAlTIs4qBXOgGJ" TargetMode="External"/><Relationship Id="rId480" Type="http://schemas.openxmlformats.org/officeDocument/2006/relationships/hyperlink" Target="https://drive.google.com/open?id=1pV3dCYZAj-pE5bgCdYuZjTNK9r2yHBLF" TargetMode="External"/><Relationship Id="rId701" Type="http://schemas.openxmlformats.org/officeDocument/2006/relationships/hyperlink" Target="https://drive.google.com/open?id=1-hb-A2JShzXGc0FIJFiIy6FG6qh1eqGk" TargetMode="External"/><Relationship Id="rId939" Type="http://schemas.openxmlformats.org/officeDocument/2006/relationships/hyperlink" Target="https://drive.google.com/open?id=1i-hHqujFgTa7XcnC4VkcWos2AzaivvAI" TargetMode="External"/><Relationship Id="rId1124" Type="http://schemas.openxmlformats.org/officeDocument/2006/relationships/hyperlink" Target="https://drive.google.com/open?id=1Kmxj2-g-HXDL-EFtrC9jd81azp08yS6C" TargetMode="External"/><Relationship Id="rId68" Type="http://schemas.openxmlformats.org/officeDocument/2006/relationships/hyperlink" Target="https://drive.google.com/open?id=1bTPNgAlNUc0SAVKyLYK6-o9csORCRq9E" TargetMode="External"/><Relationship Id="rId133" Type="http://schemas.openxmlformats.org/officeDocument/2006/relationships/hyperlink" Target="https://drive.google.com/open?id=1nmo86xxLFnP7BolDDcSIBSjsYr23dU6C" TargetMode="External"/><Relationship Id="rId340" Type="http://schemas.openxmlformats.org/officeDocument/2006/relationships/hyperlink" Target="https://drive.google.com/open?id=1aVJPNkyxt72OWW4oZI0YmF6HPgd6Zy1_" TargetMode="External"/><Relationship Id="rId578" Type="http://schemas.openxmlformats.org/officeDocument/2006/relationships/hyperlink" Target="https://drive.google.com/open?id=1MFZGl7XMlI44-QYpHzglpCtoExUefhQd" TargetMode="External"/><Relationship Id="rId785" Type="http://schemas.openxmlformats.org/officeDocument/2006/relationships/hyperlink" Target="https://drive.google.com/open?id=1tuS1_J4QOOa3Hiq6sgoTzPfHHUPDqRYw" TargetMode="External"/><Relationship Id="rId992" Type="http://schemas.openxmlformats.org/officeDocument/2006/relationships/hyperlink" Target="https://drive.google.com/open?id=1_6HbNfFmT2pxaJ4g23RuvpqXLoeK_Fb1" TargetMode="External"/><Relationship Id="rId200" Type="http://schemas.openxmlformats.org/officeDocument/2006/relationships/hyperlink" Target="https://drive.google.com/open?id=1bZGCiT0RJPsOHLgyfOu2vecfRze4hWHz" TargetMode="External"/><Relationship Id="rId438" Type="http://schemas.openxmlformats.org/officeDocument/2006/relationships/hyperlink" Target="https://drive.google.com/open?id=1FOBj-CJS_SFfIrg2n6_UXowvXyYthhtQ" TargetMode="External"/><Relationship Id="rId645" Type="http://schemas.openxmlformats.org/officeDocument/2006/relationships/hyperlink" Target="https://drive.google.com/open?id=1_dzaRlymbqO_J7lNRGkF7Ga1qICe0WQq" TargetMode="External"/><Relationship Id="rId852" Type="http://schemas.openxmlformats.org/officeDocument/2006/relationships/hyperlink" Target="https://drive.google.com/open?id=1GzrYUBwZKFdPE8ndDFzSLjBjawdjvL6H" TargetMode="External"/><Relationship Id="rId1068" Type="http://schemas.openxmlformats.org/officeDocument/2006/relationships/hyperlink" Target="https://drive.google.com/open?id=1fXsmoPwESAxZ_td0lMmIDrFFFyRpNQIO" TargetMode="External"/><Relationship Id="rId284" Type="http://schemas.openxmlformats.org/officeDocument/2006/relationships/hyperlink" Target="https://drive.google.com/open?id=19ceLu-U4vGjH724C5RDV7tR8hr2Ot5Z7" TargetMode="External"/><Relationship Id="rId491" Type="http://schemas.openxmlformats.org/officeDocument/2006/relationships/hyperlink" Target="https://drive.google.com/open?id=1mKvYKRkaD_6LgFXFWfElOye2zeFeAf8F" TargetMode="External"/><Relationship Id="rId505" Type="http://schemas.openxmlformats.org/officeDocument/2006/relationships/hyperlink" Target="https://drive.google.com/open?id=1MRFIvT2a7MbpVW9iWmNZPjjKo6Z_NFHo" TargetMode="External"/><Relationship Id="rId712" Type="http://schemas.openxmlformats.org/officeDocument/2006/relationships/hyperlink" Target="https://drive.google.com/open?id=1nUtr12VhlmX2Vw8DpDOjSI8Ba7_xUwm8" TargetMode="External"/><Relationship Id="rId1135" Type="http://schemas.openxmlformats.org/officeDocument/2006/relationships/hyperlink" Target="https://drive.google.com/open?id=1_PWyWMWPd2aS2hAmr0U49jVLwc0-Bo_D" TargetMode="External"/><Relationship Id="rId79" Type="http://schemas.openxmlformats.org/officeDocument/2006/relationships/hyperlink" Target="https://drive.google.com/open?id=1LnzcJsL1CVvU69Pt5nrqQ7DLXsmDdQ6O" TargetMode="External"/><Relationship Id="rId144" Type="http://schemas.openxmlformats.org/officeDocument/2006/relationships/hyperlink" Target="https://drive.google.com/open?id=1og9vzEHpVyUdPZHHPhxiXipcZpj3WeYL" TargetMode="External"/><Relationship Id="rId589" Type="http://schemas.openxmlformats.org/officeDocument/2006/relationships/hyperlink" Target="https://drive.google.com/open?id=1MfWRRsZzZqRjRiU5J6Akt859NdTVSw06" TargetMode="External"/><Relationship Id="rId796" Type="http://schemas.openxmlformats.org/officeDocument/2006/relationships/hyperlink" Target="https://drive.google.com/open?id=1uDhlPfERS-B4D8ck7ALNQgO35pbEA3bF" TargetMode="External"/><Relationship Id="rId1202" Type="http://schemas.openxmlformats.org/officeDocument/2006/relationships/hyperlink" Target="https://drive.google.com/open?id=1zKdWFcB_fXqwHxmsOH4rSnVagjKun9Pw" TargetMode="External"/><Relationship Id="rId351" Type="http://schemas.openxmlformats.org/officeDocument/2006/relationships/hyperlink" Target="https://drive.google.com/open?id=1vM7CE9t45D1zVKTv_nN1Sl8NgF0nvaKN" TargetMode="External"/><Relationship Id="rId449" Type="http://schemas.openxmlformats.org/officeDocument/2006/relationships/hyperlink" Target="https://drive.google.com/open?id=1sBH4U539CsU4R91SLQV138bzQ890RZ9B" TargetMode="External"/><Relationship Id="rId656" Type="http://schemas.openxmlformats.org/officeDocument/2006/relationships/hyperlink" Target="https://drive.google.com/open?id=1mMSNihYsEb94hD2XLPqXJubWyhBTMpra" TargetMode="External"/><Relationship Id="rId863" Type="http://schemas.openxmlformats.org/officeDocument/2006/relationships/hyperlink" Target="https://drive.google.com/open?id=1lwCNcXeUzPe_H883-CdWrdoPcBoPMizK" TargetMode="External"/><Relationship Id="rId1079" Type="http://schemas.openxmlformats.org/officeDocument/2006/relationships/hyperlink" Target="https://drive.google.com/open?id=1h6qJ3Oy4aG4OLKKQ5bvCgj2hopNsJrSd" TargetMode="External"/><Relationship Id="rId211" Type="http://schemas.openxmlformats.org/officeDocument/2006/relationships/hyperlink" Target="https://drive.google.com/open?id=1_G6hWX8unQ9Igl9lGAqaEA_I8IedYI3z" TargetMode="External"/><Relationship Id="rId295" Type="http://schemas.openxmlformats.org/officeDocument/2006/relationships/hyperlink" Target="https://drive.google.com/open?id=1rnzoHGD_-HxQKIMIKdTp8olBmZspIXw5" TargetMode="External"/><Relationship Id="rId309" Type="http://schemas.openxmlformats.org/officeDocument/2006/relationships/hyperlink" Target="https://drive.google.com/open?id=1jevEfvHDUB3Ta6ZINIULoZAqvfXwcjtI" TargetMode="External"/><Relationship Id="rId516" Type="http://schemas.openxmlformats.org/officeDocument/2006/relationships/hyperlink" Target="https://drive.google.com/open?id=1LNI6b4ktxsZzBTtpoqDqjV8xkCHdXJYL" TargetMode="External"/><Relationship Id="rId1146" Type="http://schemas.openxmlformats.org/officeDocument/2006/relationships/hyperlink" Target="https://drive.google.com/open?id=182wNB88HNx7aX61dxgw7Xp81DBrQBszw" TargetMode="External"/><Relationship Id="rId723" Type="http://schemas.openxmlformats.org/officeDocument/2006/relationships/hyperlink" Target="https://drive.google.com/open?id=1blOknRrS5Jgrv53GNIVeepDW2gmCe--N" TargetMode="External"/><Relationship Id="rId930" Type="http://schemas.openxmlformats.org/officeDocument/2006/relationships/hyperlink" Target="https://drive.google.com/open?id=1QEYGheP69wUhy8zOrLWBBFheLxmLc9pu" TargetMode="External"/><Relationship Id="rId1006" Type="http://schemas.openxmlformats.org/officeDocument/2006/relationships/hyperlink" Target="https://drive.google.com/open?id=1-FyJ6BgTE0QQTnz-mXYscIaZWa6Hy9Rh" TargetMode="External"/><Relationship Id="rId155" Type="http://schemas.openxmlformats.org/officeDocument/2006/relationships/hyperlink" Target="https://drive.google.com/open?id=1VfZAZdDyFDbrn6cntHB16dFr7un62f0K" TargetMode="External"/><Relationship Id="rId362" Type="http://schemas.openxmlformats.org/officeDocument/2006/relationships/hyperlink" Target="https://drive.google.com/open?id=1UYaDws5tqwrllIoPgSPpPTzSsxJfHOm7" TargetMode="External"/><Relationship Id="rId1213" Type="http://schemas.openxmlformats.org/officeDocument/2006/relationships/hyperlink" Target="https://drive.google.com/open?id=13v6lhNqT73TZyJZ6muu8ttmfwQnztK7e" TargetMode="External"/><Relationship Id="rId222" Type="http://schemas.openxmlformats.org/officeDocument/2006/relationships/hyperlink" Target="https://drive.google.com/open?id=1Twp5KMaybRTAQPI1iaKuoE1QXLkAeG1R" TargetMode="External"/><Relationship Id="rId667" Type="http://schemas.openxmlformats.org/officeDocument/2006/relationships/hyperlink" Target="https://drive.google.com/open?id=18RQ8wQwDoWSQW4sBKWj3RihVCcsy4yjZ" TargetMode="External"/><Relationship Id="rId874" Type="http://schemas.openxmlformats.org/officeDocument/2006/relationships/hyperlink" Target="https://drive.google.com/open?id=17R1d5-5pxA0Ba0AC7kKHNbZKHZrnAYss" TargetMode="External"/><Relationship Id="rId17" Type="http://schemas.openxmlformats.org/officeDocument/2006/relationships/hyperlink" Target="https://drive.google.com/open?id=1gPBTU0tr5RF3KELuMnzeS8PiuQi7LJux" TargetMode="External"/><Relationship Id="rId527" Type="http://schemas.openxmlformats.org/officeDocument/2006/relationships/hyperlink" Target="https://drive.google.com/open?id=1cwc9foRx38U2OOaSqjE9TTQJpJUR4djW" TargetMode="External"/><Relationship Id="rId734" Type="http://schemas.openxmlformats.org/officeDocument/2006/relationships/hyperlink" Target="https://drive.google.com/open?id=1CoYdJf0d_DYGOl6usVw774BLv1xbgnRe" TargetMode="External"/><Relationship Id="rId941" Type="http://schemas.openxmlformats.org/officeDocument/2006/relationships/hyperlink" Target="https://drive.google.com/open?id=1X0YPsRlue74T5cMrdnGEtgP6VBdrt0km" TargetMode="External"/><Relationship Id="rId1157" Type="http://schemas.openxmlformats.org/officeDocument/2006/relationships/hyperlink" Target="https://drive.google.com/open?id=1_utwnZlRvbexiB8MVjfx55ExZzZbksm_" TargetMode="External"/><Relationship Id="rId70" Type="http://schemas.openxmlformats.org/officeDocument/2006/relationships/hyperlink" Target="https://drive.google.com/open?id=1C0Ya-YgK9PvZCw4SdHr98Vec1eqDvA8M" TargetMode="External"/><Relationship Id="rId166" Type="http://schemas.openxmlformats.org/officeDocument/2006/relationships/hyperlink" Target="https://drive.google.com/open?id=1iZ6pdTYgqLQGN4RZIoKXYPnHqeRntFzX" TargetMode="External"/><Relationship Id="rId373" Type="http://schemas.openxmlformats.org/officeDocument/2006/relationships/hyperlink" Target="https://drive.google.com/open?id=1aE41IHUfgLFXxUzcxHF8y7ZaWU-6dMRZ" TargetMode="External"/><Relationship Id="rId580" Type="http://schemas.openxmlformats.org/officeDocument/2006/relationships/hyperlink" Target="https://drive.google.com/open?id=1h_TO-sTgcFptcf50OXTslG2EfVTnWSB4" TargetMode="External"/><Relationship Id="rId801" Type="http://schemas.openxmlformats.org/officeDocument/2006/relationships/hyperlink" Target="https://drive.google.com/open?id=14vERjTsgx7f8IqqqZ5rlXtRUTbmVU1y7" TargetMode="External"/><Relationship Id="rId1017" Type="http://schemas.openxmlformats.org/officeDocument/2006/relationships/hyperlink" Target="https://drive.google.com/open?id=1GYXHrYwW_yShDcGtzw3MQiMPDG6GfnAx" TargetMode="External"/><Relationship Id="rId1224" Type="http://schemas.openxmlformats.org/officeDocument/2006/relationships/hyperlink" Target="https://drive.google.com/open?id=1m0eTfXxBQ4KuiBGBiq3flTMFzLjVC3Z9" TargetMode="External"/><Relationship Id="rId1" Type="http://schemas.openxmlformats.org/officeDocument/2006/relationships/hyperlink" Target="https://drive.google.com/open?id=1bPpj-Szm61CClB5Hoyogs-_fX2Zwfb5E" TargetMode="External"/><Relationship Id="rId233" Type="http://schemas.openxmlformats.org/officeDocument/2006/relationships/hyperlink" Target="https://drive.google.com/open?id=1rKRBkLXC-0n61mI_Dj7YGwgNphfDFM4l" TargetMode="External"/><Relationship Id="rId440" Type="http://schemas.openxmlformats.org/officeDocument/2006/relationships/hyperlink" Target="https://drive.google.com/open?id=1x6N9A5xvj3l1952kvKryUl6h8W4FJ96l" TargetMode="External"/><Relationship Id="rId678" Type="http://schemas.openxmlformats.org/officeDocument/2006/relationships/hyperlink" Target="https://drive.google.com/open?id=1SFyMzggOYrOCej4FkZcKyxcOLQXBrPOj" TargetMode="External"/><Relationship Id="rId885" Type="http://schemas.openxmlformats.org/officeDocument/2006/relationships/hyperlink" Target="https://drive.google.com/open?id=1fibKQFgCEvTbZ1PAhh3KKKRUslJQ3stT" TargetMode="External"/><Relationship Id="rId1070" Type="http://schemas.openxmlformats.org/officeDocument/2006/relationships/hyperlink" Target="https://drive.google.com/open?id=1pmQbUCTbCx8IQ3FbAXxrpQON9VStsxN-" TargetMode="External"/><Relationship Id="rId28" Type="http://schemas.openxmlformats.org/officeDocument/2006/relationships/hyperlink" Target="https://drive.google.com/open?id=1c5rIJfwjjMXXtfsZUrh5kpXNqHxjjBZD" TargetMode="External"/><Relationship Id="rId300" Type="http://schemas.openxmlformats.org/officeDocument/2006/relationships/hyperlink" Target="https://drive.google.com/open?id=1RUdqhymomyF5kXLNTAN3RzCIQvNfYwRB" TargetMode="External"/><Relationship Id="rId538" Type="http://schemas.openxmlformats.org/officeDocument/2006/relationships/hyperlink" Target="https://drive.google.com/open?id=19usFsYWjPQJXbuF8xQcnqahwXwxLIFDW" TargetMode="External"/><Relationship Id="rId745" Type="http://schemas.openxmlformats.org/officeDocument/2006/relationships/hyperlink" Target="https://drive.google.com/open?id=1AQw3mMNXiY6hqSOAnhKM1S3rytoMGdec" TargetMode="External"/><Relationship Id="rId952" Type="http://schemas.openxmlformats.org/officeDocument/2006/relationships/hyperlink" Target="https://drive.google.com/open?id=1iTEAtvZfBercHJesinF_8Lc_Gx6uBYzD" TargetMode="External"/><Relationship Id="rId1168" Type="http://schemas.openxmlformats.org/officeDocument/2006/relationships/hyperlink" Target="https://drive.google.com/open?id=1kfIoJ2kNB57znE_IUX8uFPbEov-BslJO" TargetMode="External"/><Relationship Id="rId81" Type="http://schemas.openxmlformats.org/officeDocument/2006/relationships/hyperlink" Target="https://drive.google.com/open?id=1T2MhnNKDTSCvujyca8UYAxNjsKxAQroF" TargetMode="External"/><Relationship Id="rId177" Type="http://schemas.openxmlformats.org/officeDocument/2006/relationships/hyperlink" Target="https://drive.google.com/open?id=1PabGAOdkTYkN24bISK9lcl7A6aHD0j15" TargetMode="External"/><Relationship Id="rId384" Type="http://schemas.openxmlformats.org/officeDocument/2006/relationships/hyperlink" Target="https://drive.google.com/open?id=1yZ-6xLd0DeHWozgsnfMgai7HDBRm0xLW" TargetMode="External"/><Relationship Id="rId591" Type="http://schemas.openxmlformats.org/officeDocument/2006/relationships/hyperlink" Target="https://drive.google.com/open?id=1uRkJoL8a427wRXKLculD4eqPuSKEKN7S" TargetMode="External"/><Relationship Id="rId605" Type="http://schemas.openxmlformats.org/officeDocument/2006/relationships/hyperlink" Target="https://drive.google.com/open?id=1ik8rS8-FKwXAote9J5tcBc2yA80_AfRp" TargetMode="External"/><Relationship Id="rId812" Type="http://schemas.openxmlformats.org/officeDocument/2006/relationships/hyperlink" Target="https://drive.google.com/open?id=1nRtNkdF7ZtK9u82WBi0DKKNPJugxBgQD" TargetMode="External"/><Relationship Id="rId1028" Type="http://schemas.openxmlformats.org/officeDocument/2006/relationships/hyperlink" Target="https://drive.google.com/open?id=1YhGLTeTefbvnTodbHBxPRPsZ2BQyTamj" TargetMode="External"/><Relationship Id="rId1235" Type="http://schemas.openxmlformats.org/officeDocument/2006/relationships/hyperlink" Target="https://drive.google.com/open?id=1tG0abyWyzm65mrLp7vJR6_JrmqIZrJhF" TargetMode="External"/><Relationship Id="rId244" Type="http://schemas.openxmlformats.org/officeDocument/2006/relationships/hyperlink" Target="https://drive.google.com/open?id=10kQLw3Amm8oSsc8MiGZp-QXAeIGZXnNM" TargetMode="External"/><Relationship Id="rId689" Type="http://schemas.openxmlformats.org/officeDocument/2006/relationships/hyperlink" Target="https://drive.google.com/open?id=13AA37OJ-cQdYIXlY4AJ_SVAvfB1Hvx2r" TargetMode="External"/><Relationship Id="rId896" Type="http://schemas.openxmlformats.org/officeDocument/2006/relationships/hyperlink" Target="https://drive.google.com/open?id=1T9l5BJbwuoN25dSCRA6PvW-Yz5zZZlSP" TargetMode="External"/><Relationship Id="rId1081" Type="http://schemas.openxmlformats.org/officeDocument/2006/relationships/hyperlink" Target="https://drive.google.com/open?id=1a18jV5TiN5o0qhqw-dHcnzzJ31lrAwLy" TargetMode="External"/><Relationship Id="rId39" Type="http://schemas.openxmlformats.org/officeDocument/2006/relationships/hyperlink" Target="https://drive.google.com/open?id=1HgQguP2dpHt_7f15LJZfjlF-GZIYHAB-" TargetMode="External"/><Relationship Id="rId451" Type="http://schemas.openxmlformats.org/officeDocument/2006/relationships/hyperlink" Target="https://drive.google.com/open?id=1856Q8WWFFxfP8g7-tsfxljOcDqBUrYSo" TargetMode="External"/><Relationship Id="rId549" Type="http://schemas.openxmlformats.org/officeDocument/2006/relationships/hyperlink" Target="https://drive.google.com/open?id=10UiWBXmtXE6rN1vZae6BNOE4nnwOV4P9" TargetMode="External"/><Relationship Id="rId756" Type="http://schemas.openxmlformats.org/officeDocument/2006/relationships/hyperlink" Target="https://drive.google.com/open?id=1qwc-5Jx6Sfw07PuLGUpAzN-osuragFiu" TargetMode="External"/><Relationship Id="rId1179" Type="http://schemas.openxmlformats.org/officeDocument/2006/relationships/hyperlink" Target="https://drive.google.com/open?id=19yGy5jBgV5PdQHS1PXx2-a_1uJ2rb5Sp" TargetMode="External"/><Relationship Id="rId104" Type="http://schemas.openxmlformats.org/officeDocument/2006/relationships/hyperlink" Target="https://drive.google.com/open?id=1ACHJsQI_mg8ZcZQbpJLygN_Ys9b-sJ83" TargetMode="External"/><Relationship Id="rId188" Type="http://schemas.openxmlformats.org/officeDocument/2006/relationships/hyperlink" Target="https://drive.google.com/open?id=1qAgTbM7pMW7CSyCZdOsNX5mgKsZS8v53" TargetMode="External"/><Relationship Id="rId311" Type="http://schemas.openxmlformats.org/officeDocument/2006/relationships/hyperlink" Target="https://drive.google.com/open?id=1sLiGrDnV7IG4h0Znjc3mMTXX-KThElYX" TargetMode="External"/><Relationship Id="rId395" Type="http://schemas.openxmlformats.org/officeDocument/2006/relationships/hyperlink" Target="https://drive.google.com/open?id=1_U7KBemuZk5WZCbdiVQS2XWQVE3Czd46" TargetMode="External"/><Relationship Id="rId409" Type="http://schemas.openxmlformats.org/officeDocument/2006/relationships/hyperlink" Target="https://drive.google.com/open?id=1ITJV2AkhvbptLlbSPuoZvJm_vMqP_1jQ" TargetMode="External"/><Relationship Id="rId963" Type="http://schemas.openxmlformats.org/officeDocument/2006/relationships/hyperlink" Target="https://drive.google.com/open?id=1NF5oj00wXUu_QP7ptnhNpaVkym-MYmnJ" TargetMode="External"/><Relationship Id="rId1039" Type="http://schemas.openxmlformats.org/officeDocument/2006/relationships/hyperlink" Target="https://drive.google.com/open?id=1B9shDA-nQdLqcoyfNUMlvEMFzkwOFw5T" TargetMode="External"/><Relationship Id="rId1246" Type="http://schemas.openxmlformats.org/officeDocument/2006/relationships/hyperlink" Target="https://drive.google.com/open?id=1miIJGN1c0lGzv9Siln_-YZH9Gv5_uQJj" TargetMode="External"/><Relationship Id="rId92" Type="http://schemas.openxmlformats.org/officeDocument/2006/relationships/hyperlink" Target="https://drive.google.com/open?id=1F-IPTAkj-EQcqLzqNObho9l6DdrXGI26" TargetMode="External"/><Relationship Id="rId616" Type="http://schemas.openxmlformats.org/officeDocument/2006/relationships/hyperlink" Target="https://drive.google.com/open?id=1XgeKvYKiEQ9qDnQwQNJB1o5QAjTOlzW7" TargetMode="External"/><Relationship Id="rId823" Type="http://schemas.openxmlformats.org/officeDocument/2006/relationships/hyperlink" Target="https://drive.google.com/open?id=12bQT5GdaKFB-d-YNzazPVw_OC6G22VoA" TargetMode="External"/><Relationship Id="rId255" Type="http://schemas.openxmlformats.org/officeDocument/2006/relationships/hyperlink" Target="https://drive.google.com/open?id=1A4vwMFf4UDBqegwxjmFOTtgtUEMIED7K" TargetMode="External"/><Relationship Id="rId462" Type="http://schemas.openxmlformats.org/officeDocument/2006/relationships/hyperlink" Target="https://drive.google.com/open?id=1lwOP_mrSq1s2GMWzTBodQADxIirLGyqH" TargetMode="External"/><Relationship Id="rId1092" Type="http://schemas.openxmlformats.org/officeDocument/2006/relationships/hyperlink" Target="https://drive.google.com/open?id=1SFHiD6k1p8V83gie1_I_5Rttr0zm6YJV" TargetMode="External"/><Relationship Id="rId1106" Type="http://schemas.openxmlformats.org/officeDocument/2006/relationships/hyperlink" Target="https://drive.google.com/open?id=1oTrIrrlXxhzKIAWsj_dQ-vwKh1kOmS15" TargetMode="External"/><Relationship Id="rId115" Type="http://schemas.openxmlformats.org/officeDocument/2006/relationships/hyperlink" Target="https://drive.google.com/open?id=17z34jeAVECVbFQOSdG-NsD2TpB9FFjKF" TargetMode="External"/><Relationship Id="rId322" Type="http://schemas.openxmlformats.org/officeDocument/2006/relationships/hyperlink" Target="https://drive.google.com/open?id=1Yt6qzuVkshC_R2BZuCdMiJUafyPOk7eu" TargetMode="External"/><Relationship Id="rId767" Type="http://schemas.openxmlformats.org/officeDocument/2006/relationships/hyperlink" Target="https://drive.google.com/open?id=1wcVsQEiyd7rurf2oPJIRwoAOldB0ygs_" TargetMode="External"/><Relationship Id="rId974" Type="http://schemas.openxmlformats.org/officeDocument/2006/relationships/hyperlink" Target="https://drive.google.com/open?id=1A9kNyREGH0yLDL85r6IiZiy6P_Sbubx-" TargetMode="External"/><Relationship Id="rId199" Type="http://schemas.openxmlformats.org/officeDocument/2006/relationships/hyperlink" Target="https://drive.google.com/open?id=1MU3m7L2_Y96zIbwGwgqV8rzOMwXVON8Y" TargetMode="External"/><Relationship Id="rId627" Type="http://schemas.openxmlformats.org/officeDocument/2006/relationships/hyperlink" Target="https://drive.google.com/open?id=1Td9BnicvMI19o756U06BofN2KnVzo6iu" TargetMode="External"/><Relationship Id="rId834" Type="http://schemas.openxmlformats.org/officeDocument/2006/relationships/hyperlink" Target="https://drive.google.com/open?id=1lR387YkF6fnLBzIWKfaebgWEK3w2ghTS" TargetMode="External"/><Relationship Id="rId266" Type="http://schemas.openxmlformats.org/officeDocument/2006/relationships/hyperlink" Target="https://drive.google.com/open?id=11QESkSZ2oPwz6LHqkzJPBp4HwtUmiexb" TargetMode="External"/><Relationship Id="rId473" Type="http://schemas.openxmlformats.org/officeDocument/2006/relationships/hyperlink" Target="https://drive.google.com/open?id=1-fSe6ljPODfmDnuw0i9YLGHJuwBMowKW" TargetMode="External"/><Relationship Id="rId680" Type="http://schemas.openxmlformats.org/officeDocument/2006/relationships/hyperlink" Target="https://drive.google.com/open?id=15JSU7_gXUwDI3UfcDMiFHfEe-Au3hckc" TargetMode="External"/><Relationship Id="rId901" Type="http://schemas.openxmlformats.org/officeDocument/2006/relationships/hyperlink" Target="https://drive.google.com/open?id=1SxIaVmyhdUjBST4qniI6KnRhn8v588NV" TargetMode="External"/><Relationship Id="rId1117" Type="http://schemas.openxmlformats.org/officeDocument/2006/relationships/hyperlink" Target="https://drive.google.com/open?id=1TsAgNadcbKVqAUNt7m14Ni_v17J_WkDu" TargetMode="External"/><Relationship Id="rId30" Type="http://schemas.openxmlformats.org/officeDocument/2006/relationships/hyperlink" Target="https://drive.google.com/open?id=1sczyMmMeHwOPJ8jN2_L35fVikL4tz7h3" TargetMode="External"/><Relationship Id="rId126" Type="http://schemas.openxmlformats.org/officeDocument/2006/relationships/hyperlink" Target="https://drive.google.com/open?id=1N2PLUOAqwTUASn7HQFeiVTcl-IyWvKt3" TargetMode="External"/><Relationship Id="rId333" Type="http://schemas.openxmlformats.org/officeDocument/2006/relationships/hyperlink" Target="https://drive.google.com/open?id=1DpLlA7ntdcCv94TurUbt9tzkKJRmtR6W" TargetMode="External"/><Relationship Id="rId540" Type="http://schemas.openxmlformats.org/officeDocument/2006/relationships/hyperlink" Target="https://drive.google.com/open?id=1lIBbvy7zZAFYjIci8_JwV4AJICHWQF25" TargetMode="External"/><Relationship Id="rId778" Type="http://schemas.openxmlformats.org/officeDocument/2006/relationships/hyperlink" Target="https://drive.google.com/open?id=1EdL7O5x6QUNe-ATyS9ongH7RopQmrCyv" TargetMode="External"/><Relationship Id="rId985" Type="http://schemas.openxmlformats.org/officeDocument/2006/relationships/hyperlink" Target="https://drive.google.com/open?id=1bD4ek9wu0pMJwbGQnn-YRLx1uc2D04am" TargetMode="External"/><Relationship Id="rId1170" Type="http://schemas.openxmlformats.org/officeDocument/2006/relationships/hyperlink" Target="https://drive.google.com/open?id=1zC1Sa_9_DWC_zTAgsOY1vjuqBApLqT8O" TargetMode="External"/><Relationship Id="rId638" Type="http://schemas.openxmlformats.org/officeDocument/2006/relationships/hyperlink" Target="https://drive.google.com/open?id=1mavV4_jGLtedbiDa3zq8Rjlnj_S2J7rR" TargetMode="External"/><Relationship Id="rId845" Type="http://schemas.openxmlformats.org/officeDocument/2006/relationships/hyperlink" Target="https://drive.google.com/open?id=1sHGrvmZYCKD_A0mEbqo2f2aUtuFPdfEK" TargetMode="External"/><Relationship Id="rId1030" Type="http://schemas.openxmlformats.org/officeDocument/2006/relationships/hyperlink" Target="https://drive.google.com/open?id=1UHtE9L3YrLcV9AqR3sf3d0emJlUA3O4Y" TargetMode="External"/><Relationship Id="rId277" Type="http://schemas.openxmlformats.org/officeDocument/2006/relationships/hyperlink" Target="https://drive.google.com/open?id=1rNdK3JD14ZVbj-Cz6xqlraQy-WNL2iDC" TargetMode="External"/><Relationship Id="rId400" Type="http://schemas.openxmlformats.org/officeDocument/2006/relationships/hyperlink" Target="https://drive.google.com/open?id=19Ygd-wIugzhfAIcSMQkmmQNQASYxIKzc" TargetMode="External"/><Relationship Id="rId484" Type="http://schemas.openxmlformats.org/officeDocument/2006/relationships/hyperlink" Target="https://drive.google.com/open?id=15AVWGF0I_ywFNXJzkJHYeK3ymkBulseE" TargetMode="External"/><Relationship Id="rId705" Type="http://schemas.openxmlformats.org/officeDocument/2006/relationships/hyperlink" Target="https://drive.google.com/open?id=10n621xD449Ok7cSWktljnab0xwAyUSyN" TargetMode="External"/><Relationship Id="rId1128" Type="http://schemas.openxmlformats.org/officeDocument/2006/relationships/hyperlink" Target="https://drive.google.com/open?id=1tVe8QESnaerkhaiciDn3jwK9u71S_aHS" TargetMode="External"/><Relationship Id="rId137" Type="http://schemas.openxmlformats.org/officeDocument/2006/relationships/hyperlink" Target="https://drive.google.com/open?id=1yc3kvivnJknGCinps6-sFUQl21OMyXNa" TargetMode="External"/><Relationship Id="rId344" Type="http://schemas.openxmlformats.org/officeDocument/2006/relationships/hyperlink" Target="https://drive.google.com/open?id=1tSBKQMPAxGt2jLIhSMRiBOihgV1Ly3Xg" TargetMode="External"/><Relationship Id="rId691" Type="http://schemas.openxmlformats.org/officeDocument/2006/relationships/hyperlink" Target="https://drive.google.com/open?id=1HGDmrV1AyFMNnE8cbbHgBEVW9t4Kfi-_" TargetMode="External"/><Relationship Id="rId789" Type="http://schemas.openxmlformats.org/officeDocument/2006/relationships/hyperlink" Target="https://drive.google.com/open?id=1MZ7599oiRcOQp0CodgVK4pOk5nNN66Rq" TargetMode="External"/><Relationship Id="rId912" Type="http://schemas.openxmlformats.org/officeDocument/2006/relationships/hyperlink" Target="https://drive.google.com/open?id=1dsZPEZH9WYdal32ILRfj8SQCojJAftO3" TargetMode="External"/><Relationship Id="rId996" Type="http://schemas.openxmlformats.org/officeDocument/2006/relationships/hyperlink" Target="https://drive.google.com/open?id=1C31gapDi3mREMuvHmF7S-JSBh7FJSMby" TargetMode="External"/><Relationship Id="rId41" Type="http://schemas.openxmlformats.org/officeDocument/2006/relationships/hyperlink" Target="https://drive.google.com/open?id=1PGJIqK7yu3AXnxS49gVVUCFDMuJIZi5N" TargetMode="External"/><Relationship Id="rId551" Type="http://schemas.openxmlformats.org/officeDocument/2006/relationships/hyperlink" Target="https://drive.google.com/open?id=1VFwLWPENj83jC1zsdzhw3kSg_M2KEelZ" TargetMode="External"/><Relationship Id="rId649" Type="http://schemas.openxmlformats.org/officeDocument/2006/relationships/hyperlink" Target="https://drive.google.com/open?id=15uOIgqJj4AkXCWpZy64A0igbBuIeEZNf" TargetMode="External"/><Relationship Id="rId856" Type="http://schemas.openxmlformats.org/officeDocument/2006/relationships/hyperlink" Target="https://drive.google.com/open?id=1_IoV-73QnfWRVb8GYutYiBFYXyxvOtK0" TargetMode="External"/><Relationship Id="rId1181" Type="http://schemas.openxmlformats.org/officeDocument/2006/relationships/hyperlink" Target="https://drive.google.com/open?id=174tJ5tq4cyP7xemUlsCu1JKJ_D-MsKBM" TargetMode="External"/><Relationship Id="rId190" Type="http://schemas.openxmlformats.org/officeDocument/2006/relationships/hyperlink" Target="https://drive.google.com/open?id=1U5otVB2mBoPSlPqTQ7Eh0FQ0CKXNX1sK" TargetMode="External"/><Relationship Id="rId204" Type="http://schemas.openxmlformats.org/officeDocument/2006/relationships/hyperlink" Target="https://drive.google.com/open?id=14OhxDkwzdczKdzq32dlHyv5DV_936xVx" TargetMode="External"/><Relationship Id="rId288" Type="http://schemas.openxmlformats.org/officeDocument/2006/relationships/hyperlink" Target="https://drive.google.com/open?id=1RHaUSR_HCYP3uKCcZwk84XSraSlvb7nn" TargetMode="External"/><Relationship Id="rId411" Type="http://schemas.openxmlformats.org/officeDocument/2006/relationships/hyperlink" Target="https://drive.google.com/open?id=1BjIQ2aQIx20SKBdgBp63UdsvctVp9qUv" TargetMode="External"/><Relationship Id="rId509" Type="http://schemas.openxmlformats.org/officeDocument/2006/relationships/hyperlink" Target="https://drive.google.com/open?id=1gaU5GJhiohPJ6vwiM1PvUN99B7Bn-94s" TargetMode="External"/><Relationship Id="rId1041" Type="http://schemas.openxmlformats.org/officeDocument/2006/relationships/hyperlink" Target="https://drive.google.com/open?id=1TyjFZJI83bikd70cLtWel_mmy9bd3Q0U" TargetMode="External"/><Relationship Id="rId1139" Type="http://schemas.openxmlformats.org/officeDocument/2006/relationships/hyperlink" Target="https://drive.google.com/open?id=1Un6XQ8Cppy1DRPpuGRSMagfhV79gD54e" TargetMode="External"/><Relationship Id="rId495" Type="http://schemas.openxmlformats.org/officeDocument/2006/relationships/hyperlink" Target="https://drive.google.com/open?id=1Gv4S7HuIAS7YFM08pRlXEbQoAhJabRo3" TargetMode="External"/><Relationship Id="rId716" Type="http://schemas.openxmlformats.org/officeDocument/2006/relationships/hyperlink" Target="https://drive.google.com/open?id=1en9rUWNEajzF9K31b3O2cQCcMrOZrViM" TargetMode="External"/><Relationship Id="rId923" Type="http://schemas.openxmlformats.org/officeDocument/2006/relationships/hyperlink" Target="https://drive.google.com/open?id=189CJYydEQ0cG5YyeMstuIa3mPfye1nWf" TargetMode="External"/><Relationship Id="rId52" Type="http://schemas.openxmlformats.org/officeDocument/2006/relationships/hyperlink" Target="https://drive.google.com/open?id=1HLFTwmtcruBH3iRrMKDLtaLOU2J6N7HW" TargetMode="External"/><Relationship Id="rId148" Type="http://schemas.openxmlformats.org/officeDocument/2006/relationships/hyperlink" Target="https://drive.google.com/open?id=1Me5NZhosRZ3RgEd1GW7z8sgWSxbzJhMd" TargetMode="External"/><Relationship Id="rId355" Type="http://schemas.openxmlformats.org/officeDocument/2006/relationships/hyperlink" Target="https://drive.google.com/open?id=1jmYE8Sp2ntU7UR_ZOWxu7RL1_zROlBP_" TargetMode="External"/><Relationship Id="rId562" Type="http://schemas.openxmlformats.org/officeDocument/2006/relationships/hyperlink" Target="https://drive.google.com/open?id=12cFSDH0GuX9HjaeSIOjZeugd06MdvNM8" TargetMode="External"/><Relationship Id="rId1192" Type="http://schemas.openxmlformats.org/officeDocument/2006/relationships/hyperlink" Target="https://drive.google.com/open?id=1Q-NH1QssT65EtjAUP_RzbvILG0Z75t0x" TargetMode="External"/><Relationship Id="rId1206" Type="http://schemas.openxmlformats.org/officeDocument/2006/relationships/hyperlink" Target="https://drive.google.com/open?id=1JhxdlbeN_CzmXPQ4FMnaBFWCfNBr8yKY" TargetMode="External"/><Relationship Id="rId215" Type="http://schemas.openxmlformats.org/officeDocument/2006/relationships/hyperlink" Target="https://drive.google.com/open?id=1TYkS_Unt3lQ6V_TeuK0q8IKzXAl_0xJ_" TargetMode="External"/><Relationship Id="rId422" Type="http://schemas.openxmlformats.org/officeDocument/2006/relationships/hyperlink" Target="https://drive.google.com/open?id=1rQYle3avXXgsmohbqXQdMo2Tafuw4siy" TargetMode="External"/><Relationship Id="rId867" Type="http://schemas.openxmlformats.org/officeDocument/2006/relationships/hyperlink" Target="https://drive.google.com/open?id=15j5YHsntLpLHRKY-37OhUdxiuoKMh1Ss" TargetMode="External"/><Relationship Id="rId1052" Type="http://schemas.openxmlformats.org/officeDocument/2006/relationships/hyperlink" Target="https://drive.google.com/open?id=1pGaHcLz1Kxp5fyGObznPhe6IFHtFAPRW" TargetMode="External"/><Relationship Id="rId299" Type="http://schemas.openxmlformats.org/officeDocument/2006/relationships/hyperlink" Target="https://drive.google.com/open?id=198Ww9sQDZ48OpszgfAFrx7LZfiDwLUGd" TargetMode="External"/><Relationship Id="rId727" Type="http://schemas.openxmlformats.org/officeDocument/2006/relationships/hyperlink" Target="https://drive.google.com/open?id=1-rZ-ZucoaJauNbvzEgG6VPW2Kj9jqGPf" TargetMode="External"/><Relationship Id="rId934" Type="http://schemas.openxmlformats.org/officeDocument/2006/relationships/hyperlink" Target="https://drive.google.com/open?id=1-XTUy194DxBY5b-PjHMi6UqokmdAY1U-" TargetMode="External"/><Relationship Id="rId63" Type="http://schemas.openxmlformats.org/officeDocument/2006/relationships/hyperlink" Target="https://drive.google.com/open?id=1u6F3Innl9bhfEWtOYnGhCExB3Thy8WCK" TargetMode="External"/><Relationship Id="rId159" Type="http://schemas.openxmlformats.org/officeDocument/2006/relationships/hyperlink" Target="https://drive.google.com/open?id=1MUdAGbJj0eL-ot2y8B1P6yb935lzCsRY" TargetMode="External"/><Relationship Id="rId366" Type="http://schemas.openxmlformats.org/officeDocument/2006/relationships/hyperlink" Target="https://drive.google.com/open?id=15cuhP7X0kFiEFjHfzu6A2QaGrxHJQz5l" TargetMode="External"/><Relationship Id="rId573" Type="http://schemas.openxmlformats.org/officeDocument/2006/relationships/hyperlink" Target="https://drive.google.com/open?id=1kTWt5tWYpqueLEaUuuH9ExeoaKGnw0Tt" TargetMode="External"/><Relationship Id="rId780" Type="http://schemas.openxmlformats.org/officeDocument/2006/relationships/hyperlink" Target="https://drive.google.com/open?id=1lHqUFMySWsmygQf12beuuxJ8xf2C4YBR" TargetMode="External"/><Relationship Id="rId1217" Type="http://schemas.openxmlformats.org/officeDocument/2006/relationships/hyperlink" Target="https://drive.google.com/open?id=1w678uCtOKR05632KVvNB2_H4Jqe-K-UV" TargetMode="External"/><Relationship Id="rId226" Type="http://schemas.openxmlformats.org/officeDocument/2006/relationships/hyperlink" Target="https://drive.google.com/open?id=1RqcfWBXUyx1lC4AJlb36lnDHFMu8xFD5" TargetMode="External"/><Relationship Id="rId433" Type="http://schemas.openxmlformats.org/officeDocument/2006/relationships/hyperlink" Target="https://drive.google.com/open?id=1HBe6sKVWo57SYNJmGwuMlghonFnmX4hz" TargetMode="External"/><Relationship Id="rId878" Type="http://schemas.openxmlformats.org/officeDocument/2006/relationships/hyperlink" Target="https://drive.google.com/open?id=1EtAmndjV1WjWOUs-t-ZpOuOAkpO7dBpv" TargetMode="External"/><Relationship Id="rId1063" Type="http://schemas.openxmlformats.org/officeDocument/2006/relationships/hyperlink" Target="https://drive.google.com/open?id=1jxQfaVckqbQ8duBNCdJY081z2FiHksNA" TargetMode="External"/><Relationship Id="rId640" Type="http://schemas.openxmlformats.org/officeDocument/2006/relationships/hyperlink" Target="https://drive.google.com/open?id=1OldC04FdmM2csIvv1gn5hwt0N5DAv9X4" TargetMode="External"/><Relationship Id="rId738" Type="http://schemas.openxmlformats.org/officeDocument/2006/relationships/hyperlink" Target="https://drive.google.com/open?id=1Z3_SMeMwTiNxSFbWgkjzPf1IBT4LDDxF" TargetMode="External"/><Relationship Id="rId945" Type="http://schemas.openxmlformats.org/officeDocument/2006/relationships/hyperlink" Target="https://drive.google.com/open?id=1rvsvrjz4rQ1H_J6K2g8ZXcfdIVgKmS4i" TargetMode="External"/><Relationship Id="rId74" Type="http://schemas.openxmlformats.org/officeDocument/2006/relationships/hyperlink" Target="https://drive.google.com/open?id=1RztzKC3XVHp6ni2NJIQ7tJ5TkfQHiUgG" TargetMode="External"/><Relationship Id="rId377" Type="http://schemas.openxmlformats.org/officeDocument/2006/relationships/hyperlink" Target="https://drive.google.com/open?id=18cv45otgWX0UzKH6ubkONSU0WTqCL9U_" TargetMode="External"/><Relationship Id="rId500" Type="http://schemas.openxmlformats.org/officeDocument/2006/relationships/hyperlink" Target="https://drive.google.com/open?id=1j90coO--xBBbO1M6WnEQRC7haG5fPAZy" TargetMode="External"/><Relationship Id="rId584" Type="http://schemas.openxmlformats.org/officeDocument/2006/relationships/hyperlink" Target="https://drive.google.com/open?id=15DE4ZDiUrX2Yh0qnS6mae8EIl_6JRhlZ" TargetMode="External"/><Relationship Id="rId805" Type="http://schemas.openxmlformats.org/officeDocument/2006/relationships/hyperlink" Target="https://drive.google.com/open?id=1jeTfvZTpcochE1L1fL9_HGGuhuKD17WL" TargetMode="External"/><Relationship Id="rId1130" Type="http://schemas.openxmlformats.org/officeDocument/2006/relationships/hyperlink" Target="https://drive.google.com/open?id=1qNUYhVZ_irfPnJFIeXXc8j7YLkGsy6wj" TargetMode="External"/><Relationship Id="rId1228" Type="http://schemas.openxmlformats.org/officeDocument/2006/relationships/hyperlink" Target="https://drive.google.com/open?id=15loWZ1w5QDUb7jl_6PuxvinuFFhukCE0" TargetMode="External"/><Relationship Id="rId5" Type="http://schemas.openxmlformats.org/officeDocument/2006/relationships/hyperlink" Target="https://drive.google.com/open?id=1rTYXk6FN2wGnozy0PX_ciHE9ImO4l1oZ" TargetMode="External"/><Relationship Id="rId237" Type="http://schemas.openxmlformats.org/officeDocument/2006/relationships/hyperlink" Target="https://drive.google.com/open?id=1nfEdEuIo-1J_YPWH8ZlJfFaGRfruysd5" TargetMode="External"/><Relationship Id="rId791" Type="http://schemas.openxmlformats.org/officeDocument/2006/relationships/hyperlink" Target="https://drive.google.com/open?id=12YkIHmUUVzHgiAy9PugTOerJQrFRbxL2" TargetMode="External"/><Relationship Id="rId889" Type="http://schemas.openxmlformats.org/officeDocument/2006/relationships/hyperlink" Target="https://drive.google.com/open?id=1KGsHSZKpHTiu08VMb-g6JPf8hNEkW2gm" TargetMode="External"/><Relationship Id="rId1074" Type="http://schemas.openxmlformats.org/officeDocument/2006/relationships/hyperlink" Target="https://drive.google.com/open?id=1oGYc2PaVK21rFSSwXf5B-MqsEFfnW4_w" TargetMode="External"/><Relationship Id="rId444" Type="http://schemas.openxmlformats.org/officeDocument/2006/relationships/hyperlink" Target="https://drive.google.com/open?id=1qGk98rQ3khmqNE_adec0gpK31tPJt8kL" TargetMode="External"/><Relationship Id="rId651" Type="http://schemas.openxmlformats.org/officeDocument/2006/relationships/hyperlink" Target="https://drive.google.com/open?id=1UpXYj3H39zDtCwq-P6wIyVFpU2fPcQo2" TargetMode="External"/><Relationship Id="rId749" Type="http://schemas.openxmlformats.org/officeDocument/2006/relationships/hyperlink" Target="https://drive.google.com/open?id=1dO2i7Gzh4USYouY8NLV1TOWk2VZsontY" TargetMode="External"/><Relationship Id="rId290" Type="http://schemas.openxmlformats.org/officeDocument/2006/relationships/hyperlink" Target="https://drive.google.com/open?id=1endl0Go8GLff76ocHMajRIh977yStX0r" TargetMode="External"/><Relationship Id="rId304" Type="http://schemas.openxmlformats.org/officeDocument/2006/relationships/hyperlink" Target="https://drive.google.com/open?id=1hldMmJfcxpGlXTxLGRQEqbAR3zTAGcsT" TargetMode="External"/><Relationship Id="rId388" Type="http://schemas.openxmlformats.org/officeDocument/2006/relationships/hyperlink" Target="https://drive.google.com/open?id=1uW2jHkRMavj2CNm9ayc1VOAhCNsEfw_T" TargetMode="External"/><Relationship Id="rId511" Type="http://schemas.openxmlformats.org/officeDocument/2006/relationships/hyperlink" Target="https://drive.google.com/open?id=1TuU7-9V8ZnXcYqlKxMJMTa61STtcMv_T" TargetMode="External"/><Relationship Id="rId609" Type="http://schemas.openxmlformats.org/officeDocument/2006/relationships/hyperlink" Target="https://drive.google.com/open?id=1lpz0HdRvb8NV3OCSIrNZurGjEFagzL52" TargetMode="External"/><Relationship Id="rId956" Type="http://schemas.openxmlformats.org/officeDocument/2006/relationships/hyperlink" Target="https://drive.google.com/open?id=1ZJYTFBCGW3t4bgiM3jeGlYEV6OnqLJkh" TargetMode="External"/><Relationship Id="rId1141" Type="http://schemas.openxmlformats.org/officeDocument/2006/relationships/hyperlink" Target="https://drive.google.com/open?id=1HR8eCsbbp_GSVxiKq3OtvPxTlOy25POQ" TargetMode="External"/><Relationship Id="rId1239" Type="http://schemas.openxmlformats.org/officeDocument/2006/relationships/hyperlink" Target="https://drive.google.com/open?id=1f202ntPvH433SURMYvOYKlL00KuQ9R7i" TargetMode="External"/><Relationship Id="rId85" Type="http://schemas.openxmlformats.org/officeDocument/2006/relationships/hyperlink" Target="https://drive.google.com/open?id=18YHN2Kje9lWjvtacqHSQtnuOX3YvyqAk" TargetMode="External"/><Relationship Id="rId150" Type="http://schemas.openxmlformats.org/officeDocument/2006/relationships/hyperlink" Target="https://drive.google.com/open?id=1mb29uPVkM8z7pc79EkFjuRJYk7x_NsH1" TargetMode="External"/><Relationship Id="rId595" Type="http://schemas.openxmlformats.org/officeDocument/2006/relationships/hyperlink" Target="https://drive.google.com/open?id=18c7u_or8pO5n6YHqBse2nhgqnbkgaIq0" TargetMode="External"/><Relationship Id="rId816" Type="http://schemas.openxmlformats.org/officeDocument/2006/relationships/hyperlink" Target="https://drive.google.com/open?id=1MzERKqWe1IYoortKzeCk1OcCN2QV9oaN" TargetMode="External"/><Relationship Id="rId1001" Type="http://schemas.openxmlformats.org/officeDocument/2006/relationships/hyperlink" Target="https://drive.google.com/open?id=1EbA-MSLsMnBHdQmrX3OV8YTaupwNCiqt" TargetMode="External"/><Relationship Id="rId248" Type="http://schemas.openxmlformats.org/officeDocument/2006/relationships/hyperlink" Target="https://drive.google.com/open?id=1YqsTF8w74O73eFzfOI6wrbdJUsLUQCo7" TargetMode="External"/><Relationship Id="rId455" Type="http://schemas.openxmlformats.org/officeDocument/2006/relationships/hyperlink" Target="https://drive.google.com/open?id=1VPP7NhXpD7CXszUkbpX5i9_i9-BMqPVG" TargetMode="External"/><Relationship Id="rId662" Type="http://schemas.openxmlformats.org/officeDocument/2006/relationships/hyperlink" Target="https://drive.google.com/open?id=1WprlA3D4DVaEobp5_odpxKOW8PDyxTTA" TargetMode="External"/><Relationship Id="rId1085" Type="http://schemas.openxmlformats.org/officeDocument/2006/relationships/hyperlink" Target="https://drive.google.com/open?id=1PadDntGr5MMnyDzYceXm-yq3ODCxHio8" TargetMode="External"/><Relationship Id="rId12" Type="http://schemas.openxmlformats.org/officeDocument/2006/relationships/hyperlink" Target="https://drive.google.com/open?id=1J4xtBy9QNVmPhDRPx7qpwctHocEbS20u" TargetMode="External"/><Relationship Id="rId108" Type="http://schemas.openxmlformats.org/officeDocument/2006/relationships/hyperlink" Target="https://drive.google.com/open?id=1w06LZH69tHjHd4A2EsDVSEBkdDGTvnZX" TargetMode="External"/><Relationship Id="rId315" Type="http://schemas.openxmlformats.org/officeDocument/2006/relationships/hyperlink" Target="https://drive.google.com/open?id=1EftjmL-NDQGwumacrrLxLX-dheGvSItW" TargetMode="External"/><Relationship Id="rId522" Type="http://schemas.openxmlformats.org/officeDocument/2006/relationships/hyperlink" Target="https://drive.google.com/open?id=1tk3deYnlBT_HQvyVtnWPQhx0VnzLw-kW" TargetMode="External"/><Relationship Id="rId967" Type="http://schemas.openxmlformats.org/officeDocument/2006/relationships/hyperlink" Target="https://drive.google.com/open?id=1-Y8fyHnsya9feSkMV6BdV5LDkOsknqLl" TargetMode="External"/><Relationship Id="rId1152" Type="http://schemas.openxmlformats.org/officeDocument/2006/relationships/hyperlink" Target="https://drive.google.com/open?id=12sxI1VjqxG81GPiEF1C34fFub3sWwJ_H" TargetMode="External"/><Relationship Id="rId96" Type="http://schemas.openxmlformats.org/officeDocument/2006/relationships/hyperlink" Target="https://drive.google.com/open?id=1r89smRNRe2Rn15C7UJrgl5CXl_epPLLl" TargetMode="External"/><Relationship Id="rId161" Type="http://schemas.openxmlformats.org/officeDocument/2006/relationships/hyperlink" Target="https://drive.google.com/open?id=1REuiEnhOT1X4epKiIThcTVouITmneatn" TargetMode="External"/><Relationship Id="rId399" Type="http://schemas.openxmlformats.org/officeDocument/2006/relationships/hyperlink" Target="https://drive.google.com/open?id=1b6wAb3ttgtJQQNJuhGHJB_5qG8r9AqtX" TargetMode="External"/><Relationship Id="rId827" Type="http://schemas.openxmlformats.org/officeDocument/2006/relationships/hyperlink" Target="https://drive.google.com/open?id=1LSivDPmyb79hxjH2u1KNveOlWZqUi0T3" TargetMode="External"/><Relationship Id="rId1012" Type="http://schemas.openxmlformats.org/officeDocument/2006/relationships/hyperlink" Target="https://drive.google.com/open?id=19TnCg5NhYhWP5_nXkdpTDdUTsekbN1Jn" TargetMode="External"/><Relationship Id="rId259" Type="http://schemas.openxmlformats.org/officeDocument/2006/relationships/hyperlink" Target="https://drive.google.com/open?id=1yjJvnvUc78d5Pt5RpP3M8Iu1-gos7ajl" TargetMode="External"/><Relationship Id="rId466" Type="http://schemas.openxmlformats.org/officeDocument/2006/relationships/hyperlink" Target="https://drive.google.com/open?id=1caUCkfIJd3-NASLYcHL9fPJ0jlYXowWd" TargetMode="External"/><Relationship Id="rId673" Type="http://schemas.openxmlformats.org/officeDocument/2006/relationships/hyperlink" Target="https://drive.google.com/open?id=1dNo8f5Zadck6_MwFrvpgfTkyvXw3CIQV" TargetMode="External"/><Relationship Id="rId880" Type="http://schemas.openxmlformats.org/officeDocument/2006/relationships/hyperlink" Target="https://drive.google.com/open?id=1R-pepwMat5iTbdsvumkUoUzwDfySG4h7" TargetMode="External"/><Relationship Id="rId1096" Type="http://schemas.openxmlformats.org/officeDocument/2006/relationships/hyperlink" Target="https://drive.google.com/open?id=1wJ7Ftasu2Qg557C3ps2nFDM-7sB7DE75" TargetMode="External"/><Relationship Id="rId23" Type="http://schemas.openxmlformats.org/officeDocument/2006/relationships/hyperlink" Target="https://drive.google.com/open?id=1aPd9e0ckgGvh8QsqgjQaE0jQXdn4c-pO" TargetMode="External"/><Relationship Id="rId119" Type="http://schemas.openxmlformats.org/officeDocument/2006/relationships/hyperlink" Target="https://drive.google.com/open?id=1TT9QO8w34onEB83MthPtsxWRvVjBjS24" TargetMode="External"/><Relationship Id="rId326" Type="http://schemas.openxmlformats.org/officeDocument/2006/relationships/hyperlink" Target="https://drive.google.com/open?id=1cRP1eJaxpoDcx0wnmMJxLIlCRHkje5Vo" TargetMode="External"/><Relationship Id="rId533" Type="http://schemas.openxmlformats.org/officeDocument/2006/relationships/hyperlink" Target="https://drive.google.com/open?id=1POTSd8KRPk892pkuttvy3UVpfAtFlAwf" TargetMode="External"/><Relationship Id="rId978" Type="http://schemas.openxmlformats.org/officeDocument/2006/relationships/hyperlink" Target="https://drive.google.com/open?id=1NtoST6K9oQC4Gq-lC3cZ6taV6qq2YKY3" TargetMode="External"/><Relationship Id="rId1163" Type="http://schemas.openxmlformats.org/officeDocument/2006/relationships/hyperlink" Target="https://drive.google.com/open?id=1poHYfELC3W0XUl9zadA6MMubLtEUc2XR" TargetMode="External"/><Relationship Id="rId740" Type="http://schemas.openxmlformats.org/officeDocument/2006/relationships/hyperlink" Target="https://drive.google.com/open?id=1Zmv0pbvytBv__aLOHzeoDpxFwoaE6qxZ" TargetMode="External"/><Relationship Id="rId838" Type="http://schemas.openxmlformats.org/officeDocument/2006/relationships/hyperlink" Target="https://drive.google.com/open?id=1RlzlSeeegp0PFy44hF5QSTC7kTvGkrsG" TargetMode="External"/><Relationship Id="rId1023" Type="http://schemas.openxmlformats.org/officeDocument/2006/relationships/hyperlink" Target="https://drive.google.com/open?id=1AOFYt3PjNrxAMvTZVZHq5mCdPEubmveP" TargetMode="External"/><Relationship Id="rId172" Type="http://schemas.openxmlformats.org/officeDocument/2006/relationships/hyperlink" Target="https://drive.google.com/open?id=13r7KE_9q7sCJsQRGbpeaCIC38amg4R_D" TargetMode="External"/><Relationship Id="rId477" Type="http://schemas.openxmlformats.org/officeDocument/2006/relationships/hyperlink" Target="https://drive.google.com/open?id=1O2QGou6feFBaLvpDL53oCTcf3hIx0BK9" TargetMode="External"/><Relationship Id="rId600" Type="http://schemas.openxmlformats.org/officeDocument/2006/relationships/hyperlink" Target="https://drive.google.com/open?id=1BGcY_84iIfOD-LDrayg9hlSzUAZQPejs" TargetMode="External"/><Relationship Id="rId684" Type="http://schemas.openxmlformats.org/officeDocument/2006/relationships/hyperlink" Target="https://drive.google.com/open?id=1lJgc4LjyprNiZs_hL4hJzRb1CzKj9W3p" TargetMode="External"/><Relationship Id="rId1230" Type="http://schemas.openxmlformats.org/officeDocument/2006/relationships/hyperlink" Target="https://drive.google.com/open?id=1blgd6IDnZWPYStIFWggScqNyAVABERcU" TargetMode="External"/><Relationship Id="rId337" Type="http://schemas.openxmlformats.org/officeDocument/2006/relationships/hyperlink" Target="https://drive.google.com/open?id=1rCaXrFMUF0cCSLI0u_2dWD5Dsb76P0vE" TargetMode="External"/><Relationship Id="rId891" Type="http://schemas.openxmlformats.org/officeDocument/2006/relationships/hyperlink" Target="https://drive.google.com/open?id=1Gi2uUwvXsHfFX-5rE39s93fzMh7Vdsbq" TargetMode="External"/><Relationship Id="rId905" Type="http://schemas.openxmlformats.org/officeDocument/2006/relationships/hyperlink" Target="https://drive.google.com/open?id=1iV27U2qYHehYcC0Wa0DbKWE5WTU7pgUU" TargetMode="External"/><Relationship Id="rId989" Type="http://schemas.openxmlformats.org/officeDocument/2006/relationships/hyperlink" Target="https://drive.google.com/open?id=1CcV2zqaSslV2KLQzb2ERu-Cnx5wkP-XO" TargetMode="External"/><Relationship Id="rId34" Type="http://schemas.openxmlformats.org/officeDocument/2006/relationships/hyperlink" Target="https://drive.google.com/open?id=1bxf5upHbPfSkvvjoGvnjoAojLHHuWakh" TargetMode="External"/><Relationship Id="rId544" Type="http://schemas.openxmlformats.org/officeDocument/2006/relationships/hyperlink" Target="https://drive.google.com/open?id=1cOInpL22aN1zqpejWt5Rz5RJmWVP8b9A" TargetMode="External"/><Relationship Id="rId751" Type="http://schemas.openxmlformats.org/officeDocument/2006/relationships/hyperlink" Target="https://drive.google.com/open?id=1lAqxiTxZnttf6Vw4ApjR5Ws5AqpgmWMx" TargetMode="External"/><Relationship Id="rId849" Type="http://schemas.openxmlformats.org/officeDocument/2006/relationships/hyperlink" Target="https://drive.google.com/open?id=13UXpA7uei85RKAa02A2ohCYOkYPYbRnL" TargetMode="External"/><Relationship Id="rId1174" Type="http://schemas.openxmlformats.org/officeDocument/2006/relationships/hyperlink" Target="https://drive.google.com/open?id=1uQg1Jf4XngyRRntyURSuTXTR0184uOov" TargetMode="External"/><Relationship Id="rId183" Type="http://schemas.openxmlformats.org/officeDocument/2006/relationships/hyperlink" Target="https://drive.google.com/open?id=1FipNb5z-IYtX_ZezzBwwqOCYhD1eoa7m" TargetMode="External"/><Relationship Id="rId390" Type="http://schemas.openxmlformats.org/officeDocument/2006/relationships/hyperlink" Target="https://drive.google.com/open?id=1nIWx94UqSY_6cwwhyu4Gj5EdBs-dNW_I" TargetMode="External"/><Relationship Id="rId404" Type="http://schemas.openxmlformats.org/officeDocument/2006/relationships/hyperlink" Target="https://drive.google.com/open?id=1Cq_mNciRZNSPjHd_RAWJs-GgfyfXoJK9" TargetMode="External"/><Relationship Id="rId611" Type="http://schemas.openxmlformats.org/officeDocument/2006/relationships/hyperlink" Target="https://drive.google.com/open?id=1sl_yva5_KwOuMYsJX1ARYwDzq4rlovLE" TargetMode="External"/><Relationship Id="rId1034" Type="http://schemas.openxmlformats.org/officeDocument/2006/relationships/hyperlink" Target="https://drive.google.com/open?id=19Z1qKr8byoYCqKrUUuMaaD8yuC6Gudgo" TargetMode="External"/><Relationship Id="rId1241" Type="http://schemas.openxmlformats.org/officeDocument/2006/relationships/hyperlink" Target="https://drive.google.com/open?id=12MgEJqBfkZsiMk1TTvumE7mGQmoO6h20" TargetMode="External"/><Relationship Id="rId250" Type="http://schemas.openxmlformats.org/officeDocument/2006/relationships/hyperlink" Target="https://drive.google.com/open?id=1kFHwKnkMGxn5XzdsnSrCvCBM_ig5ivl2" TargetMode="External"/><Relationship Id="rId488" Type="http://schemas.openxmlformats.org/officeDocument/2006/relationships/hyperlink" Target="https://drive.google.com/open?id=1ZNE3Q8QO5Lt80cjNExoNwJTK7kHSTPQK" TargetMode="External"/><Relationship Id="rId695" Type="http://schemas.openxmlformats.org/officeDocument/2006/relationships/hyperlink" Target="https://drive.google.com/open?id=1YZ9d8dmUneaIveL7s8HWAblHcmZ1DNvu" TargetMode="External"/><Relationship Id="rId709" Type="http://schemas.openxmlformats.org/officeDocument/2006/relationships/hyperlink" Target="https://drive.google.com/open?id=13RRQ_K4pKqYHGkFsugkJ8erTCg31tNCr" TargetMode="External"/><Relationship Id="rId916" Type="http://schemas.openxmlformats.org/officeDocument/2006/relationships/hyperlink" Target="https://drive.google.com/open?id=14rfOvwfjx6iyueMtO6b21-iMKF3UqImK" TargetMode="External"/><Relationship Id="rId1101" Type="http://schemas.openxmlformats.org/officeDocument/2006/relationships/hyperlink" Target="https://drive.google.com/open?id=1Nsii2JF5UzeKAC-G9mdftEiEP0FMx-BU" TargetMode="External"/><Relationship Id="rId45" Type="http://schemas.openxmlformats.org/officeDocument/2006/relationships/hyperlink" Target="https://drive.google.com/open?id=1jptUsxqwS_H3ny2LKQmNPK_orRsn5J_Z" TargetMode="External"/><Relationship Id="rId110" Type="http://schemas.openxmlformats.org/officeDocument/2006/relationships/hyperlink" Target="https://drive.google.com/open?id=1xL24tgZlAXK2i5QAfT9w0vnUOFE3JuQb" TargetMode="External"/><Relationship Id="rId348" Type="http://schemas.openxmlformats.org/officeDocument/2006/relationships/hyperlink" Target="https://drive.google.com/open?id=1V_zp4exDbaylBSD8HZfPMfGkNUYisvQm" TargetMode="External"/><Relationship Id="rId555" Type="http://schemas.openxmlformats.org/officeDocument/2006/relationships/hyperlink" Target="https://drive.google.com/open?id=1Eh72Ph2M1E1oyxl12YcWeHNOexQk04dD" TargetMode="External"/><Relationship Id="rId762" Type="http://schemas.openxmlformats.org/officeDocument/2006/relationships/hyperlink" Target="https://drive.google.com/open?id=12q54KmRdMvgyZlwzDYcPERqgJntostqL" TargetMode="External"/><Relationship Id="rId1185" Type="http://schemas.openxmlformats.org/officeDocument/2006/relationships/hyperlink" Target="https://drive.google.com/open?id=1w2bV406fMqwcwzYeOJ41tdFpfTxnyAIq" TargetMode="External"/><Relationship Id="rId194" Type="http://schemas.openxmlformats.org/officeDocument/2006/relationships/hyperlink" Target="https://drive.google.com/open?id=1kRxD1s1CsvTZk9m3bLSApfdAuMlSpYEB" TargetMode="External"/><Relationship Id="rId208" Type="http://schemas.openxmlformats.org/officeDocument/2006/relationships/hyperlink" Target="https://drive.google.com/open?id=1lWdhnmAWPngdLwgTOIV1Yx-0PGI3WZpq" TargetMode="External"/><Relationship Id="rId415" Type="http://schemas.openxmlformats.org/officeDocument/2006/relationships/hyperlink" Target="https://drive.google.com/open?id=1d4e1w1Wnde-C0nw6TxMZXsDy9v9JuifF" TargetMode="External"/><Relationship Id="rId622" Type="http://schemas.openxmlformats.org/officeDocument/2006/relationships/hyperlink" Target="https://drive.google.com/open?id=1uGaZIX-WB7wzcelM4yG10IsvhPfE0qFw" TargetMode="External"/><Relationship Id="rId1045" Type="http://schemas.openxmlformats.org/officeDocument/2006/relationships/hyperlink" Target="https://drive.google.com/open?id=1osy5mDvNNPUH-Zl1be8B9-yinAWRbPJv" TargetMode="External"/><Relationship Id="rId1252" Type="http://schemas.openxmlformats.org/officeDocument/2006/relationships/hyperlink" Target="https://drive.google.com/open?id=1nBsui_KWUPMC8paQbAyyi3Vfhf23X9Hr" TargetMode="External"/><Relationship Id="rId261" Type="http://schemas.openxmlformats.org/officeDocument/2006/relationships/hyperlink" Target="https://drive.google.com/open?id=19TScq8g8NJTc_wz4Q40ddBOVcNZr2lIg" TargetMode="External"/><Relationship Id="rId499" Type="http://schemas.openxmlformats.org/officeDocument/2006/relationships/hyperlink" Target="https://drive.google.com/open?id=1zxtJnmXIZDDwwI-6dKayZl89lfv7I6p4" TargetMode="External"/><Relationship Id="rId927" Type="http://schemas.openxmlformats.org/officeDocument/2006/relationships/hyperlink" Target="https://drive.google.com/open?id=1u_Y61HKiFIFxBoTp3KxWmkF3T5WpVdB7" TargetMode="External"/><Relationship Id="rId1112" Type="http://schemas.openxmlformats.org/officeDocument/2006/relationships/hyperlink" Target="https://drive.google.com/open?id=1REqzhMvLIPVfGzDeN6x93pquLeo5ZmXK" TargetMode="External"/><Relationship Id="rId56" Type="http://schemas.openxmlformats.org/officeDocument/2006/relationships/hyperlink" Target="https://drive.google.com/open?id=15yxuj6DmjVeUW2NlcEdQdmvdLScRC7lz" TargetMode="External"/><Relationship Id="rId359" Type="http://schemas.openxmlformats.org/officeDocument/2006/relationships/hyperlink" Target="https://drive.google.com/open?id=11L4fW4WtnDIuCshuoUdjXqKbIGEXW13h" TargetMode="External"/><Relationship Id="rId566" Type="http://schemas.openxmlformats.org/officeDocument/2006/relationships/hyperlink" Target="https://drive.google.com/open?id=1tzdiUNyM9R5UmezcOyUZWyhMOJ1OXSZf" TargetMode="External"/><Relationship Id="rId773" Type="http://schemas.openxmlformats.org/officeDocument/2006/relationships/hyperlink" Target="https://drive.google.com/open?id=1R74G10pdfWp_jJcYHVzE3rUywN8dEoDH" TargetMode="External"/><Relationship Id="rId1196" Type="http://schemas.openxmlformats.org/officeDocument/2006/relationships/hyperlink" Target="https://drive.google.com/open?id=1PWMc8zXVtayzMO2c9wE_F1r4_UrnVfNm" TargetMode="External"/><Relationship Id="rId121" Type="http://schemas.openxmlformats.org/officeDocument/2006/relationships/hyperlink" Target="https://drive.google.com/open?id=1CbOS7Ih15N12l7aQQr6LRg19SG4ELvJs" TargetMode="External"/><Relationship Id="rId219" Type="http://schemas.openxmlformats.org/officeDocument/2006/relationships/hyperlink" Target="https://drive.google.com/open?id=1HA7NGCMt3pcS2y_zLsH0OdccrPcCBKvi" TargetMode="External"/><Relationship Id="rId426" Type="http://schemas.openxmlformats.org/officeDocument/2006/relationships/hyperlink" Target="https://drive.google.com/open?id=1GCzdV9VoSgQuVtz80IXTmJgiOSezGoF0" TargetMode="External"/><Relationship Id="rId633" Type="http://schemas.openxmlformats.org/officeDocument/2006/relationships/hyperlink" Target="https://drive.google.com/open?id=1OEpYckDJnZy6-xFaEjecrWYk0rZZr-F5" TargetMode="External"/><Relationship Id="rId980" Type="http://schemas.openxmlformats.org/officeDocument/2006/relationships/hyperlink" Target="https://drive.google.com/open?id=1yJA-6axgvCBgcGCVhqRZMQCfZNVEc6yw" TargetMode="External"/><Relationship Id="rId1056" Type="http://schemas.openxmlformats.org/officeDocument/2006/relationships/hyperlink" Target="https://drive.google.com/open?id=1L0p7B67yU1PP6vD2NYq0IhSMLynZH9nx" TargetMode="External"/><Relationship Id="rId840" Type="http://schemas.openxmlformats.org/officeDocument/2006/relationships/hyperlink" Target="https://drive.google.com/open?id=1F-jRjtqt-14dhtWiA78S3WjXKNdQ6pC1" TargetMode="External"/><Relationship Id="rId938" Type="http://schemas.openxmlformats.org/officeDocument/2006/relationships/hyperlink" Target="https://drive.google.com/open?id=18OUuh8W17eiJRaXCmeigZ_jzxoFxecdD" TargetMode="External"/><Relationship Id="rId67" Type="http://schemas.openxmlformats.org/officeDocument/2006/relationships/hyperlink" Target="https://drive.google.com/open?id=19xYL4zlbzid-cjl0Vi42MeGq0P1X6jAa" TargetMode="External"/><Relationship Id="rId272" Type="http://schemas.openxmlformats.org/officeDocument/2006/relationships/hyperlink" Target="https://drive.google.com/open?id=1JgmmbGv-SzxNFC9ZEWoRdTt6GKmuQQkN" TargetMode="External"/><Relationship Id="rId577" Type="http://schemas.openxmlformats.org/officeDocument/2006/relationships/hyperlink" Target="https://drive.google.com/open?id=12IcXMaMTsWSKeN5AsZz26ePXIPq5MNcU" TargetMode="External"/><Relationship Id="rId700" Type="http://schemas.openxmlformats.org/officeDocument/2006/relationships/hyperlink" Target="https://drive.google.com/open?id=10nwYLPEiRB7_yVriq85Oms19R88wtbee" TargetMode="External"/><Relationship Id="rId1123" Type="http://schemas.openxmlformats.org/officeDocument/2006/relationships/hyperlink" Target="https://drive.google.com/open?id=1VWKirHGFnAXdCEMoZypB7WY13ea3v_e7" TargetMode="External"/><Relationship Id="rId132" Type="http://schemas.openxmlformats.org/officeDocument/2006/relationships/hyperlink" Target="https://drive.google.com/open?id=1umz86pzePrjwMfVkCPRuhG83YEhtOH0R" TargetMode="External"/><Relationship Id="rId784" Type="http://schemas.openxmlformats.org/officeDocument/2006/relationships/hyperlink" Target="https://drive.google.com/open?id=1CArhjwikSxNzUmYPxhfWkJmwPB74suv5" TargetMode="External"/><Relationship Id="rId991" Type="http://schemas.openxmlformats.org/officeDocument/2006/relationships/hyperlink" Target="https://drive.google.com/open?id=1pc3yndPrieWypbnTbdTPXjolTlDePE5Y" TargetMode="External"/><Relationship Id="rId1067" Type="http://schemas.openxmlformats.org/officeDocument/2006/relationships/hyperlink" Target="https://drive.google.com/open?id=1wdzp5NDpcMmEBYE5Rtr8Mrxt0Av7mudh" TargetMode="External"/><Relationship Id="rId437" Type="http://schemas.openxmlformats.org/officeDocument/2006/relationships/hyperlink" Target="https://drive.google.com/open?id=1GbQkuj5jqUOmK-HROkbFAqzCQy78qV0k" TargetMode="External"/><Relationship Id="rId644" Type="http://schemas.openxmlformats.org/officeDocument/2006/relationships/hyperlink" Target="https://drive.google.com/open?id=1k3VHvLUuHzO55cmt1ogWMSYWU_5RRv-y" TargetMode="External"/><Relationship Id="rId851" Type="http://schemas.openxmlformats.org/officeDocument/2006/relationships/hyperlink" Target="https://drive.google.com/open?id=1XFqim3m0qP9TJD2Px57RBP8LhM0bGf0n" TargetMode="External"/><Relationship Id="rId283" Type="http://schemas.openxmlformats.org/officeDocument/2006/relationships/hyperlink" Target="https://drive.google.com/open?id=1QiqIzKXdWMz-o--GY772FmJfFOHIH0Y1" TargetMode="External"/><Relationship Id="rId490" Type="http://schemas.openxmlformats.org/officeDocument/2006/relationships/hyperlink" Target="https://drive.google.com/open?id=1w5NbhxQ4Y6HEr6t2h2MX4UMNz_bSmaVN" TargetMode="External"/><Relationship Id="rId504" Type="http://schemas.openxmlformats.org/officeDocument/2006/relationships/hyperlink" Target="https://drive.google.com/open?id=1a-F88-3rhsEyyPjZ5Cdn0p-ae2jxJzk3" TargetMode="External"/><Relationship Id="rId711" Type="http://schemas.openxmlformats.org/officeDocument/2006/relationships/hyperlink" Target="https://drive.google.com/open?id=157_Y08Hdz55wharfDTZl1to79nxToU9Z" TargetMode="External"/><Relationship Id="rId949" Type="http://schemas.openxmlformats.org/officeDocument/2006/relationships/hyperlink" Target="https://drive.google.com/open?id=1MxCLV-laGVGrlYPpDt7fCEJZVeJC0LwU" TargetMode="External"/><Relationship Id="rId1134" Type="http://schemas.openxmlformats.org/officeDocument/2006/relationships/hyperlink" Target="https://drive.google.com/open?id=1M58mCmlRgnBVoZOYxnWJk0Dy8nU4MKIO" TargetMode="External"/><Relationship Id="rId78" Type="http://schemas.openxmlformats.org/officeDocument/2006/relationships/hyperlink" Target="https://drive.google.com/open?id=13GY-y9dNREtqCE1bboJBQYS8zrVH8yOJ" TargetMode="External"/><Relationship Id="rId143" Type="http://schemas.openxmlformats.org/officeDocument/2006/relationships/hyperlink" Target="https://drive.google.com/open?id=10mMJ_o8SFpWVUhVYECxL3FV7k7s68tIQ" TargetMode="External"/><Relationship Id="rId350" Type="http://schemas.openxmlformats.org/officeDocument/2006/relationships/hyperlink" Target="https://drive.google.com/open?id=1GHkdn3sqgcwT1dyaKtr2HHdGYl5sGDfg" TargetMode="External"/><Relationship Id="rId588" Type="http://schemas.openxmlformats.org/officeDocument/2006/relationships/hyperlink" Target="https://drive.google.com/open?id=15XhpoL6FG4YGwaGAz25RtvyoaYiLnysp" TargetMode="External"/><Relationship Id="rId795" Type="http://schemas.openxmlformats.org/officeDocument/2006/relationships/hyperlink" Target="https://drive.google.com/open?id=1sk7OgVq4ymbQ9EhLypZq2dHWMhaKwJ5H" TargetMode="External"/><Relationship Id="rId809" Type="http://schemas.openxmlformats.org/officeDocument/2006/relationships/hyperlink" Target="https://drive.google.com/open?id=1xTuwnXyvMnPn37oUYOh-Jr8E-z6A0Elh" TargetMode="External"/><Relationship Id="rId1201" Type="http://schemas.openxmlformats.org/officeDocument/2006/relationships/hyperlink" Target="https://drive.google.com/open?id=1JjgXaN9TNlzrcDVCl7QjPQBhYsOK68qR" TargetMode="External"/><Relationship Id="rId9" Type="http://schemas.openxmlformats.org/officeDocument/2006/relationships/hyperlink" Target="https://drive.google.com/open?id=1UOQGB8o8XQtMOSGAtLHLXue5fXMF813M" TargetMode="External"/><Relationship Id="rId210" Type="http://schemas.openxmlformats.org/officeDocument/2006/relationships/hyperlink" Target="https://drive.google.com/open?id=130tVetMfKdHLcfMeMUIkEsc2grAXxOvL" TargetMode="External"/><Relationship Id="rId448" Type="http://schemas.openxmlformats.org/officeDocument/2006/relationships/hyperlink" Target="https://drive.google.com/open?id=1KYC_-GVYf9AY--ccGxP5fJPNcyL1d49P" TargetMode="External"/><Relationship Id="rId655" Type="http://schemas.openxmlformats.org/officeDocument/2006/relationships/hyperlink" Target="https://drive.google.com/open?id=1LrKKuKXl-4OtdYaopu_RkAtzSHv5z7XW" TargetMode="External"/><Relationship Id="rId862" Type="http://schemas.openxmlformats.org/officeDocument/2006/relationships/hyperlink" Target="https://drive.google.com/open?id=1LKiKy3L9iNSu11AfG5O-JCrp60OxJNRq" TargetMode="External"/><Relationship Id="rId1078" Type="http://schemas.openxmlformats.org/officeDocument/2006/relationships/hyperlink" Target="https://drive.google.com/open?id=1kAUIAAUHb5Iq9InMwlIReGXPfh1fOov-" TargetMode="External"/><Relationship Id="rId294" Type="http://schemas.openxmlformats.org/officeDocument/2006/relationships/hyperlink" Target="https://drive.google.com/open?id=1aTqDLKycDtyWjzTzPNezFraPa6hiTjXh" TargetMode="External"/><Relationship Id="rId308" Type="http://schemas.openxmlformats.org/officeDocument/2006/relationships/hyperlink" Target="https://drive.google.com/open?id=11CYBTNHqcco5U-6f9ryLtYN3qVjNRIDo" TargetMode="External"/><Relationship Id="rId515" Type="http://schemas.openxmlformats.org/officeDocument/2006/relationships/hyperlink" Target="https://drive.google.com/open?id=1BIXksgy_Q9vgje3vPnDJv-qGyxAZR6Xd" TargetMode="External"/><Relationship Id="rId722" Type="http://schemas.openxmlformats.org/officeDocument/2006/relationships/hyperlink" Target="https://drive.google.com/open?id=12TDzpCLR3A7o_WXlLxzYmw40bG6Lp7ln" TargetMode="External"/><Relationship Id="rId1145" Type="http://schemas.openxmlformats.org/officeDocument/2006/relationships/hyperlink" Target="https://drive.google.com/open?id=1qlCw7gfpwv5Pee5B9CnLo51Mxwvdeo5w" TargetMode="External"/><Relationship Id="rId89" Type="http://schemas.openxmlformats.org/officeDocument/2006/relationships/hyperlink" Target="https://drive.google.com/open?id=1xD4sXdSogSqxJ_pDy-ea7hroDAimYfmp" TargetMode="External"/><Relationship Id="rId154" Type="http://schemas.openxmlformats.org/officeDocument/2006/relationships/hyperlink" Target="https://drive.google.com/open?id=10b8udHNiih-OMjduVv4YSKaoU7bVcgOr" TargetMode="External"/><Relationship Id="rId361" Type="http://schemas.openxmlformats.org/officeDocument/2006/relationships/hyperlink" Target="https://drive.google.com/open?id=16QJLHghsRBKPh1rWSFi9ZZ0IT3-4qmOD" TargetMode="External"/><Relationship Id="rId599" Type="http://schemas.openxmlformats.org/officeDocument/2006/relationships/hyperlink" Target="https://drive.google.com/open?id=1njvmG4_yFT_PxWQEx74dVbsfPKsawp2r" TargetMode="External"/><Relationship Id="rId1005" Type="http://schemas.openxmlformats.org/officeDocument/2006/relationships/hyperlink" Target="https://drive.google.com/open?id=1x5lHHYTcfCc4nWzzwR1xe4SecQ6mecTb" TargetMode="External"/><Relationship Id="rId1212" Type="http://schemas.openxmlformats.org/officeDocument/2006/relationships/hyperlink" Target="https://drive.google.com/open?id=1KP4Of8aNXFZFMw6zm_HXWPNUsFGKcypz" TargetMode="External"/><Relationship Id="rId459" Type="http://schemas.openxmlformats.org/officeDocument/2006/relationships/hyperlink" Target="https://drive.google.com/open?id=1eEHEOgyQwAkpnOFsOhVsvYwYESHzJ7Vj" TargetMode="External"/><Relationship Id="rId666" Type="http://schemas.openxmlformats.org/officeDocument/2006/relationships/hyperlink" Target="https://drive.google.com/open?id=1V0yGNeODKxqS6EzjodbZ0dm54gc9TgaV" TargetMode="External"/><Relationship Id="rId873" Type="http://schemas.openxmlformats.org/officeDocument/2006/relationships/hyperlink" Target="https://drive.google.com/open?id=1kPldGgbvfyQPebrXGvV0QKiotgrGjRsr" TargetMode="External"/><Relationship Id="rId1089" Type="http://schemas.openxmlformats.org/officeDocument/2006/relationships/hyperlink" Target="https://drive.google.com/open?id=1D-scaeq8oRosbT7-OTEwliN5HKrWdIwA" TargetMode="External"/><Relationship Id="rId16" Type="http://schemas.openxmlformats.org/officeDocument/2006/relationships/hyperlink" Target="https://drive.google.com/open?id=1olYjQ593-zRhsnaveWHSSo4FD8sB1MUs" TargetMode="External"/><Relationship Id="rId221" Type="http://schemas.openxmlformats.org/officeDocument/2006/relationships/hyperlink" Target="https://drive.google.com/open?id=1ZMHwEybCqypl323UzQpLLYAhA_R8fFOH" TargetMode="External"/><Relationship Id="rId319" Type="http://schemas.openxmlformats.org/officeDocument/2006/relationships/hyperlink" Target="https://drive.google.com/open?id=1yofo63fawDqReVnZWKC6McytT12u3qhc" TargetMode="External"/><Relationship Id="rId526" Type="http://schemas.openxmlformats.org/officeDocument/2006/relationships/hyperlink" Target="https://drive.google.com/open?id=1tXRBO_-jJcFXyb4HfjTbL2UvXus1gBy_" TargetMode="External"/><Relationship Id="rId1156" Type="http://schemas.openxmlformats.org/officeDocument/2006/relationships/hyperlink" Target="https://drive.google.com/open?id=1yg_v1hFjN2e2u4yOwEvZyzbtKQWc2ksY" TargetMode="External"/><Relationship Id="rId733" Type="http://schemas.openxmlformats.org/officeDocument/2006/relationships/hyperlink" Target="https://drive.google.com/open?id=1pp9gm2O_8PpL2qPWgtoLVoswV9S3uY8B" TargetMode="External"/><Relationship Id="rId940" Type="http://schemas.openxmlformats.org/officeDocument/2006/relationships/hyperlink" Target="https://drive.google.com/open?id=1KPEzEr0BKOUPRp_43xCWmxgXxtrwkqMd" TargetMode="External"/><Relationship Id="rId1016" Type="http://schemas.openxmlformats.org/officeDocument/2006/relationships/hyperlink" Target="https://drive.google.com/open?id=1SubbXn3jOUMeRA4pdZJiwOF6nwphEg90" TargetMode="External"/><Relationship Id="rId165" Type="http://schemas.openxmlformats.org/officeDocument/2006/relationships/hyperlink" Target="https://drive.google.com/open?id=18IgttavUvi4HQdMZ8dOtVP-NNbr_Uqi5" TargetMode="External"/><Relationship Id="rId372" Type="http://schemas.openxmlformats.org/officeDocument/2006/relationships/hyperlink" Target="https://drive.google.com/open?id=1yD169K8t4wO1Xdligi8fcduKjaNp5sWf" TargetMode="External"/><Relationship Id="rId677" Type="http://schemas.openxmlformats.org/officeDocument/2006/relationships/hyperlink" Target="https://drive.google.com/open?id=1zErh6ZUT-Yqk0uqOJ72HL1Gcyoco35Bn" TargetMode="External"/><Relationship Id="rId800" Type="http://schemas.openxmlformats.org/officeDocument/2006/relationships/hyperlink" Target="https://drive.google.com/open?id=1rE1KUM2gCZLbUrOD1CaHIhcJ24SpDQwL" TargetMode="External"/><Relationship Id="rId1223" Type="http://schemas.openxmlformats.org/officeDocument/2006/relationships/hyperlink" Target="https://drive.google.com/open?id=1ZPBvgjTJfusgIZnyJrussjeie3ll7UfO" TargetMode="External"/><Relationship Id="rId232" Type="http://schemas.openxmlformats.org/officeDocument/2006/relationships/hyperlink" Target="https://drive.google.com/open?id=1U81-6aItbXb6_QtL4K-OL88rSEAe-7g4" TargetMode="External"/><Relationship Id="rId884" Type="http://schemas.openxmlformats.org/officeDocument/2006/relationships/hyperlink" Target="https://drive.google.com/open?id=19Dp3HBSHErqNRg2WJciw2CLJgvp7mtMy" TargetMode="External"/><Relationship Id="rId27" Type="http://schemas.openxmlformats.org/officeDocument/2006/relationships/hyperlink" Target="https://drive.google.com/open?id=1cd0lSvNiTAv6j8toFgLq_KptbDsi3U0O" TargetMode="External"/><Relationship Id="rId537" Type="http://schemas.openxmlformats.org/officeDocument/2006/relationships/hyperlink" Target="https://drive.google.com/open?id=1U3CnEa6ocFvdc8GHJVYyNGYQtbzw-W8U" TargetMode="External"/><Relationship Id="rId744" Type="http://schemas.openxmlformats.org/officeDocument/2006/relationships/hyperlink" Target="https://drive.google.com/open?id=166qovSpYmhgIeWuSC5iRYJwn8HmIv_M4" TargetMode="External"/><Relationship Id="rId951" Type="http://schemas.openxmlformats.org/officeDocument/2006/relationships/hyperlink" Target="https://drive.google.com/open?id=1uYLE07ErSeae7oNHF6aTA_2LufMQrOte" TargetMode="External"/><Relationship Id="rId1167" Type="http://schemas.openxmlformats.org/officeDocument/2006/relationships/hyperlink" Target="https://drive.google.com/open?id=1IQ_vRg57sOvz5O5OJg-FXxkH4N5gZTWy" TargetMode="External"/><Relationship Id="rId80" Type="http://schemas.openxmlformats.org/officeDocument/2006/relationships/hyperlink" Target="https://drive.google.com/open?id=1nIKv5MrhIoeb6XRRs6WsxzDVUFXtjp5_" TargetMode="External"/><Relationship Id="rId176" Type="http://schemas.openxmlformats.org/officeDocument/2006/relationships/hyperlink" Target="https://drive.google.com/open?id=1BQ8a6fTQ_t0IL2QhtFGyuNAi8hDcAoVu" TargetMode="External"/><Relationship Id="rId383" Type="http://schemas.openxmlformats.org/officeDocument/2006/relationships/hyperlink" Target="https://drive.google.com/open?id=1brJY3N6cXIDK61DiLfuk7LeYd0-4w57L" TargetMode="External"/><Relationship Id="rId590" Type="http://schemas.openxmlformats.org/officeDocument/2006/relationships/hyperlink" Target="https://drive.google.com/open?id=1FpikhrrgeakMA1jsqRLSHvHCUhNsl2o3" TargetMode="External"/><Relationship Id="rId604" Type="http://schemas.openxmlformats.org/officeDocument/2006/relationships/hyperlink" Target="https://drive.google.com/open?id=1ck4ueyFOzvWD5YlSQrTG8a1zMr0Xd9lg" TargetMode="External"/><Relationship Id="rId811" Type="http://schemas.openxmlformats.org/officeDocument/2006/relationships/hyperlink" Target="https://drive.google.com/open?id=1QUPPpCSi74btPIUyw3ry26Wv_ejrfois" TargetMode="External"/><Relationship Id="rId1027" Type="http://schemas.openxmlformats.org/officeDocument/2006/relationships/hyperlink" Target="https://drive.google.com/open?id=1K-uOUyJG0SJ8qWkxq1cWztKW_xWkHBdf" TargetMode="External"/><Relationship Id="rId1234" Type="http://schemas.openxmlformats.org/officeDocument/2006/relationships/hyperlink" Target="https://drive.google.com/open?id=18AMjzz4VmNbS5MNlHzFNLdixRtImNLp8" TargetMode="External"/><Relationship Id="rId243" Type="http://schemas.openxmlformats.org/officeDocument/2006/relationships/hyperlink" Target="https://drive.google.com/open?id=1tMRdCma0CNGeWbCnWH6WzjAlYGr990Bk" TargetMode="External"/><Relationship Id="rId450" Type="http://schemas.openxmlformats.org/officeDocument/2006/relationships/hyperlink" Target="https://drive.google.com/open?id=1foJXo5vyJyZCXNtdlXHLZjjNg_TwoUqd" TargetMode="External"/><Relationship Id="rId688" Type="http://schemas.openxmlformats.org/officeDocument/2006/relationships/hyperlink" Target="https://drive.google.com/open?id=1O3R7hH9XCdxZdULTT8e8RgrAR1R66I6S" TargetMode="External"/><Relationship Id="rId895" Type="http://schemas.openxmlformats.org/officeDocument/2006/relationships/hyperlink" Target="https://drive.google.com/open?id=137Bc0e9Rfq_KOa8V8tra8rBiu6dAJAyq" TargetMode="External"/><Relationship Id="rId909" Type="http://schemas.openxmlformats.org/officeDocument/2006/relationships/hyperlink" Target="https://drive.google.com/open?id=1ywmDN0TaUUKDU3qV4cNAseMuy-f04vnK" TargetMode="External"/><Relationship Id="rId1080" Type="http://schemas.openxmlformats.org/officeDocument/2006/relationships/hyperlink" Target="https://drive.google.com/open?id=142xmxzK5TLmZZ8CgFgTW4UhiQJM523Px" TargetMode="External"/><Relationship Id="rId38" Type="http://schemas.openxmlformats.org/officeDocument/2006/relationships/hyperlink" Target="https://drive.google.com/open?id=1WhP-83xm-CNp2GmmwryGA-uzIaV-0Gxe" TargetMode="External"/><Relationship Id="rId103" Type="http://schemas.openxmlformats.org/officeDocument/2006/relationships/hyperlink" Target="https://drive.google.com/open?id=1DxY9gqSav4FEajmlO-P3ZikuhONG_SV5" TargetMode="External"/><Relationship Id="rId310" Type="http://schemas.openxmlformats.org/officeDocument/2006/relationships/hyperlink" Target="https://drive.google.com/open?id=1fDvbbo2zQ1LxyOouNhSKWp6GOAdJa3JO" TargetMode="External"/><Relationship Id="rId548" Type="http://schemas.openxmlformats.org/officeDocument/2006/relationships/hyperlink" Target="https://drive.google.com/open?id=1153IDWCNz6trk9W6EzfQ2m3DdjqONwc1" TargetMode="External"/><Relationship Id="rId755" Type="http://schemas.openxmlformats.org/officeDocument/2006/relationships/hyperlink" Target="https://drive.google.com/open?id=1pMyJhCcPlMtR_8ifKeSAAVBuSFfsn6F_" TargetMode="External"/><Relationship Id="rId962" Type="http://schemas.openxmlformats.org/officeDocument/2006/relationships/hyperlink" Target="https://drive.google.com/open?id=1xqPIdWeJm8f-Uk8OiGDx_0dHdhNQniUm" TargetMode="External"/><Relationship Id="rId1178" Type="http://schemas.openxmlformats.org/officeDocument/2006/relationships/hyperlink" Target="https://drive.google.com/open?id=1dJQQL6cn_fsBrH5-27Ij4BqltFBvEk0Q" TargetMode="External"/><Relationship Id="rId91" Type="http://schemas.openxmlformats.org/officeDocument/2006/relationships/hyperlink" Target="https://drive.google.com/open?id=1sW_mwvo8NfmYmUoQePVf1KssrtMtmDSN" TargetMode="External"/><Relationship Id="rId187" Type="http://schemas.openxmlformats.org/officeDocument/2006/relationships/hyperlink" Target="https://drive.google.com/open?id=1I5mkYjFm_I_LSN32Y5O5Nk7HVdFqwJGz" TargetMode="External"/><Relationship Id="rId394" Type="http://schemas.openxmlformats.org/officeDocument/2006/relationships/hyperlink" Target="https://drive.google.com/open?id=1RQ8OgjPyWIloqkxoc-Hbklr7PEv5nmUJ" TargetMode="External"/><Relationship Id="rId408" Type="http://schemas.openxmlformats.org/officeDocument/2006/relationships/hyperlink" Target="https://drive.google.com/open?id=1R0DdOOr_n4WscETSU6Ty10I0et601u7r" TargetMode="External"/><Relationship Id="rId615" Type="http://schemas.openxmlformats.org/officeDocument/2006/relationships/hyperlink" Target="https://drive.google.com/open?id=1JtolidBIUGBixWrAz_kT1xWktdV-JBQ5" TargetMode="External"/><Relationship Id="rId822" Type="http://schemas.openxmlformats.org/officeDocument/2006/relationships/hyperlink" Target="https://drive.google.com/open?id=1awqvp4LJyUJQ2TFWVSxZXN1kdQ2RL8Ly" TargetMode="External"/><Relationship Id="rId1038" Type="http://schemas.openxmlformats.org/officeDocument/2006/relationships/hyperlink" Target="https://drive.google.com/open?id=1ZqbsWCu8fQEEto0jcoAzGUmedTptRygi" TargetMode="External"/><Relationship Id="rId1245" Type="http://schemas.openxmlformats.org/officeDocument/2006/relationships/hyperlink" Target="https://drive.google.com/open?id=1146jAXQcu50AiSRa12sPjMoceAvvAhMr" TargetMode="External"/><Relationship Id="rId254" Type="http://schemas.openxmlformats.org/officeDocument/2006/relationships/hyperlink" Target="https://drive.google.com/open?id=1fOy9fbBAQS0aPWOWlhR9ZuYBdcQFK2_2" TargetMode="External"/><Relationship Id="rId699" Type="http://schemas.openxmlformats.org/officeDocument/2006/relationships/hyperlink" Target="https://drive.google.com/open?id=1m9l7Y5aDeTrqHvocJz8oOOPWFDYhMIO5" TargetMode="External"/><Relationship Id="rId1091" Type="http://schemas.openxmlformats.org/officeDocument/2006/relationships/hyperlink" Target="https://drive.google.com/open?id=1fD-1ahtjp_FpKDiMIWmIk5oDuygZolDQ" TargetMode="External"/><Relationship Id="rId1105" Type="http://schemas.openxmlformats.org/officeDocument/2006/relationships/hyperlink" Target="https://drive.google.com/open?id=1us-8KAl9nfuFm3KcB0oKgiMToqH81_KC" TargetMode="External"/><Relationship Id="rId49" Type="http://schemas.openxmlformats.org/officeDocument/2006/relationships/hyperlink" Target="https://drive.google.com/open?id=1vyx1Pi2ElMDZO-0T6LAiK0pylCbw4niS" TargetMode="External"/><Relationship Id="rId114" Type="http://schemas.openxmlformats.org/officeDocument/2006/relationships/hyperlink" Target="https://drive.google.com/open?id=1TvNJ8MuhA8SgmeZ519IntJPLpsumWmoQ" TargetMode="External"/><Relationship Id="rId461" Type="http://schemas.openxmlformats.org/officeDocument/2006/relationships/hyperlink" Target="https://drive.google.com/open?id=1nfvXbXBBOl55YDqEI_K3x-gNOV88_xgM" TargetMode="External"/><Relationship Id="rId559" Type="http://schemas.openxmlformats.org/officeDocument/2006/relationships/hyperlink" Target="https://drive.google.com/open?id=1QrmTPSqdJ7-b-afzBFfSZSES4mQ4fuzF" TargetMode="External"/><Relationship Id="rId766" Type="http://schemas.openxmlformats.org/officeDocument/2006/relationships/hyperlink" Target="https://drive.google.com/open?id=1egnFq3QQkOTZ4mcLurNcLAVd-DLKxcGh" TargetMode="External"/><Relationship Id="rId1189" Type="http://schemas.openxmlformats.org/officeDocument/2006/relationships/hyperlink" Target="https://drive.google.com/open?id=1xM7fE34cw2cIAwXmniQ1LByIz8fpiVDM" TargetMode="External"/><Relationship Id="rId198" Type="http://schemas.openxmlformats.org/officeDocument/2006/relationships/hyperlink" Target="https://drive.google.com/open?id=1_iQRiwwumGLTo6AqreuaufMBZlP7RD7T" TargetMode="External"/><Relationship Id="rId321" Type="http://schemas.openxmlformats.org/officeDocument/2006/relationships/hyperlink" Target="https://drive.google.com/open?id=1SipAGX1Wk1G1Jqg9V05aMmyXQe3EZkt3" TargetMode="External"/><Relationship Id="rId419" Type="http://schemas.openxmlformats.org/officeDocument/2006/relationships/hyperlink" Target="https://drive.google.com/open?id=1rZs5wTNqJLJM04GxrAOdk6_J0tugCpJb" TargetMode="External"/><Relationship Id="rId626" Type="http://schemas.openxmlformats.org/officeDocument/2006/relationships/hyperlink" Target="https://drive.google.com/open?id=1Vz5BNY90QzJDn0TAS3F6VG7YZJ-njYP4" TargetMode="External"/><Relationship Id="rId973" Type="http://schemas.openxmlformats.org/officeDocument/2006/relationships/hyperlink" Target="https://drive.google.com/open?id=1KXMAUkRmNMu1emYJWtJmPBEJC4oSaAsu" TargetMode="External"/><Relationship Id="rId1049" Type="http://schemas.openxmlformats.org/officeDocument/2006/relationships/hyperlink" Target="https://drive.google.com/open?id=1VO8-owGu0ZEpvLHzdK621_PE7s2a-v0F" TargetMode="External"/><Relationship Id="rId1256" Type="http://schemas.openxmlformats.org/officeDocument/2006/relationships/hyperlink" Target="https://drive.google.com/open?id=1g7yOmmvKKMk53Jgz7thWfr3I2Yo1AS02" TargetMode="External"/><Relationship Id="rId833" Type="http://schemas.openxmlformats.org/officeDocument/2006/relationships/hyperlink" Target="https://drive.google.com/open?id=1Sev5CtkGnJJUDJwyzkgSsXgA5db3m3jZ" TargetMode="External"/><Relationship Id="rId1116" Type="http://schemas.openxmlformats.org/officeDocument/2006/relationships/hyperlink" Target="https://drive.google.com/open?id=15tv1dRP3VSaeOdYW5kr2Sugg1Bri9bWU" TargetMode="External"/><Relationship Id="rId265" Type="http://schemas.openxmlformats.org/officeDocument/2006/relationships/hyperlink" Target="https://drive.google.com/open?id=1fhNd2t9lPhYh4dRMHLzyMMraL8Yd8UGS" TargetMode="External"/><Relationship Id="rId472" Type="http://schemas.openxmlformats.org/officeDocument/2006/relationships/hyperlink" Target="https://drive.google.com/open?id=1hdYuwZZ9VK_HNUexm8NuZameSkNlhGVE" TargetMode="External"/><Relationship Id="rId900" Type="http://schemas.openxmlformats.org/officeDocument/2006/relationships/hyperlink" Target="https://drive.google.com/open?id=1uEzytHwbvZaNG0vyWcvQiF4tE2opTGmZ" TargetMode="External"/><Relationship Id="rId125" Type="http://schemas.openxmlformats.org/officeDocument/2006/relationships/hyperlink" Target="https://drive.google.com/open?id=1ZWhOc-X1aKT5mRD1nEbFPIBYI0FjCpqu" TargetMode="External"/><Relationship Id="rId332" Type="http://schemas.openxmlformats.org/officeDocument/2006/relationships/hyperlink" Target="https://drive.google.com/open?id=1Ag5D6utNIKCVxPXwweCPQCxkS7lPhB1c" TargetMode="External"/><Relationship Id="rId777" Type="http://schemas.openxmlformats.org/officeDocument/2006/relationships/hyperlink" Target="https://drive.google.com/open?id=1Jpvi84lJiTcOL2Vwni4ndmJaxC1tCTOM" TargetMode="External"/><Relationship Id="rId984" Type="http://schemas.openxmlformats.org/officeDocument/2006/relationships/hyperlink" Target="https://drive.google.com/open?id=1NuiEQnmSrMmvY78SLGZQQDCVp39re3Kn" TargetMode="External"/><Relationship Id="rId637" Type="http://schemas.openxmlformats.org/officeDocument/2006/relationships/hyperlink" Target="https://drive.google.com/open?id=1LfEkdO37csNNcUwmkOmFCP-nxfqm4Y52" TargetMode="External"/><Relationship Id="rId844" Type="http://schemas.openxmlformats.org/officeDocument/2006/relationships/hyperlink" Target="https://drive.google.com/open?id=1cZ63RkuhVAkB8FJaWmjnyCN8lddq16bF" TargetMode="External"/><Relationship Id="rId276" Type="http://schemas.openxmlformats.org/officeDocument/2006/relationships/hyperlink" Target="https://drive.google.com/open?id=1Y9NB5_gW67HZYyEOWQ3-rW287aRYTUHb" TargetMode="External"/><Relationship Id="rId483" Type="http://schemas.openxmlformats.org/officeDocument/2006/relationships/hyperlink" Target="https://drive.google.com/open?id=1gV5fvJlvJtiqJ9kXdWw8uAtxTaoIPpPX" TargetMode="External"/><Relationship Id="rId690" Type="http://schemas.openxmlformats.org/officeDocument/2006/relationships/hyperlink" Target="https://drive.google.com/open?id=12nM35HF4c5CyR2QLhZVFaajgw-AfxHZ-" TargetMode="External"/><Relationship Id="rId704" Type="http://schemas.openxmlformats.org/officeDocument/2006/relationships/hyperlink" Target="https://drive.google.com/open?id=1LPGb41iXo9CQJEgUvi_kVonrzN5QhTEu" TargetMode="External"/><Relationship Id="rId911" Type="http://schemas.openxmlformats.org/officeDocument/2006/relationships/hyperlink" Target="https://drive.google.com/open?id=1j15wlknKP7lFcC2GziKaC7ul8DEa4AXf" TargetMode="External"/><Relationship Id="rId1127" Type="http://schemas.openxmlformats.org/officeDocument/2006/relationships/hyperlink" Target="https://drive.google.com/open?id=1STks1zXaMOPx7AejjnMmoiGM69bZzymR" TargetMode="External"/><Relationship Id="rId40" Type="http://schemas.openxmlformats.org/officeDocument/2006/relationships/hyperlink" Target="https://drive.google.com/open?id=10hHE6c4hJL9lv3U7T-AfCmxrm16MIfQ_" TargetMode="External"/><Relationship Id="rId136" Type="http://schemas.openxmlformats.org/officeDocument/2006/relationships/hyperlink" Target="https://drive.google.com/open?id=16yJRPH7xdPv5LdWfjjn_vkDWrDonvFcg" TargetMode="External"/><Relationship Id="rId343" Type="http://schemas.openxmlformats.org/officeDocument/2006/relationships/hyperlink" Target="https://drive.google.com/open?id=1Xma61F0WgO4Sg6PXa3_vX0FflQhn1xnS" TargetMode="External"/><Relationship Id="rId550" Type="http://schemas.openxmlformats.org/officeDocument/2006/relationships/hyperlink" Target="https://drive.google.com/open?id=1sLcI2HtyjXJSjXc-km5CZooJ1hbszcx5" TargetMode="External"/><Relationship Id="rId788" Type="http://schemas.openxmlformats.org/officeDocument/2006/relationships/hyperlink" Target="https://drive.google.com/open?id=1_ht9lVdVuXUmgsv79-5vKbcALbUVRv9f" TargetMode="External"/><Relationship Id="rId995" Type="http://schemas.openxmlformats.org/officeDocument/2006/relationships/hyperlink" Target="https://drive.google.com/open?id=1Fk-HeEedWWyKidJtPDCKvxSj5RXKsfz9" TargetMode="External"/><Relationship Id="rId1180" Type="http://schemas.openxmlformats.org/officeDocument/2006/relationships/hyperlink" Target="https://drive.google.com/open?id=14L3_jLl-FjkoCFxxIddu3RpTKa5UGQD9" TargetMode="External"/><Relationship Id="rId203" Type="http://schemas.openxmlformats.org/officeDocument/2006/relationships/hyperlink" Target="https://drive.google.com/open?id=1pqLAfJ_Q3YPlJ6gaoAeh_ztGlBawgr8T" TargetMode="External"/><Relationship Id="rId648" Type="http://schemas.openxmlformats.org/officeDocument/2006/relationships/hyperlink" Target="https://drive.google.com/open?id=1-0vUWckh88BfTtiq8acH-dITcfR-YSTw" TargetMode="External"/><Relationship Id="rId855" Type="http://schemas.openxmlformats.org/officeDocument/2006/relationships/hyperlink" Target="https://drive.google.com/open?id=11Cpqwd-n2Nvd32Si8r4NSN1-P3PT-nOM" TargetMode="External"/><Relationship Id="rId1040" Type="http://schemas.openxmlformats.org/officeDocument/2006/relationships/hyperlink" Target="https://drive.google.com/open?id=1HBJOu4rsEiR22lM6WP1M8Wmzc1JOz5lp" TargetMode="External"/><Relationship Id="rId287" Type="http://schemas.openxmlformats.org/officeDocument/2006/relationships/hyperlink" Target="https://drive.google.com/open?id=12Hh-qzEoVboCBKr8vi2kwnlAiKUTz67c" TargetMode="External"/><Relationship Id="rId410" Type="http://schemas.openxmlformats.org/officeDocument/2006/relationships/hyperlink" Target="https://drive.google.com/open?id=1MLhDKeYEz_oddqgx5S5oz6ozpTk9IveL" TargetMode="External"/><Relationship Id="rId494" Type="http://schemas.openxmlformats.org/officeDocument/2006/relationships/hyperlink" Target="https://drive.google.com/open?id=14rZm4z7f6_rVmj3r_6voMl_4U8rtox5F" TargetMode="External"/><Relationship Id="rId508" Type="http://schemas.openxmlformats.org/officeDocument/2006/relationships/hyperlink" Target="https://drive.google.com/open?id=1AxVTTjqBcIHDaIqg2DHdY_DNTLUa7CZ5" TargetMode="External"/><Relationship Id="rId715" Type="http://schemas.openxmlformats.org/officeDocument/2006/relationships/hyperlink" Target="https://drive.google.com/open?id=1S6EDNgZzqoZ_Mzyqb8I4Z1_6laLIJ6yV" TargetMode="External"/><Relationship Id="rId922" Type="http://schemas.openxmlformats.org/officeDocument/2006/relationships/hyperlink" Target="https://drive.google.com/open?id=1NUPZLaXV0GHW8hix8OuKmPUhmGW18egA" TargetMode="External"/><Relationship Id="rId1138" Type="http://schemas.openxmlformats.org/officeDocument/2006/relationships/hyperlink" Target="https://drive.google.com/open?id=1cCRl-unfJfYGUK9fSbrdM3b5zu9-Djg6" TargetMode="External"/><Relationship Id="rId147" Type="http://schemas.openxmlformats.org/officeDocument/2006/relationships/hyperlink" Target="https://drive.google.com/open?id=1CPlno33ntO4-oYOMTFqj3rwBoxAu9ZK1" TargetMode="External"/><Relationship Id="rId354" Type="http://schemas.openxmlformats.org/officeDocument/2006/relationships/hyperlink" Target="https://drive.google.com/open?id=1j3VkCpHi14ZozTjXxGVtI1xsBZAEIS6H" TargetMode="External"/><Relationship Id="rId799" Type="http://schemas.openxmlformats.org/officeDocument/2006/relationships/hyperlink" Target="https://drive.google.com/open?id=1fbOYCNtIFM1JOXTS23XamaCb1imy8To8" TargetMode="External"/><Relationship Id="rId1191" Type="http://schemas.openxmlformats.org/officeDocument/2006/relationships/hyperlink" Target="https://drive.google.com/open?id=1aVXn76_BzFR8mtc0MyohJE0m4yx57Bzo" TargetMode="External"/><Relationship Id="rId1205" Type="http://schemas.openxmlformats.org/officeDocument/2006/relationships/hyperlink" Target="https://drive.google.com/open?id=1JWy7Usj0t8KJUe4tkFdfQ0VrKEtAlcoJ" TargetMode="External"/><Relationship Id="rId51" Type="http://schemas.openxmlformats.org/officeDocument/2006/relationships/hyperlink" Target="https://drive.google.com/open?id=1vsvmJkIhYErlN-2IJ7dWVCd8HJ81Ln11" TargetMode="External"/><Relationship Id="rId561" Type="http://schemas.openxmlformats.org/officeDocument/2006/relationships/hyperlink" Target="https://drive.google.com/open?id=1gnHRtxvnFb5EhOlF_MKmIUfnjyxb6znk" TargetMode="External"/><Relationship Id="rId659" Type="http://schemas.openxmlformats.org/officeDocument/2006/relationships/hyperlink" Target="https://drive.google.com/open?id=1PGAU9B_kEZgwE_-dsI4Wd5SVGQud_2Gy" TargetMode="External"/><Relationship Id="rId866" Type="http://schemas.openxmlformats.org/officeDocument/2006/relationships/hyperlink" Target="https://drive.google.com/open?id=1su2l3gf5JfgbE80Y_gmIs4xaWASjwNfp" TargetMode="External"/><Relationship Id="rId214" Type="http://schemas.openxmlformats.org/officeDocument/2006/relationships/hyperlink" Target="https://drive.google.com/open?id=1dMG2QJKILwZAJtkVjUhhf4Ho8uentQe8" TargetMode="External"/><Relationship Id="rId298" Type="http://schemas.openxmlformats.org/officeDocument/2006/relationships/hyperlink" Target="https://drive.google.com/open?id=1SbD4GdRRkC8s75qDF-LRmYtCubljHmrb" TargetMode="External"/><Relationship Id="rId421" Type="http://schemas.openxmlformats.org/officeDocument/2006/relationships/hyperlink" Target="https://drive.google.com/open?id=1VJOXEsJap6q2G9l9pnpPFcVjZ5iY3lmF" TargetMode="External"/><Relationship Id="rId519" Type="http://schemas.openxmlformats.org/officeDocument/2006/relationships/hyperlink" Target="https://drive.google.com/open?id=1FUs6mNzfUD3uNRtui8OTiyLz62bCxCsQ" TargetMode="External"/><Relationship Id="rId1051" Type="http://schemas.openxmlformats.org/officeDocument/2006/relationships/hyperlink" Target="https://drive.google.com/open?id=1YTzuSFvnnmVK2avYAsim-ohH1qvcyZ_k" TargetMode="External"/><Relationship Id="rId1149" Type="http://schemas.openxmlformats.org/officeDocument/2006/relationships/hyperlink" Target="https://drive.google.com/open?id=1PGLYnyMbWZXHG9fnRIs_BM3pRMOV4lI8" TargetMode="External"/><Relationship Id="rId158" Type="http://schemas.openxmlformats.org/officeDocument/2006/relationships/hyperlink" Target="https://drive.google.com/open?id=15AT3Zfg1JfzM8LBKuZg-Cjm0Gl56FWpK" TargetMode="External"/><Relationship Id="rId726" Type="http://schemas.openxmlformats.org/officeDocument/2006/relationships/hyperlink" Target="https://drive.google.com/open?id=1YCGd-C5vQWSlxpls3_MpqtE8-eewhqZD" TargetMode="External"/><Relationship Id="rId933" Type="http://schemas.openxmlformats.org/officeDocument/2006/relationships/hyperlink" Target="https://drive.google.com/open?id=1F7aNFgyWrXIX6cf1acXp7-iSN67EPT50" TargetMode="External"/><Relationship Id="rId1009" Type="http://schemas.openxmlformats.org/officeDocument/2006/relationships/hyperlink" Target="https://drive.google.com/open?id=1HuWyzZSE2tdqZIDtuPZwDlaOZig-uV8x" TargetMode="External"/><Relationship Id="rId62" Type="http://schemas.openxmlformats.org/officeDocument/2006/relationships/hyperlink" Target="https://drive.google.com/open?id=19mkNqt3zxqbVVr2lWbXMI3hcSdhjz3lp" TargetMode="External"/><Relationship Id="rId365" Type="http://schemas.openxmlformats.org/officeDocument/2006/relationships/hyperlink" Target="https://drive.google.com/open?id=110H8X-dw2HSEOhomYFYPOzL6C3Gqrfcs" TargetMode="External"/><Relationship Id="rId572" Type="http://schemas.openxmlformats.org/officeDocument/2006/relationships/hyperlink" Target="https://drive.google.com/open?id=1RzWPPha3_M2DmNIyDrNjqQICYCwhXj2H" TargetMode="External"/><Relationship Id="rId1216" Type="http://schemas.openxmlformats.org/officeDocument/2006/relationships/hyperlink" Target="https://drive.google.com/open?id=1CS8IwdnKJxfUIMG5EwqvrvWAnuupiFLd" TargetMode="External"/><Relationship Id="rId225" Type="http://schemas.openxmlformats.org/officeDocument/2006/relationships/hyperlink" Target="https://drive.google.com/open?id=1R2R8DzZbBcqOL63X15nXHu8GyfCtjLWW" TargetMode="External"/><Relationship Id="rId432" Type="http://schemas.openxmlformats.org/officeDocument/2006/relationships/hyperlink" Target="https://drive.google.com/open?id=1_TocPymyK03gJrLnkxY1WfHKs79Y3u4G" TargetMode="External"/><Relationship Id="rId877" Type="http://schemas.openxmlformats.org/officeDocument/2006/relationships/hyperlink" Target="https://drive.google.com/open?id=1-VNXDWOhNvKyNBMvHCtIh7_C0C2qYqA1" TargetMode="External"/><Relationship Id="rId1062" Type="http://schemas.openxmlformats.org/officeDocument/2006/relationships/hyperlink" Target="https://drive.google.com/open?id=1J_oWzBtaXgsydL7i8dATUYMwcBD9grk8" TargetMode="External"/><Relationship Id="rId737" Type="http://schemas.openxmlformats.org/officeDocument/2006/relationships/hyperlink" Target="https://drive.google.com/open?id=1_U65OQoIXW3c0dNaScK1O_c4qWrU8cmk" TargetMode="External"/><Relationship Id="rId944" Type="http://schemas.openxmlformats.org/officeDocument/2006/relationships/hyperlink" Target="https://drive.google.com/open?id=1DSUC-Mi_lUBSegoZ3uIeZ15I2-mxAjlR" TargetMode="External"/><Relationship Id="rId73" Type="http://schemas.openxmlformats.org/officeDocument/2006/relationships/hyperlink" Target="https://drive.google.com/open?id=1qp-R-hVnmlNnaRvrBVSLVjACH3jMcmfD" TargetMode="External"/><Relationship Id="rId169" Type="http://schemas.openxmlformats.org/officeDocument/2006/relationships/hyperlink" Target="https://drive.google.com/open?id=15TggY7xH8ibAjE31L5LQD94wijlVqPZ3" TargetMode="External"/><Relationship Id="rId376" Type="http://schemas.openxmlformats.org/officeDocument/2006/relationships/hyperlink" Target="https://drive.google.com/open?id=1wq2sKRTipdTr4m9r4GDhixXUTaN05Npx" TargetMode="External"/><Relationship Id="rId583" Type="http://schemas.openxmlformats.org/officeDocument/2006/relationships/hyperlink" Target="https://drive.google.com/open?id=10KpeldYPf4sJpud9ge7TWANnBWQH8bwK" TargetMode="External"/><Relationship Id="rId790" Type="http://schemas.openxmlformats.org/officeDocument/2006/relationships/hyperlink" Target="https://drive.google.com/open?id=1AqU5LG3OrDWPNwm9iKGYQZhCFpIYoLHV" TargetMode="External"/><Relationship Id="rId804" Type="http://schemas.openxmlformats.org/officeDocument/2006/relationships/hyperlink" Target="https://drive.google.com/open?id=1RW2B1DdXewxzyZUl9OMXLfJOjd9P-fnq" TargetMode="External"/><Relationship Id="rId1227" Type="http://schemas.openxmlformats.org/officeDocument/2006/relationships/hyperlink" Target="https://drive.google.com/open?id=1lAXmvVDkOjvFZ11oPIZWTLyhZROJm-2x" TargetMode="External"/><Relationship Id="rId4" Type="http://schemas.openxmlformats.org/officeDocument/2006/relationships/hyperlink" Target="https://drive.google.com/open?id=19BStCQrxpqV0NFxEUcH6AljNQBT5c5DE" TargetMode="External"/><Relationship Id="rId236" Type="http://schemas.openxmlformats.org/officeDocument/2006/relationships/hyperlink" Target="https://drive.google.com/open?id=1Z3utG1aCFD_MbPGGSlJM5ZWvY7b0DZjp" TargetMode="External"/><Relationship Id="rId443" Type="http://schemas.openxmlformats.org/officeDocument/2006/relationships/hyperlink" Target="https://drive.google.com/open?id=1wPD3zN-2pyvg_yrhCNT0Y6ysJcsCy1OO" TargetMode="External"/><Relationship Id="rId650" Type="http://schemas.openxmlformats.org/officeDocument/2006/relationships/hyperlink" Target="https://drive.google.com/open?id=1bPtn0mPHPKTMvuJ-Dv6x52EW0ZPgUjt-" TargetMode="External"/><Relationship Id="rId888" Type="http://schemas.openxmlformats.org/officeDocument/2006/relationships/hyperlink" Target="https://drive.google.com/open?id=1DBKOj-gp3D4ekJzbo8Fuvdb_dX8Iqwtf" TargetMode="External"/><Relationship Id="rId1073" Type="http://schemas.openxmlformats.org/officeDocument/2006/relationships/hyperlink" Target="https://drive.google.com/open?id=1rly1Epdfg3YuEIu28jPJRaGVb5I6Hw2Z" TargetMode="External"/><Relationship Id="rId303" Type="http://schemas.openxmlformats.org/officeDocument/2006/relationships/hyperlink" Target="https://drive.google.com/open?id=1_UmcfdovAHc7Trg7WY9uNkf8VqBFhE5s" TargetMode="External"/><Relationship Id="rId748" Type="http://schemas.openxmlformats.org/officeDocument/2006/relationships/hyperlink" Target="https://drive.google.com/open?id=1DjcFITIiHeJOaxZ__as3ulU_dVBVEsu1" TargetMode="External"/><Relationship Id="rId955" Type="http://schemas.openxmlformats.org/officeDocument/2006/relationships/hyperlink" Target="https://drive.google.com/open?id=1_ZRJEu1osQRKWKyiVdVFs33_A5VCU1_9" TargetMode="External"/><Relationship Id="rId1140" Type="http://schemas.openxmlformats.org/officeDocument/2006/relationships/hyperlink" Target="https://drive.google.com/open?id=1RN1TNxYPyT1vVOP2nd3VKKLv5ByX3D5R" TargetMode="External"/><Relationship Id="rId84" Type="http://schemas.openxmlformats.org/officeDocument/2006/relationships/hyperlink" Target="https://drive.google.com/open?id=1NmUN4tT_v12YHlhGXvpD2qC5CfxSjDYa" TargetMode="External"/><Relationship Id="rId387" Type="http://schemas.openxmlformats.org/officeDocument/2006/relationships/hyperlink" Target="https://drive.google.com/open?id=1_lYRQYawl2JmM5cwZtMDxoq7d1lfyz4n" TargetMode="External"/><Relationship Id="rId510" Type="http://schemas.openxmlformats.org/officeDocument/2006/relationships/hyperlink" Target="https://drive.google.com/open?id=1yAe2sD1cqBcWaV0Lm7DEmLIiyizeAO8m" TargetMode="External"/><Relationship Id="rId594" Type="http://schemas.openxmlformats.org/officeDocument/2006/relationships/hyperlink" Target="https://drive.google.com/open?id=1MMO2klqiwJmVx71SU3BM3tUGI3JYt4N6" TargetMode="External"/><Relationship Id="rId608" Type="http://schemas.openxmlformats.org/officeDocument/2006/relationships/hyperlink" Target="https://drive.google.com/open?id=113l9gmlaKPrLByxtFxLaMA3khi9h_tHL" TargetMode="External"/><Relationship Id="rId815" Type="http://schemas.openxmlformats.org/officeDocument/2006/relationships/hyperlink" Target="https://drive.google.com/open?id=1VSudDsxg1r5WFzFzgH8giYO8LOWSLRH6" TargetMode="External"/><Relationship Id="rId1238" Type="http://schemas.openxmlformats.org/officeDocument/2006/relationships/hyperlink" Target="https://drive.google.com/open?id=10WV9SiSOaUl3j0mpXQhOc7go1cgR-yhQ" TargetMode="External"/><Relationship Id="rId247" Type="http://schemas.openxmlformats.org/officeDocument/2006/relationships/hyperlink" Target="https://drive.google.com/open?id=1hh2F2csrW4UPCCmcATgiPNtJnvQi8n8V" TargetMode="External"/><Relationship Id="rId899" Type="http://schemas.openxmlformats.org/officeDocument/2006/relationships/hyperlink" Target="https://drive.google.com/open?id=13WBZoVGWNtT-Wxx2Fwb1Z26pQx6_ssNo" TargetMode="External"/><Relationship Id="rId1000" Type="http://schemas.openxmlformats.org/officeDocument/2006/relationships/hyperlink" Target="https://drive.google.com/open?id=1_jEkdbJIKf-uHEsRo4FVD_BSWnrjNMfS" TargetMode="External"/><Relationship Id="rId1084" Type="http://schemas.openxmlformats.org/officeDocument/2006/relationships/hyperlink" Target="https://drive.google.com/open?id=1x4lmzXr6oHujRi3yZsop6e-k-OtU1E4y" TargetMode="External"/><Relationship Id="rId107" Type="http://schemas.openxmlformats.org/officeDocument/2006/relationships/hyperlink" Target="https://drive.google.com/open?id=14Tr40tOTzRqjF9lt9cuqzqHNaZra9oAg" TargetMode="External"/><Relationship Id="rId454" Type="http://schemas.openxmlformats.org/officeDocument/2006/relationships/hyperlink" Target="https://drive.google.com/open?id=1_4WoNPmeGOdzuEQ5tydrLhD2UoON2KFv" TargetMode="External"/><Relationship Id="rId661" Type="http://schemas.openxmlformats.org/officeDocument/2006/relationships/hyperlink" Target="https://drive.google.com/open?id=1PjLq2RpphSPqoKZG5KH3RXcf75Mlxbmb" TargetMode="External"/><Relationship Id="rId759" Type="http://schemas.openxmlformats.org/officeDocument/2006/relationships/hyperlink" Target="https://drive.google.com/open?id=1WzWPs9CNDCFryDWpxCtSDTcM0RLZhVF5" TargetMode="External"/><Relationship Id="rId966" Type="http://schemas.openxmlformats.org/officeDocument/2006/relationships/hyperlink" Target="https://drive.google.com/open?id=1w1FE9h3C8odNYERPJndNdr2Ljho940r2" TargetMode="External"/><Relationship Id="rId11" Type="http://schemas.openxmlformats.org/officeDocument/2006/relationships/hyperlink" Target="https://drive.google.com/open?id=1yBqDdL_X3NgnZSwZOH2CQDhtX9dQR-UG" TargetMode="External"/><Relationship Id="rId314" Type="http://schemas.openxmlformats.org/officeDocument/2006/relationships/hyperlink" Target="https://drive.google.com/open?id=1Jc4GX3_xcnOoejMTxfK5VexoBcer3t25" TargetMode="External"/><Relationship Id="rId398" Type="http://schemas.openxmlformats.org/officeDocument/2006/relationships/hyperlink" Target="https://drive.google.com/open?id=1jCo6juEgdP1BHgypou3GFNK86S2kGsPR" TargetMode="External"/><Relationship Id="rId521" Type="http://schemas.openxmlformats.org/officeDocument/2006/relationships/hyperlink" Target="https://drive.google.com/open?id=1PxZ3CQdJ6MRHVAhJxcILeCY7uISOQ9sx" TargetMode="External"/><Relationship Id="rId619" Type="http://schemas.openxmlformats.org/officeDocument/2006/relationships/hyperlink" Target="https://drive.google.com/open?id=1FtRwF6YaiwM030qsAMkx-ETnQDK9dG9o" TargetMode="External"/><Relationship Id="rId1151" Type="http://schemas.openxmlformats.org/officeDocument/2006/relationships/hyperlink" Target="https://drive.google.com/open?id=1jKtuXQ62akFAt80DEAzg430UpfrocsUS" TargetMode="External"/><Relationship Id="rId1249" Type="http://schemas.openxmlformats.org/officeDocument/2006/relationships/hyperlink" Target="https://drive.google.com/open?id=1S8__T5FrTjQluvX8NdJ7Zxy-QQt1NaO8" TargetMode="External"/><Relationship Id="rId95" Type="http://schemas.openxmlformats.org/officeDocument/2006/relationships/hyperlink" Target="https://drive.google.com/open?id=1JSiSQrYagM5FVaVc-GF9ins_MRsxkqF_" TargetMode="External"/><Relationship Id="rId160" Type="http://schemas.openxmlformats.org/officeDocument/2006/relationships/hyperlink" Target="https://drive.google.com/open?id=1qSTffI8E7-YAm9smRZRKVFUei7AE-J4B" TargetMode="External"/><Relationship Id="rId826" Type="http://schemas.openxmlformats.org/officeDocument/2006/relationships/hyperlink" Target="https://drive.google.com/open?id=1BXrXuHjaYZJeGqw9UA-qrMNj4p-OSff8" TargetMode="External"/><Relationship Id="rId1011" Type="http://schemas.openxmlformats.org/officeDocument/2006/relationships/hyperlink" Target="https://drive.google.com/open?id=1ip9vWBECMYFxV2qhAwhWR5NmYv0HRpr2" TargetMode="External"/><Relationship Id="rId1109" Type="http://schemas.openxmlformats.org/officeDocument/2006/relationships/hyperlink" Target="https://drive.google.com/open?id=1jlIxOLvo0uJo5amz9ouk3SoggceXyG59" TargetMode="External"/><Relationship Id="rId258" Type="http://schemas.openxmlformats.org/officeDocument/2006/relationships/hyperlink" Target="https://drive.google.com/open?id=1SwBFeyAi2ASsIXn3FfsQkBC7CNQFwufv" TargetMode="External"/><Relationship Id="rId465" Type="http://schemas.openxmlformats.org/officeDocument/2006/relationships/hyperlink" Target="https://drive.google.com/open?id=1C2P2hf0V-cTK7IjQ5JUFe0Snd8kZluHk" TargetMode="External"/><Relationship Id="rId672" Type="http://schemas.openxmlformats.org/officeDocument/2006/relationships/hyperlink" Target="https://drive.google.com/open?id=1wZ065BbLPeQrwtJ8uMJhvQPLmiuNtZRh" TargetMode="External"/><Relationship Id="rId1095" Type="http://schemas.openxmlformats.org/officeDocument/2006/relationships/hyperlink" Target="https://drive.google.com/open?id=1iM66ZMwuhsg1pO-Wy4tnAvxs7zxVisFK" TargetMode="External"/><Relationship Id="rId22" Type="http://schemas.openxmlformats.org/officeDocument/2006/relationships/hyperlink" Target="https://drive.google.com/open?id=1nXBM2S34usx6sTXWpmwdOX8-n6O0Gbyh" TargetMode="External"/><Relationship Id="rId118" Type="http://schemas.openxmlformats.org/officeDocument/2006/relationships/hyperlink" Target="https://drive.google.com/open?id=1PGRxb7olgw3e7oqXZIE2uk6FT3NEyQdp" TargetMode="External"/><Relationship Id="rId325" Type="http://schemas.openxmlformats.org/officeDocument/2006/relationships/hyperlink" Target="https://drive.google.com/open?id=1IDPOlKsqLLNMDxIlcONnP1dhnmhpG3e2" TargetMode="External"/><Relationship Id="rId532" Type="http://schemas.openxmlformats.org/officeDocument/2006/relationships/hyperlink" Target="https://drive.google.com/open?id=1Yydyi4DgM9JB8k4WYKpKmUuokDuhxgSZ" TargetMode="External"/><Relationship Id="rId977" Type="http://schemas.openxmlformats.org/officeDocument/2006/relationships/hyperlink" Target="https://drive.google.com/open?id=1Cv7r1uLS2eUJCjY01eSU8LMLabF5C7kD" TargetMode="External"/><Relationship Id="rId1162" Type="http://schemas.openxmlformats.org/officeDocument/2006/relationships/hyperlink" Target="https://drive.google.com/open?id=148UOufZKhRIKmlNukPDlKpHOa6PanpHM" TargetMode="External"/><Relationship Id="rId171" Type="http://schemas.openxmlformats.org/officeDocument/2006/relationships/hyperlink" Target="https://drive.google.com/open?id=1hqufQh-q1vCWuf1DLSGukuzPyzGru-TE" TargetMode="External"/><Relationship Id="rId837" Type="http://schemas.openxmlformats.org/officeDocument/2006/relationships/hyperlink" Target="https://drive.google.com/open?id=1dXEzloJmecdXHvwKGbFp_K74qE3tvqG2" TargetMode="External"/><Relationship Id="rId1022" Type="http://schemas.openxmlformats.org/officeDocument/2006/relationships/hyperlink" Target="https://drive.google.com/open?id=1mrX_FSvKNetoJQUvRBaj1K0ew6TjqmjC" TargetMode="External"/><Relationship Id="rId269" Type="http://schemas.openxmlformats.org/officeDocument/2006/relationships/hyperlink" Target="https://drive.google.com/open?id=1ShbSMF9tQT0Ss9u6_L4yfr4Jp6rhQNBt" TargetMode="External"/><Relationship Id="rId476" Type="http://schemas.openxmlformats.org/officeDocument/2006/relationships/hyperlink" Target="https://drive.google.com/open?id=1z1AhKmQcGeKUtuKtyn0EVKI_6MNf_Sp_" TargetMode="External"/><Relationship Id="rId683" Type="http://schemas.openxmlformats.org/officeDocument/2006/relationships/hyperlink" Target="https://drive.google.com/open?id=1noeH7UJ21wnJce1BOLtSAJe4_l_8GfY3" TargetMode="External"/><Relationship Id="rId890" Type="http://schemas.openxmlformats.org/officeDocument/2006/relationships/hyperlink" Target="https://drive.google.com/open?id=1w6I79mOJCHybCt0hKyK6JVnHESeuK6fr" TargetMode="External"/><Relationship Id="rId904" Type="http://schemas.openxmlformats.org/officeDocument/2006/relationships/hyperlink" Target="https://drive.google.com/open?id=15N_SR_k7GpKSa6aWf0-yqsFxbtjuS8QN" TargetMode="External"/><Relationship Id="rId33" Type="http://schemas.openxmlformats.org/officeDocument/2006/relationships/hyperlink" Target="https://drive.google.com/open?id=1fRHRJTGjqD8YGngs8LKjIdGQUS1O8Iib" TargetMode="External"/><Relationship Id="rId129" Type="http://schemas.openxmlformats.org/officeDocument/2006/relationships/hyperlink" Target="https://drive.google.com/open?id=1kAnBen-b24RO3TRnscOuVW6ialw1137Z" TargetMode="External"/><Relationship Id="rId336" Type="http://schemas.openxmlformats.org/officeDocument/2006/relationships/hyperlink" Target="https://drive.google.com/open?id=1Irfq0QCOeafOKhtbWVaq3tXrBM-WPXUJ" TargetMode="External"/><Relationship Id="rId543" Type="http://schemas.openxmlformats.org/officeDocument/2006/relationships/hyperlink" Target="https://drive.google.com/open?id=1SNM4D0O4WnYwmkuTkTN5VCsW2C0cWmBM" TargetMode="External"/><Relationship Id="rId988" Type="http://schemas.openxmlformats.org/officeDocument/2006/relationships/hyperlink" Target="https://drive.google.com/open?id=1no1dQriyOFEnZD69PPmgoTdrp0pYXIxk" TargetMode="External"/><Relationship Id="rId1173" Type="http://schemas.openxmlformats.org/officeDocument/2006/relationships/hyperlink" Target="https://drive.google.com/open?id=1iI6ZSutx79BM-umg-FzqYTGQMcj2PUne" TargetMode="External"/><Relationship Id="rId182" Type="http://schemas.openxmlformats.org/officeDocument/2006/relationships/hyperlink" Target="https://drive.google.com/open?id=141_-kXZhe8-guaLC9XlJfjy4g7UpiwDe" TargetMode="External"/><Relationship Id="rId403" Type="http://schemas.openxmlformats.org/officeDocument/2006/relationships/hyperlink" Target="https://drive.google.com/open?id=17hyHFLQZYFsGy29Y3_TFCrI8XljJYZOm" TargetMode="External"/><Relationship Id="rId750" Type="http://schemas.openxmlformats.org/officeDocument/2006/relationships/hyperlink" Target="https://drive.google.com/open?id=1cUjkdAseL02rn8vGxo_Vcy0-Pik0xaxl" TargetMode="External"/><Relationship Id="rId848" Type="http://schemas.openxmlformats.org/officeDocument/2006/relationships/hyperlink" Target="https://drive.google.com/open?id=1pnh9ApM_dG3j1eF57-xFDuEs4THGV2Q0" TargetMode="External"/><Relationship Id="rId1033" Type="http://schemas.openxmlformats.org/officeDocument/2006/relationships/hyperlink" Target="https://drive.google.com/open?id=1OaxFTbc79Q8H8yuVk4baxw3Uy9Jv1_XL" TargetMode="External"/><Relationship Id="rId487" Type="http://schemas.openxmlformats.org/officeDocument/2006/relationships/hyperlink" Target="https://drive.google.com/open?id=1IHmCXj6UpzuYT5Tf4zUozICgocSzpAV-" TargetMode="External"/><Relationship Id="rId610" Type="http://schemas.openxmlformats.org/officeDocument/2006/relationships/hyperlink" Target="https://drive.google.com/open?id=16uLZJ3LGRSA-b2veqxJByic3IXhf1g16" TargetMode="External"/><Relationship Id="rId694" Type="http://schemas.openxmlformats.org/officeDocument/2006/relationships/hyperlink" Target="https://drive.google.com/open?id=1q803reKwz-ac2EcN23TT1WhoJhQNaF_N" TargetMode="External"/><Relationship Id="rId708" Type="http://schemas.openxmlformats.org/officeDocument/2006/relationships/hyperlink" Target="https://drive.google.com/open?id=1UwApHKvIJ1MwkL-YGAz-CjR_OSOXmck9" TargetMode="External"/><Relationship Id="rId915" Type="http://schemas.openxmlformats.org/officeDocument/2006/relationships/hyperlink" Target="https://drive.google.com/open?id=186y1iuhE4YBZhzsIvEl_WgkEWTWnFFAd" TargetMode="External"/><Relationship Id="rId1240" Type="http://schemas.openxmlformats.org/officeDocument/2006/relationships/hyperlink" Target="https://drive.google.com/open?id=1DSMJ93WvFsSIrxoJvCDjtWas0-Cn-_ZW" TargetMode="External"/><Relationship Id="rId347" Type="http://schemas.openxmlformats.org/officeDocument/2006/relationships/hyperlink" Target="https://drive.google.com/open?id=1GZZ-i-oASBLWM_Xd12YThhxdlE5G7yCt" TargetMode="External"/><Relationship Id="rId999" Type="http://schemas.openxmlformats.org/officeDocument/2006/relationships/hyperlink" Target="https://drive.google.com/open?id=1cCfLnDLCCOtAGP4ilT7mZ2avfn9rHegk" TargetMode="External"/><Relationship Id="rId1100" Type="http://schemas.openxmlformats.org/officeDocument/2006/relationships/hyperlink" Target="https://drive.google.com/open?id=1u37wNTDv0xz4kVPM1Qmf0Iiq7zsN7KrC" TargetMode="External"/><Relationship Id="rId1184" Type="http://schemas.openxmlformats.org/officeDocument/2006/relationships/hyperlink" Target="https://drive.google.com/open?id=1oUhfWX1gvOe0u1FaYdRCjRyQxorN4S0t" TargetMode="External"/><Relationship Id="rId44" Type="http://schemas.openxmlformats.org/officeDocument/2006/relationships/hyperlink" Target="https://drive.google.com/open?id=1mjjP_dyZHqAfVKCtQQoeHS4uo4ETLqQT" TargetMode="External"/><Relationship Id="rId554" Type="http://schemas.openxmlformats.org/officeDocument/2006/relationships/hyperlink" Target="https://drive.google.com/open?id=1MR6Xehd9yJupvdOpSpMTs_Nfote25Hda" TargetMode="External"/><Relationship Id="rId761" Type="http://schemas.openxmlformats.org/officeDocument/2006/relationships/hyperlink" Target="https://drive.google.com/open?id=1ZL5tv8lsR_dzwzLqY-AQRE8Pu6eGrUEL" TargetMode="External"/><Relationship Id="rId859" Type="http://schemas.openxmlformats.org/officeDocument/2006/relationships/hyperlink" Target="https://drive.google.com/open?id=1qJXuPJBjRiNh9akDI0_o3geRqcXUJ45A" TargetMode="External"/><Relationship Id="rId193" Type="http://schemas.openxmlformats.org/officeDocument/2006/relationships/hyperlink" Target="https://drive.google.com/open?id=1tfxblmVBuLrfJ4GwwdGicoArQ7CmZb3Q" TargetMode="External"/><Relationship Id="rId207" Type="http://schemas.openxmlformats.org/officeDocument/2006/relationships/hyperlink" Target="https://drive.google.com/open?id=1WlMWiWqDejnN1ClMkYOfyTJi62rkmelN" TargetMode="External"/><Relationship Id="rId414" Type="http://schemas.openxmlformats.org/officeDocument/2006/relationships/hyperlink" Target="https://drive.google.com/open?id=1c3xKZHPVNn6WdQ1ZW2_9f5JgWG-mBp-d" TargetMode="External"/><Relationship Id="rId498" Type="http://schemas.openxmlformats.org/officeDocument/2006/relationships/hyperlink" Target="https://drive.google.com/open?id=1cTOiSEPwzk0syQ-NXgLQHz0WQSNLLc6X" TargetMode="External"/><Relationship Id="rId621" Type="http://schemas.openxmlformats.org/officeDocument/2006/relationships/hyperlink" Target="https://drive.google.com/open?id=16NNo68FlXd88aK4LrnAR5FAT7g7Y_D9Z" TargetMode="External"/><Relationship Id="rId1044" Type="http://schemas.openxmlformats.org/officeDocument/2006/relationships/hyperlink" Target="https://drive.google.com/open?id=13rpQ9cw0kVzFoDpdHOknmEj7gJrsH0dT" TargetMode="External"/><Relationship Id="rId1251" Type="http://schemas.openxmlformats.org/officeDocument/2006/relationships/hyperlink" Target="https://drive.google.com/open?id=1k9lKfMw11Hmyl_GOZy23QzVF7BwGI25D" TargetMode="External"/><Relationship Id="rId260" Type="http://schemas.openxmlformats.org/officeDocument/2006/relationships/hyperlink" Target="https://drive.google.com/open?id=1-F6kN9gKtt4dklXzEOhQWkbzfr_aMXy5" TargetMode="External"/><Relationship Id="rId719" Type="http://schemas.openxmlformats.org/officeDocument/2006/relationships/hyperlink" Target="https://drive.google.com/open?id=14l0x7AE5VN0yYCcTy4cbnd1mEVjGwtvT" TargetMode="External"/><Relationship Id="rId926" Type="http://schemas.openxmlformats.org/officeDocument/2006/relationships/hyperlink" Target="https://drive.google.com/open?id=1J_lImwGnoi0C006EAlaME6Uslt8PXEm3" TargetMode="External"/><Relationship Id="rId1111" Type="http://schemas.openxmlformats.org/officeDocument/2006/relationships/hyperlink" Target="https://drive.google.com/open?id=1nWsddLz0YI74Wh2La9RRxAEuL8mbEleu" TargetMode="External"/><Relationship Id="rId55" Type="http://schemas.openxmlformats.org/officeDocument/2006/relationships/hyperlink" Target="https://drive.google.com/open?id=1kZ4GM5iE0HPJwjnTTeNtDpjuK8BwlFSt" TargetMode="External"/><Relationship Id="rId120" Type="http://schemas.openxmlformats.org/officeDocument/2006/relationships/hyperlink" Target="https://drive.google.com/open?id=1c1Ci2Qglbr-4Xs55MpOW-kbJeqJaAiDD" TargetMode="External"/><Relationship Id="rId358" Type="http://schemas.openxmlformats.org/officeDocument/2006/relationships/hyperlink" Target="https://drive.google.com/open?id=1zjmZW8vVWZ9eXIQdyqmPkMCaO2bFofKe" TargetMode="External"/><Relationship Id="rId565" Type="http://schemas.openxmlformats.org/officeDocument/2006/relationships/hyperlink" Target="https://drive.google.com/open?id=1mLHOl0k_jH9DZv1QaQPdVLLOqHT__zd_" TargetMode="External"/><Relationship Id="rId772" Type="http://schemas.openxmlformats.org/officeDocument/2006/relationships/hyperlink" Target="https://drive.google.com/open?id=1tphw-xGZQa4-eEuJSU5BxhMnnc5ztKGv" TargetMode="External"/><Relationship Id="rId1195" Type="http://schemas.openxmlformats.org/officeDocument/2006/relationships/hyperlink" Target="https://drive.google.com/open?id=1DBzaKSNdfcnK3J7MuErdfmcA5IVK6jSY" TargetMode="External"/><Relationship Id="rId1209" Type="http://schemas.openxmlformats.org/officeDocument/2006/relationships/hyperlink" Target="https://drive.google.com/open?id=1CoJ92naC5yJLK6qiXZmhsDbx_QUyqA52" TargetMode="External"/><Relationship Id="rId218" Type="http://schemas.openxmlformats.org/officeDocument/2006/relationships/hyperlink" Target="https://drive.google.com/open?id=1D9P96uMbk6U0vtzM8x8ZJGS0i4ENDkiR" TargetMode="External"/><Relationship Id="rId425" Type="http://schemas.openxmlformats.org/officeDocument/2006/relationships/hyperlink" Target="https://drive.google.com/open?id=1KivUsWLoJLToDIofd98zRktgO3G1ypF_" TargetMode="External"/><Relationship Id="rId632" Type="http://schemas.openxmlformats.org/officeDocument/2006/relationships/hyperlink" Target="https://drive.google.com/open?id=1OouxOWNbfUSAE8JqwRDRXpPN4id4fPJ3" TargetMode="External"/><Relationship Id="rId1055" Type="http://schemas.openxmlformats.org/officeDocument/2006/relationships/hyperlink" Target="https://drive.google.com/open?id=1ICOEYxPVu5R3ihx3VgF1jnPjXxar6Tlr" TargetMode="External"/><Relationship Id="rId271" Type="http://schemas.openxmlformats.org/officeDocument/2006/relationships/hyperlink" Target="https://drive.google.com/open?id=1uZIDBFvUiEmDUcpLLK10GUQhzS00asgT" TargetMode="External"/><Relationship Id="rId937" Type="http://schemas.openxmlformats.org/officeDocument/2006/relationships/hyperlink" Target="https://drive.google.com/open?id=1lbH6XeKk5Kp7itxZMzSOyxklrrt0Gat3" TargetMode="External"/><Relationship Id="rId1122" Type="http://schemas.openxmlformats.org/officeDocument/2006/relationships/hyperlink" Target="https://drive.google.com/open?id=1yRvulCXREgnaluLJJxxFF4K2EzMkV-Dr" TargetMode="External"/><Relationship Id="rId66" Type="http://schemas.openxmlformats.org/officeDocument/2006/relationships/hyperlink" Target="https://drive.google.com/open?id=1GRsEoRgJgOS7hhIC6mxNCBarXgho8D4R" TargetMode="External"/><Relationship Id="rId131" Type="http://schemas.openxmlformats.org/officeDocument/2006/relationships/hyperlink" Target="https://drive.google.com/open?id=105a4S3aaBiFP1tQKzwDx_-FzuKmu8CpX" TargetMode="External"/><Relationship Id="rId369" Type="http://schemas.openxmlformats.org/officeDocument/2006/relationships/hyperlink" Target="https://drive.google.com/open?id=1iUtXqJVB40o8_2D_N1MFwy-nkPPTHleL" TargetMode="External"/><Relationship Id="rId576" Type="http://schemas.openxmlformats.org/officeDocument/2006/relationships/hyperlink" Target="https://drive.google.com/open?id=1c6fabf-BBpQ7C7ChMP61eHyQl52MRqDv" TargetMode="External"/><Relationship Id="rId783" Type="http://schemas.openxmlformats.org/officeDocument/2006/relationships/hyperlink" Target="https://drive.google.com/open?id=1K8GLmBYhxX7kyJpMttKl4wxwqkQZuvwW" TargetMode="External"/><Relationship Id="rId990" Type="http://schemas.openxmlformats.org/officeDocument/2006/relationships/hyperlink" Target="https://drive.google.com/open?id=1H8zbP6ZpX_iB8kzPa2wdqTrLqh8hObT_" TargetMode="External"/><Relationship Id="rId229" Type="http://schemas.openxmlformats.org/officeDocument/2006/relationships/hyperlink" Target="https://drive.google.com/open?id=1dYOgWe1O-pyV-W0m0pILHFhCQZcmmVgg" TargetMode="External"/><Relationship Id="rId436" Type="http://schemas.openxmlformats.org/officeDocument/2006/relationships/hyperlink" Target="https://drive.google.com/open?id=1CBMtWKZzH6HVYhF9vHuwlEhq2dRPom53" TargetMode="External"/><Relationship Id="rId643" Type="http://schemas.openxmlformats.org/officeDocument/2006/relationships/hyperlink" Target="https://drive.google.com/open?id=1t9JO3J6Mn9uw2nfXtUbgcJUIaEDfpfd4" TargetMode="External"/><Relationship Id="rId1066" Type="http://schemas.openxmlformats.org/officeDocument/2006/relationships/hyperlink" Target="https://drive.google.com/open?id=17oHQ1kPpUxUPMz4J7MSB1AnABqwPUcZ4" TargetMode="External"/><Relationship Id="rId850" Type="http://schemas.openxmlformats.org/officeDocument/2006/relationships/hyperlink" Target="https://drive.google.com/open?id=1Xr6OJbh51tddmXgZF8pOqrg5TB6KmtFQ" TargetMode="External"/><Relationship Id="rId948" Type="http://schemas.openxmlformats.org/officeDocument/2006/relationships/hyperlink" Target="https://drive.google.com/open?id=1sxfhoSmbhmk9w9vn4ZjSLpFvgLvt3CJm" TargetMode="External"/><Relationship Id="rId1133" Type="http://schemas.openxmlformats.org/officeDocument/2006/relationships/hyperlink" Target="https://drive.google.com/open?id=1tAuqpUrxfohDlAFfLpwZYLKSFnaaFLI9" TargetMode="External"/><Relationship Id="rId77" Type="http://schemas.openxmlformats.org/officeDocument/2006/relationships/hyperlink" Target="https://drive.google.com/open?id=1nGcoKlQdsxkQy8hohgbnvwsRQ14jwydf" TargetMode="External"/><Relationship Id="rId282" Type="http://schemas.openxmlformats.org/officeDocument/2006/relationships/hyperlink" Target="https://drive.google.com/open?id=1oQWOuMBz7ux8B_OhG9NryIqMkKiMxm5c" TargetMode="External"/><Relationship Id="rId503" Type="http://schemas.openxmlformats.org/officeDocument/2006/relationships/hyperlink" Target="https://drive.google.com/open?id=1ew9hYnVDuazZ4MgYuhKpx8-ovo51tl_o" TargetMode="External"/><Relationship Id="rId587" Type="http://schemas.openxmlformats.org/officeDocument/2006/relationships/hyperlink" Target="https://drive.google.com/open?id=1Rwo5UibdDKr23FYYs5uFNi0kccDucLfJ" TargetMode="External"/><Relationship Id="rId710" Type="http://schemas.openxmlformats.org/officeDocument/2006/relationships/hyperlink" Target="https://drive.google.com/open?id=1BMx-Pm0tp4jLdFfsi65QUWJswpkYt6Q2" TargetMode="External"/><Relationship Id="rId808" Type="http://schemas.openxmlformats.org/officeDocument/2006/relationships/hyperlink" Target="https://drive.google.com/open?id=1Pn0bB2YpMFYQinigs8lE6P9HTHdwf7P7" TargetMode="External"/><Relationship Id="rId8" Type="http://schemas.openxmlformats.org/officeDocument/2006/relationships/hyperlink" Target="https://drive.google.com/open?id=10BCu_IYNITbJahzxTU_xGod7QWZH1IiB" TargetMode="External"/><Relationship Id="rId142" Type="http://schemas.openxmlformats.org/officeDocument/2006/relationships/hyperlink" Target="https://drive.google.com/open?id=19FKMD2bAELbikgRSremy4og5E8VNTP8x" TargetMode="External"/><Relationship Id="rId447" Type="http://schemas.openxmlformats.org/officeDocument/2006/relationships/hyperlink" Target="https://drive.google.com/open?id=1xSfqh-DHR1Rawo8iMrafNTP9XhVOIfBZ" TargetMode="External"/><Relationship Id="rId794" Type="http://schemas.openxmlformats.org/officeDocument/2006/relationships/hyperlink" Target="https://drive.google.com/open?id=189fwVhR8V35BiE1q2K8uIrXiHDBP6aac" TargetMode="External"/><Relationship Id="rId1077" Type="http://schemas.openxmlformats.org/officeDocument/2006/relationships/hyperlink" Target="https://drive.google.com/open?id=1emfQpJJ2S1-Zi2V_SPUhMCHmfT8UhFGD" TargetMode="External"/><Relationship Id="rId1200" Type="http://schemas.openxmlformats.org/officeDocument/2006/relationships/hyperlink" Target="https://drive.google.com/open?id=1x39aJ9jBieHn8K7o2-SQjG0Am-D4La3L" TargetMode="External"/><Relationship Id="rId654" Type="http://schemas.openxmlformats.org/officeDocument/2006/relationships/hyperlink" Target="https://drive.google.com/open?id=1gKnD7l2C7Hmg2IEABOsCGhK-eH6YIyzD" TargetMode="External"/><Relationship Id="rId861" Type="http://schemas.openxmlformats.org/officeDocument/2006/relationships/hyperlink" Target="https://drive.google.com/open?id=16lUF0_S-U46ytDiZYuzOFOobEqPQ0mN-" TargetMode="External"/><Relationship Id="rId959" Type="http://schemas.openxmlformats.org/officeDocument/2006/relationships/hyperlink" Target="https://drive.google.com/open?id=1K2ZxRpl4NSKuDU44lsyNt3C8sasMGbzt" TargetMode="External"/><Relationship Id="rId293" Type="http://schemas.openxmlformats.org/officeDocument/2006/relationships/hyperlink" Target="https://drive.google.com/open?id=1jc7XRc6RL2KR4Ymqr1GFempKyH_DcCym" TargetMode="External"/><Relationship Id="rId307" Type="http://schemas.openxmlformats.org/officeDocument/2006/relationships/hyperlink" Target="https://drive.google.com/open?id=1nA7K7Vhn69dboRl01c9mQeXuXl1Tskg_" TargetMode="External"/><Relationship Id="rId514" Type="http://schemas.openxmlformats.org/officeDocument/2006/relationships/hyperlink" Target="https://drive.google.com/open?id=1gj0XTcKScoi3VbTJQb61Kdfhp66i-Kbn" TargetMode="External"/><Relationship Id="rId721" Type="http://schemas.openxmlformats.org/officeDocument/2006/relationships/hyperlink" Target="https://drive.google.com/open?id=1NNbGVU_-DY0G2CbyAZ66WqQdITq8P2QX" TargetMode="External"/><Relationship Id="rId1144" Type="http://schemas.openxmlformats.org/officeDocument/2006/relationships/hyperlink" Target="https://drive.google.com/open?id=1Y3-dQwLeQVw8JtJPh21RNm3WNC9oBpti" TargetMode="External"/><Relationship Id="rId88" Type="http://schemas.openxmlformats.org/officeDocument/2006/relationships/hyperlink" Target="https://drive.google.com/open?id=1zTrVkdgsJd-CCzUGntAYriytsspOlUBH" TargetMode="External"/><Relationship Id="rId153" Type="http://schemas.openxmlformats.org/officeDocument/2006/relationships/hyperlink" Target="https://drive.google.com/open?id=1dZJp67oIfFFhxhB1EHy7S4wZpyxr28UN" TargetMode="External"/><Relationship Id="rId360" Type="http://schemas.openxmlformats.org/officeDocument/2006/relationships/hyperlink" Target="https://drive.google.com/open?id=1IaMRYSPeRnM8BPlKUZJOzUC3D2eFit66" TargetMode="External"/><Relationship Id="rId598" Type="http://schemas.openxmlformats.org/officeDocument/2006/relationships/hyperlink" Target="https://drive.google.com/open?id=1EW521o6EsqDPKN4Ls3xmI5PWrzCECI8r" TargetMode="External"/><Relationship Id="rId819" Type="http://schemas.openxmlformats.org/officeDocument/2006/relationships/hyperlink" Target="https://drive.google.com/open?id=1rqbS8g3SruQRRw9kpmc5kXg9tKJVEn5h" TargetMode="External"/><Relationship Id="rId1004" Type="http://schemas.openxmlformats.org/officeDocument/2006/relationships/hyperlink" Target="https://drive.google.com/open?id=15ZzcGDJFh9MftGT6ln-iAkBHa75MECBn" TargetMode="External"/><Relationship Id="rId1211" Type="http://schemas.openxmlformats.org/officeDocument/2006/relationships/hyperlink" Target="https://drive.google.com/open?id=1XwLN5LE9wKvAB3eAm2TKGGvJhKXzOMfb" TargetMode="External"/><Relationship Id="rId220" Type="http://schemas.openxmlformats.org/officeDocument/2006/relationships/hyperlink" Target="https://drive.google.com/open?id=1TCNu4QkCZ0O6G5m952IipJbKkehRZrS3" TargetMode="External"/><Relationship Id="rId458" Type="http://schemas.openxmlformats.org/officeDocument/2006/relationships/hyperlink" Target="https://drive.google.com/open?id=1BMWzPLbc2kuqbs6nfc0I3CyP8W0FaeOM" TargetMode="External"/><Relationship Id="rId665" Type="http://schemas.openxmlformats.org/officeDocument/2006/relationships/hyperlink" Target="https://drive.google.com/open?id=1BKlk5xZOFLrY30gVCiNIBpWm3fAZ4BZY" TargetMode="External"/><Relationship Id="rId872" Type="http://schemas.openxmlformats.org/officeDocument/2006/relationships/hyperlink" Target="https://drive.google.com/open?id=1WhrVF_rx4hT-PKRFVQpJOw2pPjxzyC8v" TargetMode="External"/><Relationship Id="rId1088" Type="http://schemas.openxmlformats.org/officeDocument/2006/relationships/hyperlink" Target="https://drive.google.com/open?id=1AezZlgKCoFA7S6vsNv-SJBgS1-9J8WOh" TargetMode="External"/><Relationship Id="rId15" Type="http://schemas.openxmlformats.org/officeDocument/2006/relationships/hyperlink" Target="https://drive.google.com/open?id=1ksCUg-CceSoaqIlWIlh-9KeUQJmeZJ7V" TargetMode="External"/><Relationship Id="rId318" Type="http://schemas.openxmlformats.org/officeDocument/2006/relationships/hyperlink" Target="https://drive.google.com/open?id=1bCHw5PhdUl_7SQCMHyLSQ-OLAhyrC2KQ" TargetMode="External"/><Relationship Id="rId525" Type="http://schemas.openxmlformats.org/officeDocument/2006/relationships/hyperlink" Target="https://drive.google.com/open?id=1Du5K4AR_-OV5I0XdOGeWWY1N1y4MqxSD" TargetMode="External"/><Relationship Id="rId732" Type="http://schemas.openxmlformats.org/officeDocument/2006/relationships/hyperlink" Target="https://drive.google.com/open?id=19JluUdbzQQhkXMtF9sL8n2UWMDSz9X5A" TargetMode="External"/><Relationship Id="rId1155" Type="http://schemas.openxmlformats.org/officeDocument/2006/relationships/hyperlink" Target="https://drive.google.com/open?id=17AZ1wKUbcAtkL4XWzz7T8URNo1aPa_Xq" TargetMode="External"/><Relationship Id="rId99" Type="http://schemas.openxmlformats.org/officeDocument/2006/relationships/hyperlink" Target="https://drive.google.com/open?id=11vkNxtoXdHjfUJmsjctH3x_1BI5bMUIT" TargetMode="External"/><Relationship Id="rId164" Type="http://schemas.openxmlformats.org/officeDocument/2006/relationships/hyperlink" Target="https://drive.google.com/open?id=1Bm-bi4PptqDIHQQXV4273urDDEgkTYli" TargetMode="External"/><Relationship Id="rId371" Type="http://schemas.openxmlformats.org/officeDocument/2006/relationships/hyperlink" Target="https://drive.google.com/open?id=1t5-pgW_hABSPnr8a7HZ4IYkNEp7OXIzt" TargetMode="External"/><Relationship Id="rId1015" Type="http://schemas.openxmlformats.org/officeDocument/2006/relationships/hyperlink" Target="https://drive.google.com/open?id=1aJPIQHdorWx-XkNR5_DSy0bwEaBsmtgU" TargetMode="External"/><Relationship Id="rId1222" Type="http://schemas.openxmlformats.org/officeDocument/2006/relationships/hyperlink" Target="https://drive.google.com/open?id=1cWRUnZpUgwaSDIQKqOJIKXY6aQxMmui4" TargetMode="External"/><Relationship Id="rId469" Type="http://schemas.openxmlformats.org/officeDocument/2006/relationships/hyperlink" Target="https://drive.google.com/open?id=1KSW7hLtpiOQ1qi4fgVxTQnodY41_YtRU" TargetMode="External"/><Relationship Id="rId676" Type="http://schemas.openxmlformats.org/officeDocument/2006/relationships/hyperlink" Target="https://drive.google.com/open?id=1iJDoe3-7w9iPF6KRl4pNvCHTVYkK6aGf" TargetMode="External"/><Relationship Id="rId883" Type="http://schemas.openxmlformats.org/officeDocument/2006/relationships/hyperlink" Target="https://drive.google.com/open?id=1mwTpCZKpholNW74NsIQlle6y-31OaVlx" TargetMode="External"/><Relationship Id="rId1099" Type="http://schemas.openxmlformats.org/officeDocument/2006/relationships/hyperlink" Target="https://drive.google.com/open?id=1ZqAvA_fnXXTJ8rkpqI6WpjXkO6fpVP_t" TargetMode="External"/><Relationship Id="rId26" Type="http://schemas.openxmlformats.org/officeDocument/2006/relationships/hyperlink" Target="https://drive.google.com/open?id=1nL_MdriRxvIGzWw4NGH7YZj2XiIp4Rmu" TargetMode="External"/><Relationship Id="rId231" Type="http://schemas.openxmlformats.org/officeDocument/2006/relationships/hyperlink" Target="https://drive.google.com/open?id=1_qlDJu7RDy76WqFQPKygbv1sfa3BDghp" TargetMode="External"/><Relationship Id="rId329" Type="http://schemas.openxmlformats.org/officeDocument/2006/relationships/hyperlink" Target="https://drive.google.com/open?id=163W2WXqlFzr4shovAoFb6uMLUbe-NSq0" TargetMode="External"/><Relationship Id="rId536" Type="http://schemas.openxmlformats.org/officeDocument/2006/relationships/hyperlink" Target="https://drive.google.com/open?id=1iGYCMu1VvjzMptAvGw8G67q-Jc7vwTFv" TargetMode="External"/><Relationship Id="rId1166" Type="http://schemas.openxmlformats.org/officeDocument/2006/relationships/hyperlink" Target="https://drive.google.com/open?id=1inV6lrTRcwhXtXK9ScSLR0YBwdYDzy9L" TargetMode="External"/><Relationship Id="rId175" Type="http://schemas.openxmlformats.org/officeDocument/2006/relationships/hyperlink" Target="https://drive.google.com/open?id=1sZIsm4RK6pRDP50knhYGPS5zUrJkMTpp" TargetMode="External"/><Relationship Id="rId743" Type="http://schemas.openxmlformats.org/officeDocument/2006/relationships/hyperlink" Target="https://drive.google.com/open?id=1xqjd-70ojgy_IfzOtPAfLQbx7oKrJiMD" TargetMode="External"/><Relationship Id="rId950" Type="http://schemas.openxmlformats.org/officeDocument/2006/relationships/hyperlink" Target="https://drive.google.com/open?id=1bTTvU-uBZeK6IXJ4uweRWDgdN3NGVZ9U" TargetMode="External"/><Relationship Id="rId1026" Type="http://schemas.openxmlformats.org/officeDocument/2006/relationships/hyperlink" Target="https://drive.google.com/open?id=1qA7cPMKPEg969t7W7Ln9vWBG1KoUhzQc" TargetMode="External"/><Relationship Id="rId382" Type="http://schemas.openxmlformats.org/officeDocument/2006/relationships/hyperlink" Target="https://drive.google.com/open?id=1KdqSSsR2mJ3MioMUCKI6jrObJcNC4JrN" TargetMode="External"/><Relationship Id="rId603" Type="http://schemas.openxmlformats.org/officeDocument/2006/relationships/hyperlink" Target="https://drive.google.com/open?id=1rznn3NDPrQrgrAcDtCH0D5xxMSEq083g" TargetMode="External"/><Relationship Id="rId687" Type="http://schemas.openxmlformats.org/officeDocument/2006/relationships/hyperlink" Target="https://drive.google.com/open?id=15M8CsaTyvOn1Nd_QfWD05Y6XawsDdtZP" TargetMode="External"/><Relationship Id="rId810" Type="http://schemas.openxmlformats.org/officeDocument/2006/relationships/hyperlink" Target="https://drive.google.com/open?id=1p38fk3S42PvlEGk6mFjgq3GOm0bAxrrz" TargetMode="External"/><Relationship Id="rId908" Type="http://schemas.openxmlformats.org/officeDocument/2006/relationships/hyperlink" Target="https://drive.google.com/open?id=1dU0BG3jMcnmdhnJZOMvEr8QT9pY12hGC" TargetMode="External"/><Relationship Id="rId1233" Type="http://schemas.openxmlformats.org/officeDocument/2006/relationships/hyperlink" Target="https://drive.google.com/open?id=1PGntLVO09mZNNVGh2Wg8ST5qJlbsw1Vq" TargetMode="External"/><Relationship Id="rId242" Type="http://schemas.openxmlformats.org/officeDocument/2006/relationships/hyperlink" Target="https://drive.google.com/open?id=1mXi3bffSwW2awQmI9DrQNQ01k6gWDsVK" TargetMode="External"/><Relationship Id="rId894" Type="http://schemas.openxmlformats.org/officeDocument/2006/relationships/hyperlink" Target="https://drive.google.com/open?id=1PqepHbxi1nYzSlL121bouAb6UfkfF0Fu" TargetMode="External"/><Relationship Id="rId1177" Type="http://schemas.openxmlformats.org/officeDocument/2006/relationships/hyperlink" Target="https://drive.google.com/open?id=1dpzIsAq-9wmPIvt_Pjw94M1ME0yQ_ZrU" TargetMode="External"/><Relationship Id="rId37" Type="http://schemas.openxmlformats.org/officeDocument/2006/relationships/hyperlink" Target="https://drive.google.com/open?id=1OiZxkYvW9eNfNtoGbvePXVD1lyYXUo8y" TargetMode="External"/><Relationship Id="rId102" Type="http://schemas.openxmlformats.org/officeDocument/2006/relationships/hyperlink" Target="https://drive.google.com/open?id=1cFx24TS0NOq2jWtg4mc-jgoUp5Yb7Dqj" TargetMode="External"/><Relationship Id="rId547" Type="http://schemas.openxmlformats.org/officeDocument/2006/relationships/hyperlink" Target="https://drive.google.com/open?id=1UtSbpdL0wgV7fYMMRFGRvdpYQqAWiXGn" TargetMode="External"/><Relationship Id="rId754" Type="http://schemas.openxmlformats.org/officeDocument/2006/relationships/hyperlink" Target="https://drive.google.com/open?id=18tJZVAsGfXKDv7Q1HFdrAi2hVfn4fFOB" TargetMode="External"/><Relationship Id="rId961" Type="http://schemas.openxmlformats.org/officeDocument/2006/relationships/hyperlink" Target="https://drive.google.com/open?id=1ROvSnot1pc5rbHgpvhE5oe9kAYb5eHA9" TargetMode="External"/><Relationship Id="rId90" Type="http://schemas.openxmlformats.org/officeDocument/2006/relationships/hyperlink" Target="https://drive.google.com/open?id=1y3-K4AbVHNKQ0DIyFeoqeC5qzhsrCp1z" TargetMode="External"/><Relationship Id="rId186" Type="http://schemas.openxmlformats.org/officeDocument/2006/relationships/hyperlink" Target="https://drive.google.com/open?id=1pXc38zh5dtxij0BDX085kp2P2MzQW1qn" TargetMode="External"/><Relationship Id="rId393" Type="http://schemas.openxmlformats.org/officeDocument/2006/relationships/hyperlink" Target="https://drive.google.com/open?id=1T2LdJWbwQ66_vThWW9HK66xSTHT4Xsgg" TargetMode="External"/><Relationship Id="rId407" Type="http://schemas.openxmlformats.org/officeDocument/2006/relationships/hyperlink" Target="https://drive.google.com/open?id=14m5-s4KWxTaiN7ms3OOXgIhhEQQqp-RI" TargetMode="External"/><Relationship Id="rId614" Type="http://schemas.openxmlformats.org/officeDocument/2006/relationships/hyperlink" Target="https://drive.google.com/open?id=1f9uojzFUBga16paETrwmlx-wGowbbVF6" TargetMode="External"/><Relationship Id="rId821" Type="http://schemas.openxmlformats.org/officeDocument/2006/relationships/hyperlink" Target="https://drive.google.com/open?id=1XLub5cc12UzZqd9_Aoee4OMX4RLAgbHI" TargetMode="External"/><Relationship Id="rId1037" Type="http://schemas.openxmlformats.org/officeDocument/2006/relationships/hyperlink" Target="https://drive.google.com/open?id=1VUTS-ioTXeEjpbHEzGcKdFNcDP7pWFPY" TargetMode="External"/><Relationship Id="rId1244" Type="http://schemas.openxmlformats.org/officeDocument/2006/relationships/hyperlink" Target="https://drive.google.com/open?id=1xQlHv0wKGuutgTTULbr2ijEtGg8ROMDj" TargetMode="External"/><Relationship Id="rId253" Type="http://schemas.openxmlformats.org/officeDocument/2006/relationships/hyperlink" Target="https://drive.google.com/open?id=1M-ll3iHlg2pmh_ncvly2faxfvmbVrKE6" TargetMode="External"/><Relationship Id="rId460" Type="http://schemas.openxmlformats.org/officeDocument/2006/relationships/hyperlink" Target="https://drive.google.com/open?id=17PVZ2u7ns_goO5NfXBNoQO-8lKOtHQTY" TargetMode="External"/><Relationship Id="rId698" Type="http://schemas.openxmlformats.org/officeDocument/2006/relationships/hyperlink" Target="https://drive.google.com/open?id=1CeoNVAH4BZ9OmuGdOzZchKfj-B1scLGX" TargetMode="External"/><Relationship Id="rId919" Type="http://schemas.openxmlformats.org/officeDocument/2006/relationships/hyperlink" Target="https://drive.google.com/open?id=1rHpAizE7KMd-f8TdmUH-BYn_99tpfAsT" TargetMode="External"/><Relationship Id="rId1090" Type="http://schemas.openxmlformats.org/officeDocument/2006/relationships/hyperlink" Target="https://drive.google.com/open?id=1MX5ygKYlHigzBF6d6c0JoLbCzWxqhOpI" TargetMode="External"/><Relationship Id="rId1104" Type="http://schemas.openxmlformats.org/officeDocument/2006/relationships/hyperlink" Target="https://drive.google.com/open?id=1vStvfhlswhf71nsb3rM4YrJ6PC6sVB_m" TargetMode="External"/><Relationship Id="rId48" Type="http://schemas.openxmlformats.org/officeDocument/2006/relationships/hyperlink" Target="https://drive.google.com/open?id=1uJ2Tnz1IAtov7rg2Zy8ssFFLF_cpaHHm" TargetMode="External"/><Relationship Id="rId113" Type="http://schemas.openxmlformats.org/officeDocument/2006/relationships/hyperlink" Target="https://drive.google.com/open?id=1AcBOPIcbguuJsC2ba6Ncc5wyBwtuxki8" TargetMode="External"/><Relationship Id="rId320" Type="http://schemas.openxmlformats.org/officeDocument/2006/relationships/hyperlink" Target="https://drive.google.com/open?id=1LcXoftxxG7-s_RW0fIpkWfv0TIkDR5It" TargetMode="External"/><Relationship Id="rId558" Type="http://schemas.openxmlformats.org/officeDocument/2006/relationships/hyperlink" Target="https://drive.google.com/open?id=1vk7iVXK4oTHRGQoO6Pw0R49Clq_9MYsO" TargetMode="External"/><Relationship Id="rId765" Type="http://schemas.openxmlformats.org/officeDocument/2006/relationships/hyperlink" Target="https://drive.google.com/open?id=1PHchAnwNklc60p--MA90KaU-Gsia--0Y" TargetMode="External"/><Relationship Id="rId972" Type="http://schemas.openxmlformats.org/officeDocument/2006/relationships/hyperlink" Target="https://drive.google.com/open?id=1O11EkbLTKjUJODHh2Y0bkc4g66d_Rm66" TargetMode="External"/><Relationship Id="rId1188" Type="http://schemas.openxmlformats.org/officeDocument/2006/relationships/hyperlink" Target="https://drive.google.com/open?id=11LqRPxfcHgcT4mkFm-Gw_pUPjTrktJfn" TargetMode="External"/><Relationship Id="rId197" Type="http://schemas.openxmlformats.org/officeDocument/2006/relationships/hyperlink" Target="https://drive.google.com/open?id=1_IuTBph6b0LcuRdz2m8PoC4-CcNMSxWs" TargetMode="External"/><Relationship Id="rId418" Type="http://schemas.openxmlformats.org/officeDocument/2006/relationships/hyperlink" Target="https://drive.google.com/open?id=1NP9PTScPLps9_NtfUPnBe5-d2VBc6v08" TargetMode="External"/><Relationship Id="rId625" Type="http://schemas.openxmlformats.org/officeDocument/2006/relationships/hyperlink" Target="https://drive.google.com/open?id=1hj4IJfbW8PqtVZ4ksSq5HayAhdtUJbhe" TargetMode="External"/><Relationship Id="rId832" Type="http://schemas.openxmlformats.org/officeDocument/2006/relationships/hyperlink" Target="https://drive.google.com/open?id=1mM4YX33mpAoiqsg4aef3Lq8LavdoMClg" TargetMode="External"/><Relationship Id="rId1048" Type="http://schemas.openxmlformats.org/officeDocument/2006/relationships/hyperlink" Target="https://drive.google.com/open?id=1iXTCl0ZT7K3H-UwPOefHAZwaCCT-8ryP" TargetMode="External"/><Relationship Id="rId1255" Type="http://schemas.openxmlformats.org/officeDocument/2006/relationships/hyperlink" Target="https://drive.google.com/open?id=1M8LU-k9XJ64obieWt5rCwvHco3Gh-1Q-" TargetMode="External"/><Relationship Id="rId264" Type="http://schemas.openxmlformats.org/officeDocument/2006/relationships/hyperlink" Target="https://drive.google.com/open?id=1RvAF1ZXQTAhNPzkAnC7zHSr3PMrc6lhu" TargetMode="External"/><Relationship Id="rId471" Type="http://schemas.openxmlformats.org/officeDocument/2006/relationships/hyperlink" Target="https://drive.google.com/open?id=1SsSI51UTy7OiOI6gEfzbjvVpapB1JBuB" TargetMode="External"/><Relationship Id="rId1115" Type="http://schemas.openxmlformats.org/officeDocument/2006/relationships/hyperlink" Target="https://drive.google.com/open?id=11V_hI3BeUB9V94vj0ojHCz4OUjyh91UG" TargetMode="External"/><Relationship Id="rId59" Type="http://schemas.openxmlformats.org/officeDocument/2006/relationships/hyperlink" Target="https://drive.google.com/open?id=17hncmyUhPoVqZ6oT6H17LlL2ZUcST_wk" TargetMode="External"/><Relationship Id="rId124" Type="http://schemas.openxmlformats.org/officeDocument/2006/relationships/hyperlink" Target="https://drive.google.com/open?id=103oK0IerRySjAnLiaL47mSiSpfyjooel" TargetMode="External"/><Relationship Id="rId569" Type="http://schemas.openxmlformats.org/officeDocument/2006/relationships/hyperlink" Target="https://drive.google.com/open?id=16-X_PSjs7JIlHm8uxtM_p7IdlbKdl69a" TargetMode="External"/><Relationship Id="rId776" Type="http://schemas.openxmlformats.org/officeDocument/2006/relationships/hyperlink" Target="https://drive.google.com/open?id=1bwBRA6ON2Lqee9hcY4B6rPpLwN2r55QC" TargetMode="External"/><Relationship Id="rId983" Type="http://schemas.openxmlformats.org/officeDocument/2006/relationships/hyperlink" Target="https://drive.google.com/open?id=1afLmqB-rbQWeHOrsULt-W8ZCdjgoE-7C" TargetMode="External"/><Relationship Id="rId1199" Type="http://schemas.openxmlformats.org/officeDocument/2006/relationships/hyperlink" Target="https://drive.google.com/open?id=14KPUaJC_3flYWo_k1WRyX0pTdAWm8_oV" TargetMode="External"/><Relationship Id="rId331" Type="http://schemas.openxmlformats.org/officeDocument/2006/relationships/hyperlink" Target="https://drive.google.com/open?id=17BEXSfx0QKUT4_TtDuQP-LMLbs554c8d" TargetMode="External"/><Relationship Id="rId429" Type="http://schemas.openxmlformats.org/officeDocument/2006/relationships/hyperlink" Target="https://drive.google.com/open?id=1JYI0AkYczb12UstO1ABPw-5VFUxW8fhn" TargetMode="External"/><Relationship Id="rId636" Type="http://schemas.openxmlformats.org/officeDocument/2006/relationships/hyperlink" Target="https://drive.google.com/open?id=1QAFhz2ElYbbHTQ8W_8HXKb0J8ASAE87W" TargetMode="External"/><Relationship Id="rId1059" Type="http://schemas.openxmlformats.org/officeDocument/2006/relationships/hyperlink" Target="https://drive.google.com/open?id=13djDLGL9aZ3nBG4CqjNscOjeR1V1Fgf1" TargetMode="External"/><Relationship Id="rId843" Type="http://schemas.openxmlformats.org/officeDocument/2006/relationships/hyperlink" Target="https://drive.google.com/open?id=1gEAnWwquEPTHpH_-BjkMD9jBfEmKgrz0" TargetMode="External"/><Relationship Id="rId1126" Type="http://schemas.openxmlformats.org/officeDocument/2006/relationships/hyperlink" Target="https://drive.google.com/open?id=1NRsBqbjPhrPvWL20W2LELyZlz3Yvf3os" TargetMode="External"/><Relationship Id="rId275" Type="http://schemas.openxmlformats.org/officeDocument/2006/relationships/hyperlink" Target="https://drive.google.com/open?id=1dax2U7aWpcGfkteyCn-_JSGcwnHSJDKf" TargetMode="External"/><Relationship Id="rId482" Type="http://schemas.openxmlformats.org/officeDocument/2006/relationships/hyperlink" Target="https://drive.google.com/open?id=1UTADVLOpFqBMJR13M3GIHYLz68beUkyu" TargetMode="External"/><Relationship Id="rId703" Type="http://schemas.openxmlformats.org/officeDocument/2006/relationships/hyperlink" Target="https://drive.google.com/open?id=1K5yaP82uARnWCrtHlziR-bnZlRn9HmkW" TargetMode="External"/><Relationship Id="rId910" Type="http://schemas.openxmlformats.org/officeDocument/2006/relationships/hyperlink" Target="https://drive.google.com/open?id=1_cBqAlVvG8rhzOYW9wI2QW__XfVQyLyC" TargetMode="External"/><Relationship Id="rId135" Type="http://schemas.openxmlformats.org/officeDocument/2006/relationships/hyperlink" Target="https://drive.google.com/open?id=1x_wwQ-zyWuXv8F1IIKx9k-S43hGuHyct" TargetMode="External"/><Relationship Id="rId342" Type="http://schemas.openxmlformats.org/officeDocument/2006/relationships/hyperlink" Target="https://drive.google.com/open?id=1IfcrmeGy2Iw2ygjQQOl3s97hYDiPdXrB" TargetMode="External"/><Relationship Id="rId787" Type="http://schemas.openxmlformats.org/officeDocument/2006/relationships/hyperlink" Target="https://drive.google.com/open?id=1VpZVDfeadsu-zCtVyzI_QawwlmJtttUb" TargetMode="External"/><Relationship Id="rId994" Type="http://schemas.openxmlformats.org/officeDocument/2006/relationships/hyperlink" Target="https://drive.google.com/open?id=1OA5cn0SIfgIcQDB0qfqTIjd7BYQw9T5D" TargetMode="External"/><Relationship Id="rId202" Type="http://schemas.openxmlformats.org/officeDocument/2006/relationships/hyperlink" Target="https://drive.google.com/open?id=1XgPJJps6YjUqeTSH7-cvSBF4cn7MAL6L" TargetMode="External"/><Relationship Id="rId647" Type="http://schemas.openxmlformats.org/officeDocument/2006/relationships/hyperlink" Target="https://drive.google.com/open?id=19oB0eka7RXUNohXYLxjFiR6mTsgtLyBY" TargetMode="External"/><Relationship Id="rId854" Type="http://schemas.openxmlformats.org/officeDocument/2006/relationships/hyperlink" Target="https://drive.google.com/open?id=1MOnapvIgYdr1i72IMc5zK9k5TVMNhl_D" TargetMode="External"/><Relationship Id="rId286" Type="http://schemas.openxmlformats.org/officeDocument/2006/relationships/hyperlink" Target="https://drive.google.com/open?id=121uf3fdsCyfF8k4KO34fgQdYmOJXrazd" TargetMode="External"/><Relationship Id="rId493" Type="http://schemas.openxmlformats.org/officeDocument/2006/relationships/hyperlink" Target="https://drive.google.com/open?id=1lK5a1AvKPLqanKH_ycr0id4qESA8lyFy" TargetMode="External"/><Relationship Id="rId507" Type="http://schemas.openxmlformats.org/officeDocument/2006/relationships/hyperlink" Target="https://drive.google.com/open?id=1XohfkH1kyZdLJBcurOVOABNzd9VZckoM" TargetMode="External"/><Relationship Id="rId714" Type="http://schemas.openxmlformats.org/officeDocument/2006/relationships/hyperlink" Target="https://drive.google.com/open?id=1MRekJoKTQarKm5u102k8SdEBQBxp7q3L" TargetMode="External"/><Relationship Id="rId921" Type="http://schemas.openxmlformats.org/officeDocument/2006/relationships/hyperlink" Target="https://drive.google.com/open?id=1LmiMt_sCydMNGUYyOrmKOGo917nWIT3b" TargetMode="External"/><Relationship Id="rId1137" Type="http://schemas.openxmlformats.org/officeDocument/2006/relationships/hyperlink" Target="https://drive.google.com/open?id=1aOCYe--EDUqAI9YSpToOXiRT01K95Q80" TargetMode="External"/><Relationship Id="rId50" Type="http://schemas.openxmlformats.org/officeDocument/2006/relationships/hyperlink" Target="https://drive.google.com/open?id=1NNtYx1_XHeKs4RyvY8baZIYE_PLbD-1T" TargetMode="External"/><Relationship Id="rId146" Type="http://schemas.openxmlformats.org/officeDocument/2006/relationships/hyperlink" Target="https://drive.google.com/open?id=12xzHO5UXrZ8wzzy7ZE9ybJRu9dmVrEKJ" TargetMode="External"/><Relationship Id="rId353" Type="http://schemas.openxmlformats.org/officeDocument/2006/relationships/hyperlink" Target="https://drive.google.com/open?id=1wq0UPsQPRRJJi6aCaOsYlDy2iVOIzeV2" TargetMode="External"/><Relationship Id="rId560" Type="http://schemas.openxmlformats.org/officeDocument/2006/relationships/hyperlink" Target="https://drive.google.com/open?id=12SSXRqShHzQxlToSS9ggufQz1OLWAqet" TargetMode="External"/><Relationship Id="rId798" Type="http://schemas.openxmlformats.org/officeDocument/2006/relationships/hyperlink" Target="https://drive.google.com/open?id=1zD8EW76dp_9gXqucDWTvNv6-z8Yhxxt0" TargetMode="External"/><Relationship Id="rId1190" Type="http://schemas.openxmlformats.org/officeDocument/2006/relationships/hyperlink" Target="https://drive.google.com/open?id=1mbKm4wvTq778sg55aqa-TwwqSc2_OFE1" TargetMode="External"/><Relationship Id="rId1204" Type="http://schemas.openxmlformats.org/officeDocument/2006/relationships/hyperlink" Target="https://drive.google.com/open?id=1BV2HTCiXKYn2wmAQnZwAqOKCaR3qA1en" TargetMode="External"/><Relationship Id="rId213" Type="http://schemas.openxmlformats.org/officeDocument/2006/relationships/hyperlink" Target="https://drive.google.com/open?id=1n9mTR-JPcaAMsbSqKWLbR3yxgierLPRW" TargetMode="External"/><Relationship Id="rId420" Type="http://schemas.openxmlformats.org/officeDocument/2006/relationships/hyperlink" Target="https://drive.google.com/open?id=1-CkXnJchq4dIj2pgPHRfaPhDXGfLlDB_" TargetMode="External"/><Relationship Id="rId658" Type="http://schemas.openxmlformats.org/officeDocument/2006/relationships/hyperlink" Target="https://drive.google.com/open?id=18W0G8EIy_YLVPx8v9TgJCfE1YdC6_umm" TargetMode="External"/><Relationship Id="rId865" Type="http://schemas.openxmlformats.org/officeDocument/2006/relationships/hyperlink" Target="https://drive.google.com/open?id=1JSZcXWLnYl8j6-LQdZNeck8lLfMu4hqU" TargetMode="External"/><Relationship Id="rId1050" Type="http://schemas.openxmlformats.org/officeDocument/2006/relationships/hyperlink" Target="https://drive.google.com/open?id=17nkOOAg0Sg0LeygPyWusewgSNjrRgKAI" TargetMode="External"/><Relationship Id="rId297" Type="http://schemas.openxmlformats.org/officeDocument/2006/relationships/hyperlink" Target="https://drive.google.com/open?id=1ZB3b1wvCIUVqcEN_8ln5cO0-pJktbop2" TargetMode="External"/><Relationship Id="rId518" Type="http://schemas.openxmlformats.org/officeDocument/2006/relationships/hyperlink" Target="https://drive.google.com/open?id=17m0KfdZXqUUUl9GK087cBC0EYQ7_NaxY" TargetMode="External"/><Relationship Id="rId725" Type="http://schemas.openxmlformats.org/officeDocument/2006/relationships/hyperlink" Target="https://drive.google.com/open?id=1RFsSR3HqRh5_BmklxL-_yRHrIunC-4DW" TargetMode="External"/><Relationship Id="rId932" Type="http://schemas.openxmlformats.org/officeDocument/2006/relationships/hyperlink" Target="https://drive.google.com/open?id=1vzOw3FzKVSVE-vq7vQbOXk79ucHrj0Rr" TargetMode="External"/><Relationship Id="rId1148" Type="http://schemas.openxmlformats.org/officeDocument/2006/relationships/hyperlink" Target="https://drive.google.com/open?id=16j46gsYMj1Sf5L0jdCnjxXwbDogxKpfE" TargetMode="External"/><Relationship Id="rId157" Type="http://schemas.openxmlformats.org/officeDocument/2006/relationships/hyperlink" Target="https://drive.google.com/open?id=1mjTc1JHntm-x-x_HKvEyEZVVcuOBJzRX" TargetMode="External"/><Relationship Id="rId364" Type="http://schemas.openxmlformats.org/officeDocument/2006/relationships/hyperlink" Target="https://drive.google.com/open?id=1zV0AxzFWbckwNf0kiz2DTMLGHOlco-wW" TargetMode="External"/><Relationship Id="rId1008" Type="http://schemas.openxmlformats.org/officeDocument/2006/relationships/hyperlink" Target="https://drive.google.com/open?id=1tR2s-a6yp1tI3UwCqoQM1JtMs3qLNzFm" TargetMode="External"/><Relationship Id="rId1215" Type="http://schemas.openxmlformats.org/officeDocument/2006/relationships/hyperlink" Target="https://drive.google.com/open?id=1_evaqKEcYffiZxvGnqvJ85ZEqfiGE1es" TargetMode="External"/><Relationship Id="rId61" Type="http://schemas.openxmlformats.org/officeDocument/2006/relationships/hyperlink" Target="https://drive.google.com/open?id=1ETP_p9zIwV9X1V2R0wOvJol3B0ODK6RQ" TargetMode="External"/><Relationship Id="rId571" Type="http://schemas.openxmlformats.org/officeDocument/2006/relationships/hyperlink" Target="https://drive.google.com/open?id=1Nd5nggmZWYpCISXzVPp4HxV7W7AErtPs" TargetMode="External"/><Relationship Id="rId669" Type="http://schemas.openxmlformats.org/officeDocument/2006/relationships/hyperlink" Target="https://drive.google.com/open?id=1t8UyoqDm71ShyxjJ3yxhyuXWHo-fQ3EP" TargetMode="External"/><Relationship Id="rId876" Type="http://schemas.openxmlformats.org/officeDocument/2006/relationships/hyperlink" Target="https://drive.google.com/open?id=1Dkl1dCD_48wtYXTlDNzNeN9-iHEQICdS" TargetMode="External"/><Relationship Id="rId19" Type="http://schemas.openxmlformats.org/officeDocument/2006/relationships/hyperlink" Target="https://drive.google.com/open?id=1dxPGWja7awTvQtuMPvabUpgHGUayNGYo" TargetMode="External"/><Relationship Id="rId224" Type="http://schemas.openxmlformats.org/officeDocument/2006/relationships/hyperlink" Target="https://drive.google.com/open?id=1exBYferXs8GDoXsp3oSySpjuWbw1PuLw" TargetMode="External"/><Relationship Id="rId431" Type="http://schemas.openxmlformats.org/officeDocument/2006/relationships/hyperlink" Target="https://drive.google.com/open?id=1tvPZtgVdqyzF4tUBy6q6tORQC-npp6WN" TargetMode="External"/><Relationship Id="rId529" Type="http://schemas.openxmlformats.org/officeDocument/2006/relationships/hyperlink" Target="https://drive.google.com/open?id=1SYeFmtmRykFwc-pi5hsOEnlYvWqTKBIB" TargetMode="External"/><Relationship Id="rId736" Type="http://schemas.openxmlformats.org/officeDocument/2006/relationships/hyperlink" Target="https://drive.google.com/open?id=1jF1dg5PkTJKlvdkAPTXnlbpBmEve2yJn" TargetMode="External"/><Relationship Id="rId1061" Type="http://schemas.openxmlformats.org/officeDocument/2006/relationships/hyperlink" Target="https://drive.google.com/open?id=1O6yBtPHdb7YbIMbF_FdQQJ_VceaPWagI" TargetMode="External"/><Relationship Id="rId1159" Type="http://schemas.openxmlformats.org/officeDocument/2006/relationships/hyperlink" Target="https://drive.google.com/open?id=1m0UZZFmBQuvUvxzWXfK6g2bCMwoarxEU" TargetMode="External"/><Relationship Id="rId168" Type="http://schemas.openxmlformats.org/officeDocument/2006/relationships/hyperlink" Target="https://drive.google.com/open?id=1g9JacU6s_xR1ar9T3jhPjp8RAo4E9PiE" TargetMode="External"/><Relationship Id="rId943" Type="http://schemas.openxmlformats.org/officeDocument/2006/relationships/hyperlink" Target="https://drive.google.com/open?id=1Cd5Q_X5ZuAtqUlIIpDK7iz6NCxM8qO-H" TargetMode="External"/><Relationship Id="rId1019" Type="http://schemas.openxmlformats.org/officeDocument/2006/relationships/hyperlink" Target="https://drive.google.com/open?id=1PgCUXrBNggjGWH8mGvNz9w_57GVRtP25" TargetMode="External"/><Relationship Id="rId72" Type="http://schemas.openxmlformats.org/officeDocument/2006/relationships/hyperlink" Target="https://drive.google.com/open?id=1YyHL29HnmiTj9QNnRo7Rgh2QtnbKbNJ4" TargetMode="External"/><Relationship Id="rId375" Type="http://schemas.openxmlformats.org/officeDocument/2006/relationships/hyperlink" Target="https://drive.google.com/open?id=1K9rlE9_aoGuK_-lfK9OA8eSSCxyVgcI3" TargetMode="External"/><Relationship Id="rId582" Type="http://schemas.openxmlformats.org/officeDocument/2006/relationships/hyperlink" Target="https://drive.google.com/open?id=1G054BX5vZlNLCG-TAWB89PBRP1XdIkde" TargetMode="External"/><Relationship Id="rId803" Type="http://schemas.openxmlformats.org/officeDocument/2006/relationships/hyperlink" Target="https://drive.google.com/open?id=1d5EjbDT674DggQmyoVLHMTlJ4z_4NfOS" TargetMode="External"/><Relationship Id="rId1226" Type="http://schemas.openxmlformats.org/officeDocument/2006/relationships/hyperlink" Target="https://drive.google.com/open?id=1ScRqTIPYgE-rvrZeA8a5rHBV32L7JJbb" TargetMode="External"/><Relationship Id="rId3" Type="http://schemas.openxmlformats.org/officeDocument/2006/relationships/hyperlink" Target="https://drive.google.com/open?id=1bYO9J67tZoSNvzA3hxF2HfQuDErGybRO" TargetMode="External"/><Relationship Id="rId235" Type="http://schemas.openxmlformats.org/officeDocument/2006/relationships/hyperlink" Target="https://drive.google.com/open?id=1-bjF8npaSCQ5_i8t3zCJewHrRiI_4NRX" TargetMode="External"/><Relationship Id="rId442" Type="http://schemas.openxmlformats.org/officeDocument/2006/relationships/hyperlink" Target="https://drive.google.com/open?id=1MWfb7ytxGKfDpJdZDJ7snm7-mt6DeBrK" TargetMode="External"/><Relationship Id="rId887" Type="http://schemas.openxmlformats.org/officeDocument/2006/relationships/hyperlink" Target="https://drive.google.com/open?id=1gb45hExXzBCFxwNxE4z5PWIiFAyZT6Is" TargetMode="External"/><Relationship Id="rId1072" Type="http://schemas.openxmlformats.org/officeDocument/2006/relationships/hyperlink" Target="https://drive.google.com/open?id=1HFZnhy3nirBh46hG9mOOdZOkmUDJt1ut" TargetMode="External"/><Relationship Id="rId302" Type="http://schemas.openxmlformats.org/officeDocument/2006/relationships/hyperlink" Target="https://drive.google.com/open?id=1eyFNDi4MB_1xPTC-gX0YL_KxVahP6vLs" TargetMode="External"/><Relationship Id="rId747" Type="http://schemas.openxmlformats.org/officeDocument/2006/relationships/hyperlink" Target="https://drive.google.com/open?id=1gBGPHVhSQscehQZeM2kMNvmmLUukyJ6f" TargetMode="External"/><Relationship Id="rId954" Type="http://schemas.openxmlformats.org/officeDocument/2006/relationships/hyperlink" Target="https://drive.google.com/open?id=1-hhkx-VmaIXrvOKqSDXO0NklzIh5B9Oh" TargetMode="External"/><Relationship Id="rId83" Type="http://schemas.openxmlformats.org/officeDocument/2006/relationships/hyperlink" Target="https://drive.google.com/open?id=1HSs4v7l1aRopFuc0aEA6SJIgnhfFyhq-" TargetMode="External"/><Relationship Id="rId179" Type="http://schemas.openxmlformats.org/officeDocument/2006/relationships/hyperlink" Target="https://drive.google.com/open?id=1H2v3Ug63VNP27c9F8cv6Hiys9NuNaT9g" TargetMode="External"/><Relationship Id="rId386" Type="http://schemas.openxmlformats.org/officeDocument/2006/relationships/hyperlink" Target="https://drive.google.com/open?id=1J_TORVxap7GBA_AwRZRpg-RFm-7C5ADs" TargetMode="External"/><Relationship Id="rId593" Type="http://schemas.openxmlformats.org/officeDocument/2006/relationships/hyperlink" Target="https://drive.google.com/open?id=1wwwobvHURW1OuA9Svdor_ihBk0_vqV3F" TargetMode="External"/><Relationship Id="rId607" Type="http://schemas.openxmlformats.org/officeDocument/2006/relationships/hyperlink" Target="https://drive.google.com/open?id=1t4W2DmEesY7z3Tqr2toaONyeH4hfV1Zb" TargetMode="External"/><Relationship Id="rId814" Type="http://schemas.openxmlformats.org/officeDocument/2006/relationships/hyperlink" Target="https://drive.google.com/open?id=1qk-hU3f_Y-ewYWWPOQuhbepyr7Jou1J5" TargetMode="External"/><Relationship Id="rId1237" Type="http://schemas.openxmlformats.org/officeDocument/2006/relationships/hyperlink" Target="https://drive.google.com/open?id=1Ev8r4YRvGFtj_MjV20pXdpBwpKBww84l" TargetMode="External"/><Relationship Id="rId246" Type="http://schemas.openxmlformats.org/officeDocument/2006/relationships/hyperlink" Target="https://drive.google.com/open?id=1Jok_fEwRabdz_E9mE-xT7nlyBy0M0u8M" TargetMode="External"/><Relationship Id="rId453" Type="http://schemas.openxmlformats.org/officeDocument/2006/relationships/hyperlink" Target="https://drive.google.com/open?id=187IFV9QFG8b4cFl3fGsuxjgquLu6CqcM" TargetMode="External"/><Relationship Id="rId660" Type="http://schemas.openxmlformats.org/officeDocument/2006/relationships/hyperlink" Target="https://drive.google.com/open?id=15NoC7VNe9Z6njqvWCuFxaAcAt7_AbdnB" TargetMode="External"/><Relationship Id="rId898" Type="http://schemas.openxmlformats.org/officeDocument/2006/relationships/hyperlink" Target="https://drive.google.com/open?id=1p2C33kgSXqg7UvKAnLV8zOz-FMw3COmU" TargetMode="External"/><Relationship Id="rId1083" Type="http://schemas.openxmlformats.org/officeDocument/2006/relationships/hyperlink" Target="https://drive.google.com/open?id=1E8yHuBxjxmThHdn98AXdsikH1pybkLb4" TargetMode="External"/><Relationship Id="rId106" Type="http://schemas.openxmlformats.org/officeDocument/2006/relationships/hyperlink" Target="https://drive.google.com/open?id=10MGcTO0xDN8MqEdqbL5REBoEujopqNK_" TargetMode="External"/><Relationship Id="rId313" Type="http://schemas.openxmlformats.org/officeDocument/2006/relationships/hyperlink" Target="https://drive.google.com/open?id=1P0r-M7OY6zhalS5Zz_B1BUsyhp_2NwGq" TargetMode="External"/><Relationship Id="rId758" Type="http://schemas.openxmlformats.org/officeDocument/2006/relationships/hyperlink" Target="https://drive.google.com/open?id=1Tntlxqh2C2FsD_grEQ1T3KwOZ0JlZP0L" TargetMode="External"/><Relationship Id="rId965" Type="http://schemas.openxmlformats.org/officeDocument/2006/relationships/hyperlink" Target="https://drive.google.com/open?id=1-qh4U8-ulmDbSlAf8DHpfk4hyK0U_hmS" TargetMode="External"/><Relationship Id="rId1150" Type="http://schemas.openxmlformats.org/officeDocument/2006/relationships/hyperlink" Target="https://drive.google.com/open?id=1ps4Mr_LqEqUyFmR7QtjOPV1aXm4I_SZV" TargetMode="External"/><Relationship Id="rId10" Type="http://schemas.openxmlformats.org/officeDocument/2006/relationships/hyperlink" Target="https://drive.google.com/open?id=1rqJz1EoC93nx1MIcNLhtYglfQcnI9_i2" TargetMode="External"/><Relationship Id="rId94" Type="http://schemas.openxmlformats.org/officeDocument/2006/relationships/hyperlink" Target="https://drive.google.com/open?id=1yl6Vt1PEuvIOYMTb_KmStN6GYx3rXXmy" TargetMode="External"/><Relationship Id="rId397" Type="http://schemas.openxmlformats.org/officeDocument/2006/relationships/hyperlink" Target="https://drive.google.com/open?id=1l0NCZO7CCzlPVntDbJUMIJyxlLwMpjnz" TargetMode="External"/><Relationship Id="rId520" Type="http://schemas.openxmlformats.org/officeDocument/2006/relationships/hyperlink" Target="https://drive.google.com/open?id=1hdIp_z_on1rF6kBAOldgAodt6TO01WaA" TargetMode="External"/><Relationship Id="rId618" Type="http://schemas.openxmlformats.org/officeDocument/2006/relationships/hyperlink" Target="https://drive.google.com/open?id=1lc7a2obXdIsBaGGxvJP4NhfonvjjAH7f" TargetMode="External"/><Relationship Id="rId825" Type="http://schemas.openxmlformats.org/officeDocument/2006/relationships/hyperlink" Target="https://drive.google.com/open?id=1BnIu12-0_4YyTk4FicrqbO-V2xUcTWGd" TargetMode="External"/><Relationship Id="rId1248" Type="http://schemas.openxmlformats.org/officeDocument/2006/relationships/hyperlink" Target="https://drive.google.com/open?id=1MJVRzstYpkFvmRGfnS-pSO8Ohbkzuik6" TargetMode="External"/><Relationship Id="rId257" Type="http://schemas.openxmlformats.org/officeDocument/2006/relationships/hyperlink" Target="https://drive.google.com/open?id=1H9Br6RD5GcMcrwUbLCEvuklQZMCp-2bI" TargetMode="External"/><Relationship Id="rId464" Type="http://schemas.openxmlformats.org/officeDocument/2006/relationships/hyperlink" Target="https://drive.google.com/open?id=1dqhgcS1zXIflOrXsmk3VKr3VWfieqii8" TargetMode="External"/><Relationship Id="rId1010" Type="http://schemas.openxmlformats.org/officeDocument/2006/relationships/hyperlink" Target="https://drive.google.com/open?id=1QTrtiCGlEUGtvDjEJvS_8PVcWVBHSv1L" TargetMode="External"/><Relationship Id="rId1094" Type="http://schemas.openxmlformats.org/officeDocument/2006/relationships/hyperlink" Target="https://drive.google.com/open?id=1JOHVDBf4KA27mp2C68Rhyt9Mbb_MS9y9" TargetMode="External"/><Relationship Id="rId1108" Type="http://schemas.openxmlformats.org/officeDocument/2006/relationships/hyperlink" Target="https://drive.google.com/open?id=1vUZXf3IRYERfMH2CJSjtmKMHQg6n4_PT" TargetMode="External"/><Relationship Id="rId117" Type="http://schemas.openxmlformats.org/officeDocument/2006/relationships/hyperlink" Target="https://drive.google.com/open?id=1wn97_4hQklnuxd0j-6m3LTvXLUitpRGK" TargetMode="External"/><Relationship Id="rId671" Type="http://schemas.openxmlformats.org/officeDocument/2006/relationships/hyperlink" Target="https://drive.google.com/open?id=1LSSfc8W7cR_6pTdqatT6ksPKn0Xu4u5K" TargetMode="External"/><Relationship Id="rId769" Type="http://schemas.openxmlformats.org/officeDocument/2006/relationships/hyperlink" Target="https://drive.google.com/open?id=1KKrJoXZKWxw882rMIlPcxrmuN_X12uRP" TargetMode="External"/><Relationship Id="rId976" Type="http://schemas.openxmlformats.org/officeDocument/2006/relationships/hyperlink" Target="https://drive.google.com/open?id=1a0l6cevKRb-KYwHqkNJ6ZGr5KZBnn9dC" TargetMode="External"/><Relationship Id="rId324" Type="http://schemas.openxmlformats.org/officeDocument/2006/relationships/hyperlink" Target="https://drive.google.com/open?id=1TgeOOunnCUA52DvmInUyOOn3Qe24sM7d" TargetMode="External"/><Relationship Id="rId531" Type="http://schemas.openxmlformats.org/officeDocument/2006/relationships/hyperlink" Target="https://drive.google.com/open?id=1emqedl2UEuxo5dzjZ7EUstQuMBccP_Qb" TargetMode="External"/><Relationship Id="rId629" Type="http://schemas.openxmlformats.org/officeDocument/2006/relationships/hyperlink" Target="https://drive.google.com/open?id=1cx_WMwcybjZYxR0Bz0j9MfQ-SlTReg61" TargetMode="External"/><Relationship Id="rId1161" Type="http://schemas.openxmlformats.org/officeDocument/2006/relationships/hyperlink" Target="https://drive.google.com/open?id=1G-5ZRtKZlGLeemvGCiEAebM-ps_L6waY" TargetMode="External"/><Relationship Id="rId836" Type="http://schemas.openxmlformats.org/officeDocument/2006/relationships/hyperlink" Target="https://drive.google.com/open?id=1xP8Vq7nyW9tYprEz8IwV9uC8mpslKfEZ" TargetMode="External"/><Relationship Id="rId1021" Type="http://schemas.openxmlformats.org/officeDocument/2006/relationships/hyperlink" Target="https://drive.google.com/open?id=1OW9lMnso2B6-YDyyyGzgDBwAaHHYq33E" TargetMode="External"/><Relationship Id="rId1119" Type="http://schemas.openxmlformats.org/officeDocument/2006/relationships/hyperlink" Target="https://drive.google.com/open?id=1tvvzaugZ5VbtZzFb1wc0vf7KdoIJmg4V" TargetMode="External"/><Relationship Id="rId903" Type="http://schemas.openxmlformats.org/officeDocument/2006/relationships/hyperlink" Target="https://drive.google.com/open?id=1r88GRgIYs_neCl80_HEvAc6T_cslSymQ" TargetMode="External"/><Relationship Id="rId32" Type="http://schemas.openxmlformats.org/officeDocument/2006/relationships/hyperlink" Target="https://drive.google.com/open?id=1sj6Joq101SF0xpq64DlIsoYxgLlEiN6T" TargetMode="External"/><Relationship Id="rId181" Type="http://schemas.openxmlformats.org/officeDocument/2006/relationships/hyperlink" Target="https://drive.google.com/open?id=1A3THuJSMXsVHjhKJUKE1ikhCXL9pZsur" TargetMode="External"/><Relationship Id="rId279" Type="http://schemas.openxmlformats.org/officeDocument/2006/relationships/hyperlink" Target="https://drive.google.com/open?id=1r8lBLcsjTzwERANNjbJQpg6B_vw-bgw0" TargetMode="External"/><Relationship Id="rId486" Type="http://schemas.openxmlformats.org/officeDocument/2006/relationships/hyperlink" Target="https://drive.google.com/open?id=1UtN_BuOY7kGce6qz6sjJbuMFyVz2Z9yy" TargetMode="External"/><Relationship Id="rId693" Type="http://schemas.openxmlformats.org/officeDocument/2006/relationships/hyperlink" Target="https://drive.google.com/open?id=1ICvqP6NkPQyO07iyE1mUOgM9BQxmY44S" TargetMode="External"/><Relationship Id="rId139" Type="http://schemas.openxmlformats.org/officeDocument/2006/relationships/hyperlink" Target="https://drive.google.com/open?id=1eLhhAP7GQ6kez47gCIPsmrzFy4JRsyg7" TargetMode="External"/><Relationship Id="rId346" Type="http://schemas.openxmlformats.org/officeDocument/2006/relationships/hyperlink" Target="https://drive.google.com/open?id=1xdWm_hEkgsfxEmhh6q4r-C41nCQ2gZfO" TargetMode="External"/><Relationship Id="rId553" Type="http://schemas.openxmlformats.org/officeDocument/2006/relationships/hyperlink" Target="https://drive.google.com/open?id=1GCGMDJf8Nawi7L4r0390eIF5MEyTD17o" TargetMode="External"/><Relationship Id="rId760" Type="http://schemas.openxmlformats.org/officeDocument/2006/relationships/hyperlink" Target="https://drive.google.com/open?id=1iLqTZTrmVVMa6etabTwtBfSkFFCL6fuw" TargetMode="External"/><Relationship Id="rId998" Type="http://schemas.openxmlformats.org/officeDocument/2006/relationships/hyperlink" Target="https://drive.google.com/open?id=1qjANP-bC65keUysLdeGH2aglhl6BCfsL" TargetMode="External"/><Relationship Id="rId1183" Type="http://schemas.openxmlformats.org/officeDocument/2006/relationships/hyperlink" Target="https://drive.google.com/open?id=10u2DFHfijECTagiMR7uYmYSeIaqEw-jj" TargetMode="External"/><Relationship Id="rId206" Type="http://schemas.openxmlformats.org/officeDocument/2006/relationships/hyperlink" Target="https://drive.google.com/open?id=190I0S-n6-6cjhjBmn5JpP7jJLMXuxqxG" TargetMode="External"/><Relationship Id="rId413" Type="http://schemas.openxmlformats.org/officeDocument/2006/relationships/hyperlink" Target="https://drive.google.com/open?id=1apeGzQjqsRX5_mRKHRLphzoZ5xItuB0T" TargetMode="External"/><Relationship Id="rId858" Type="http://schemas.openxmlformats.org/officeDocument/2006/relationships/hyperlink" Target="https://drive.google.com/open?id=1d5k41ygMvz5aKL0CZ4ya9w9eJnf6hBcS" TargetMode="External"/><Relationship Id="rId1043" Type="http://schemas.openxmlformats.org/officeDocument/2006/relationships/hyperlink" Target="https://drive.google.com/open?id=1XH-Aybx--zW_HnGcDLMJQDlkBUkiVLLK" TargetMode="External"/><Relationship Id="rId620" Type="http://schemas.openxmlformats.org/officeDocument/2006/relationships/hyperlink" Target="https://drive.google.com/open?id=1AGCuvHP1Q6-XOLF4trIzhhT5b6UvDNrb" TargetMode="External"/><Relationship Id="rId718" Type="http://schemas.openxmlformats.org/officeDocument/2006/relationships/hyperlink" Target="https://drive.google.com/open?id=1UwcQbSlEDyygX67oT-QsRVIJKwE4WTF8" TargetMode="External"/><Relationship Id="rId925" Type="http://schemas.openxmlformats.org/officeDocument/2006/relationships/hyperlink" Target="https://drive.google.com/open?id=1_M2TNW-kSfrTVo7-9aQlUHoigYsR4Gzb" TargetMode="External"/><Relationship Id="rId1250" Type="http://schemas.openxmlformats.org/officeDocument/2006/relationships/hyperlink" Target="https://drive.google.com/open?id=1Dol4CxgNj8IsB9a---8v7Qc24Mqb8LM5" TargetMode="External"/><Relationship Id="rId1110" Type="http://schemas.openxmlformats.org/officeDocument/2006/relationships/hyperlink" Target="https://drive.google.com/open?id=1RbO5yxLs2ivCVf4Yqe_lcbxJvstkcr5E" TargetMode="External"/><Relationship Id="rId1208" Type="http://schemas.openxmlformats.org/officeDocument/2006/relationships/hyperlink" Target="https://drive.google.com/open?id=1xwb8CbIjm8hC3RA7W8fjshQprPjZssXU" TargetMode="External"/><Relationship Id="rId54" Type="http://schemas.openxmlformats.org/officeDocument/2006/relationships/hyperlink" Target="https://drive.google.com/open?id=1eFxh92GSbfyDr8T995XvcEU4mk8oCIe1" TargetMode="External"/><Relationship Id="rId270" Type="http://schemas.openxmlformats.org/officeDocument/2006/relationships/hyperlink" Target="https://drive.google.com/open?id=1KdN_XhpgNKqbvvGLDLxUbce1lK8B70Ku" TargetMode="External"/><Relationship Id="rId130" Type="http://schemas.openxmlformats.org/officeDocument/2006/relationships/hyperlink" Target="https://drive.google.com/open?id=1s4oiVLIf4obBxaksvoCKwr6sgYmDAPkM" TargetMode="External"/><Relationship Id="rId368" Type="http://schemas.openxmlformats.org/officeDocument/2006/relationships/hyperlink" Target="https://drive.google.com/open?id=1-lpECFek7Fi4mZZ7d2yurXBNdeatoj5j" TargetMode="External"/><Relationship Id="rId575" Type="http://schemas.openxmlformats.org/officeDocument/2006/relationships/hyperlink" Target="https://drive.google.com/open?id=1INN_8HLDZA_E5yBd1V43olBLNB_wbXg_" TargetMode="External"/><Relationship Id="rId782" Type="http://schemas.openxmlformats.org/officeDocument/2006/relationships/hyperlink" Target="https://drive.google.com/open?id=1UzaoSXBMO4CfGq1iiIntbd9aRE6JILEH" TargetMode="External"/><Relationship Id="rId228" Type="http://schemas.openxmlformats.org/officeDocument/2006/relationships/hyperlink" Target="https://drive.google.com/open?id=1P2qw0kC1jGp2PTeOxyo1m9lpF18cb-hf" TargetMode="External"/><Relationship Id="rId435" Type="http://schemas.openxmlformats.org/officeDocument/2006/relationships/hyperlink" Target="https://drive.google.com/open?id=1VsNvtPUkM0VfGL8x_pbdCKipe-CAwbwd" TargetMode="External"/><Relationship Id="rId642" Type="http://schemas.openxmlformats.org/officeDocument/2006/relationships/hyperlink" Target="https://drive.google.com/open?id=11eK_eDZNyE3fMVssAzG1H_2ueaOlRrXj" TargetMode="External"/><Relationship Id="rId1065" Type="http://schemas.openxmlformats.org/officeDocument/2006/relationships/hyperlink" Target="https://drive.google.com/open?id=1YLcivcO5tQcygMUMpb7O4ViTlmUkuIx8" TargetMode="External"/><Relationship Id="rId502" Type="http://schemas.openxmlformats.org/officeDocument/2006/relationships/hyperlink" Target="https://drive.google.com/open?id=1lqSr7hotTE5eTp9mKVBsZe0V9TAtCz87" TargetMode="External"/><Relationship Id="rId947" Type="http://schemas.openxmlformats.org/officeDocument/2006/relationships/hyperlink" Target="https://drive.google.com/open?id=169lJExNhR59CbZKDEYMqFCSmXff9qVbW" TargetMode="External"/><Relationship Id="rId1132" Type="http://schemas.openxmlformats.org/officeDocument/2006/relationships/hyperlink" Target="https://drive.google.com/open?id=15w7mSZl_-rBNwF8GAtETBqrH0g5t_L-y" TargetMode="External"/><Relationship Id="rId76" Type="http://schemas.openxmlformats.org/officeDocument/2006/relationships/hyperlink" Target="https://drive.google.com/open?id=11d8MrFEVuWRZHhl0abhcarhKeDAY2OBv" TargetMode="External"/><Relationship Id="rId807" Type="http://schemas.openxmlformats.org/officeDocument/2006/relationships/hyperlink" Target="https://drive.google.com/open?id=1ZT9tO5DoTRWCgtQGWggkPxctvUpx9xuL" TargetMode="External"/><Relationship Id="rId292" Type="http://schemas.openxmlformats.org/officeDocument/2006/relationships/hyperlink" Target="https://drive.google.com/open?id=1KR04N0QlqrkKD0d91gz231YeZUkB5O2O" TargetMode="External"/><Relationship Id="rId597" Type="http://schemas.openxmlformats.org/officeDocument/2006/relationships/hyperlink" Target="https://drive.google.com/open?id=1dReAwzubtvA1aM2eVHwqdU-GcDKZbst4" TargetMode="External"/><Relationship Id="rId152" Type="http://schemas.openxmlformats.org/officeDocument/2006/relationships/hyperlink" Target="https://drive.google.com/open?id=1Rc2lmFzMPm4Ok6YmM0v13J2-BOOapnD2" TargetMode="External"/><Relationship Id="rId457" Type="http://schemas.openxmlformats.org/officeDocument/2006/relationships/hyperlink" Target="https://drive.google.com/open?id=1BvsqiOgrESwb3DnRjhzC0xoNhdLDea7P" TargetMode="External"/><Relationship Id="rId1087" Type="http://schemas.openxmlformats.org/officeDocument/2006/relationships/hyperlink" Target="https://drive.google.com/open?id=1pmqE0-35dJcNpE3ZPN_I7KLiURq3c3be" TargetMode="External"/><Relationship Id="rId664" Type="http://schemas.openxmlformats.org/officeDocument/2006/relationships/hyperlink" Target="https://drive.google.com/open?id=1RgOEnqncxiwz0uPnMw6askGZVose1ex_" TargetMode="External"/><Relationship Id="rId871" Type="http://schemas.openxmlformats.org/officeDocument/2006/relationships/hyperlink" Target="https://drive.google.com/open?id=1P-Fz8qlq7qQKWyl9Mk27PQTbzfkv-NTR" TargetMode="External"/><Relationship Id="rId969" Type="http://schemas.openxmlformats.org/officeDocument/2006/relationships/hyperlink" Target="https://drive.google.com/open?id=1Hi1CfKUnUVD6UxfylvEPJfAcDcl5tB0Z" TargetMode="External"/><Relationship Id="rId317" Type="http://schemas.openxmlformats.org/officeDocument/2006/relationships/hyperlink" Target="https://drive.google.com/open?id=1kuZMBgh2CGjHIIJlwndV9ItZRH7njz0Z" TargetMode="External"/><Relationship Id="rId524" Type="http://schemas.openxmlformats.org/officeDocument/2006/relationships/hyperlink" Target="https://drive.google.com/open?id=1tum6Kd_DrW-48EL4cRjW1SFoo-t_mtkA" TargetMode="External"/><Relationship Id="rId731" Type="http://schemas.openxmlformats.org/officeDocument/2006/relationships/hyperlink" Target="https://drive.google.com/open?id=1EkDv41M5jteLpPVBSyi2CITBxGHqnW7k" TargetMode="External"/><Relationship Id="rId1154" Type="http://schemas.openxmlformats.org/officeDocument/2006/relationships/hyperlink" Target="https://drive.google.com/open?id=1YKlFWxBwgZHNewtrzHHtpZYHTFxwdSjS" TargetMode="External"/><Relationship Id="rId98" Type="http://schemas.openxmlformats.org/officeDocument/2006/relationships/hyperlink" Target="https://drive.google.com/open?id=1v0JwiAz4Ym2idhRpw1qFBVffnXiRqlfk" TargetMode="External"/><Relationship Id="rId829" Type="http://schemas.openxmlformats.org/officeDocument/2006/relationships/hyperlink" Target="https://drive.google.com/open?id=1L0aqAVzDbd-ezi7-K_Ox2td54tNM0ufq" TargetMode="External"/><Relationship Id="rId1014" Type="http://schemas.openxmlformats.org/officeDocument/2006/relationships/hyperlink" Target="https://drive.google.com/open?id=19y6GLunpGf0t38O3H7PFbqJdID91kUTU" TargetMode="External"/><Relationship Id="rId1221" Type="http://schemas.openxmlformats.org/officeDocument/2006/relationships/hyperlink" Target="https://drive.google.com/open?id=1rPSGxBx8ACS2FijTLvbAw1UTdVWKaPVf" TargetMode="External"/><Relationship Id="rId25" Type="http://schemas.openxmlformats.org/officeDocument/2006/relationships/hyperlink" Target="https://drive.google.com/open?id=1TqEvj-_xzHEqxS2ZEpTVOmSYQhoNoZWi" TargetMode="External"/><Relationship Id="rId174" Type="http://schemas.openxmlformats.org/officeDocument/2006/relationships/hyperlink" Target="https://drive.google.com/open?id=1MKCVPoxnXw_GTRTi_o85ec9tcfeUe4Dh" TargetMode="External"/><Relationship Id="rId381" Type="http://schemas.openxmlformats.org/officeDocument/2006/relationships/hyperlink" Target="https://drive.google.com/open?id=1tBlBanfye4TNBESciWvi3zelC-fJNu68" TargetMode="External"/><Relationship Id="rId241" Type="http://schemas.openxmlformats.org/officeDocument/2006/relationships/hyperlink" Target="https://drive.google.com/open?id=1njFMEKLvm1xukLYIIskrx-QsnRs-ZoGk" TargetMode="External"/><Relationship Id="rId479" Type="http://schemas.openxmlformats.org/officeDocument/2006/relationships/hyperlink" Target="https://drive.google.com/open?id=1S1aP9MNRxraI0Wqe-6fa3C_h6y1Ybksb" TargetMode="External"/><Relationship Id="rId686" Type="http://schemas.openxmlformats.org/officeDocument/2006/relationships/hyperlink" Target="https://drive.google.com/open?id=1gdURw4CmZk3HF2VhB7U0CB7g4CGvk8s2" TargetMode="External"/><Relationship Id="rId893" Type="http://schemas.openxmlformats.org/officeDocument/2006/relationships/hyperlink" Target="https://drive.google.com/open?id=1zzlyEGUn4GAT5xArnPjkRqKjCwSMxILu" TargetMode="External"/><Relationship Id="rId339" Type="http://schemas.openxmlformats.org/officeDocument/2006/relationships/hyperlink" Target="https://drive.google.com/open?id=19m7N2P7Kz6V_Lh_mwGaHlutjXk_Ju26h" TargetMode="External"/><Relationship Id="rId546" Type="http://schemas.openxmlformats.org/officeDocument/2006/relationships/hyperlink" Target="https://drive.google.com/open?id=1N-metQOioBkML6eHKGqkjOa-ojxspUaw" TargetMode="External"/><Relationship Id="rId753" Type="http://schemas.openxmlformats.org/officeDocument/2006/relationships/hyperlink" Target="https://drive.google.com/open?id=1iaLGZD6F9dKl7045TcTWSevQMBwETiwN" TargetMode="External"/><Relationship Id="rId1176" Type="http://schemas.openxmlformats.org/officeDocument/2006/relationships/hyperlink" Target="https://drive.google.com/open?id=1yJvBeOwD-F-4dIZIhDoBMHN8crOkSoI2" TargetMode="External"/><Relationship Id="rId101" Type="http://schemas.openxmlformats.org/officeDocument/2006/relationships/hyperlink" Target="https://drive.google.com/open?id=1mT2SksD33iFG6_LxsPUq4kzzOJikzQ20" TargetMode="External"/><Relationship Id="rId406" Type="http://schemas.openxmlformats.org/officeDocument/2006/relationships/hyperlink" Target="https://drive.google.com/open?id=1rIOzm-is4ZxVw_l0QDmvk6lT5KejVU5V" TargetMode="External"/><Relationship Id="rId960" Type="http://schemas.openxmlformats.org/officeDocument/2006/relationships/hyperlink" Target="https://drive.google.com/open?id=1l1VGAxcym1NIGuJqO-Qq1MMZ1FSJtXdP" TargetMode="External"/><Relationship Id="rId1036" Type="http://schemas.openxmlformats.org/officeDocument/2006/relationships/hyperlink" Target="https://drive.google.com/open?id=18zQiweTjfaFmB5cIqOU2xagbjcQ-PUpz" TargetMode="External"/><Relationship Id="rId1243" Type="http://schemas.openxmlformats.org/officeDocument/2006/relationships/hyperlink" Target="https://drive.google.com/open?id=1pO0BXfAWh9zzaLdGT-CZT_RLgIkUgcyl" TargetMode="External"/><Relationship Id="rId613" Type="http://schemas.openxmlformats.org/officeDocument/2006/relationships/hyperlink" Target="https://drive.google.com/open?id=1GT-uxLYPudOJ-mK7Uzgu157fiUgjih8p" TargetMode="External"/><Relationship Id="rId820" Type="http://schemas.openxmlformats.org/officeDocument/2006/relationships/hyperlink" Target="https://drive.google.com/open?id=18qYOj2RLcPuqUiBf48El9kIZ0IB7xsnu" TargetMode="External"/><Relationship Id="rId918" Type="http://schemas.openxmlformats.org/officeDocument/2006/relationships/hyperlink" Target="https://drive.google.com/open?id=1VwwnEvjGBcqcXqbh0DdmbKbP75gl9cBL" TargetMode="External"/><Relationship Id="rId1103" Type="http://schemas.openxmlformats.org/officeDocument/2006/relationships/hyperlink" Target="https://drive.google.com/open?id=1iOawUTPXK4W78T_5hvMfEVuv-4bome85" TargetMode="External"/><Relationship Id="rId47" Type="http://schemas.openxmlformats.org/officeDocument/2006/relationships/hyperlink" Target="https://drive.google.com/open?id=1m-lAE-7eKa5RAn2XlWToZIg33ieDGnkt" TargetMode="External"/><Relationship Id="rId196" Type="http://schemas.openxmlformats.org/officeDocument/2006/relationships/hyperlink" Target="https://drive.google.com/open?id=1iK83x2bZtPj6h4jZwzkEZ3KYygpQfFwl" TargetMode="External"/><Relationship Id="rId263" Type="http://schemas.openxmlformats.org/officeDocument/2006/relationships/hyperlink" Target="https://drive.google.com/open?id=12M45VCqY3ZclybLgAFdKSvpbvf-wZuMC" TargetMode="External"/><Relationship Id="rId470" Type="http://schemas.openxmlformats.org/officeDocument/2006/relationships/hyperlink" Target="https://drive.google.com/open?id=1X3sB_oLKEJQhf_Mkqpqp-BdeKCJ2Ie-v" TargetMode="External"/><Relationship Id="rId123" Type="http://schemas.openxmlformats.org/officeDocument/2006/relationships/hyperlink" Target="https://drive.google.com/open?id=1JA1dW5iyyPPemuvxqK2A0tyzl0ny3Ne5" TargetMode="External"/><Relationship Id="rId330" Type="http://schemas.openxmlformats.org/officeDocument/2006/relationships/hyperlink" Target="https://drive.google.com/open?id=1BnIVncCOcdJF6v84NxGLYeyKkujImA0X" TargetMode="External"/><Relationship Id="rId568" Type="http://schemas.openxmlformats.org/officeDocument/2006/relationships/hyperlink" Target="https://drive.google.com/open?id=1nEhyjOkz0VE0PBQIhqFTJpv1fKyUfA56" TargetMode="External"/><Relationship Id="rId775" Type="http://schemas.openxmlformats.org/officeDocument/2006/relationships/hyperlink" Target="https://drive.google.com/open?id=1l93mWrG5nsk37PxUH--elC6lb_9Jb_h1" TargetMode="External"/><Relationship Id="rId982" Type="http://schemas.openxmlformats.org/officeDocument/2006/relationships/hyperlink" Target="https://drive.google.com/open?id=1w7vvv5sh2UHaqA0gcixjrIs6S1G0LYyC" TargetMode="External"/><Relationship Id="rId1198" Type="http://schemas.openxmlformats.org/officeDocument/2006/relationships/hyperlink" Target="https://drive.google.com/open?id=1LPEwFQbYSLJ5vn2rLrDHFvEWINztFNb9" TargetMode="External"/><Relationship Id="rId428" Type="http://schemas.openxmlformats.org/officeDocument/2006/relationships/hyperlink" Target="https://drive.google.com/open?id=1SKY1-J0MB8tMrNO_BLS3MotISjmE-3ez" TargetMode="External"/><Relationship Id="rId635" Type="http://schemas.openxmlformats.org/officeDocument/2006/relationships/hyperlink" Target="https://drive.google.com/open?id=1fXFGkkYkeAFnDWvMCDSdqYbdS41YGTtW" TargetMode="External"/><Relationship Id="rId842" Type="http://schemas.openxmlformats.org/officeDocument/2006/relationships/hyperlink" Target="https://drive.google.com/open?id=1miuejRbZv0h_tkc8vGK9trg32wzdrL5X" TargetMode="External"/><Relationship Id="rId1058" Type="http://schemas.openxmlformats.org/officeDocument/2006/relationships/hyperlink" Target="https://drive.google.com/open?id=1SPlITfoSox2GcK4pyBYTBHMQZ8G-F0aJ" TargetMode="External"/><Relationship Id="rId702" Type="http://schemas.openxmlformats.org/officeDocument/2006/relationships/hyperlink" Target="https://drive.google.com/open?id=1VvnBOgVshJm1BygDw5_L2TYFyrikjPuC" TargetMode="External"/><Relationship Id="rId1125" Type="http://schemas.openxmlformats.org/officeDocument/2006/relationships/hyperlink" Target="https://drive.google.com/open?id=1egLeqvU7WGcD3K2GouQhPr3rD00laTK0" TargetMode="External"/><Relationship Id="rId69" Type="http://schemas.openxmlformats.org/officeDocument/2006/relationships/hyperlink" Target="https://drive.google.com/open?id=1rC2DeidS_gZ4qhktSYT902EFM59Kxjok" TargetMode="External"/><Relationship Id="rId285" Type="http://schemas.openxmlformats.org/officeDocument/2006/relationships/hyperlink" Target="https://drive.google.com/open?id=1KjCZihFNGzKiKLdTI-6AVeBy_kpI712m" TargetMode="External"/><Relationship Id="rId492" Type="http://schemas.openxmlformats.org/officeDocument/2006/relationships/hyperlink" Target="https://drive.google.com/open?id=1DJ67IZK9fbkroKFZfxHfzWwJry6OlMZc" TargetMode="External"/><Relationship Id="rId797" Type="http://schemas.openxmlformats.org/officeDocument/2006/relationships/hyperlink" Target="https://drive.google.com/open?id=1SSh_Hhr0Fu9Jb62TEbgxdGEsRKFykRYt" TargetMode="External"/><Relationship Id="rId145" Type="http://schemas.openxmlformats.org/officeDocument/2006/relationships/hyperlink" Target="https://drive.google.com/open?id=1U7UO4PV0AasvGV1m0QX2wSyzQW8MKRzS" TargetMode="External"/><Relationship Id="rId352" Type="http://schemas.openxmlformats.org/officeDocument/2006/relationships/hyperlink" Target="https://drive.google.com/open?id=1osmXkI567a34b2AyD5AqFVQKABHH_t9_" TargetMode="External"/><Relationship Id="rId212" Type="http://schemas.openxmlformats.org/officeDocument/2006/relationships/hyperlink" Target="https://drive.google.com/open?id=1bMwI81yjtrBruUn1600VoY9sbVL6Ft1c" TargetMode="External"/><Relationship Id="rId657" Type="http://schemas.openxmlformats.org/officeDocument/2006/relationships/hyperlink" Target="https://drive.google.com/open?id=18Epq500tcInZOdyxjts7YvFMq-JZkXks" TargetMode="External"/><Relationship Id="rId864" Type="http://schemas.openxmlformats.org/officeDocument/2006/relationships/hyperlink" Target="https://drive.google.com/open?id=1UdiyFTp4_I4HcWIwuF1AMlC9wZWh8Hnj" TargetMode="External"/><Relationship Id="rId517" Type="http://schemas.openxmlformats.org/officeDocument/2006/relationships/hyperlink" Target="https://drive.google.com/open?id=1Ok-VdvWDlv7pFaDiLIizN1izbYt3F68w" TargetMode="External"/><Relationship Id="rId724" Type="http://schemas.openxmlformats.org/officeDocument/2006/relationships/hyperlink" Target="https://drive.google.com/open?id=1_-Yh7iy6hHbvFizBk15vMm4zVCOBYwoK" TargetMode="External"/><Relationship Id="rId931" Type="http://schemas.openxmlformats.org/officeDocument/2006/relationships/hyperlink" Target="https://drive.google.com/open?id=1Sk4i-MveCr82K5UphogUwRXU77SPW9W4" TargetMode="External"/><Relationship Id="rId1147" Type="http://schemas.openxmlformats.org/officeDocument/2006/relationships/hyperlink" Target="https://drive.google.com/open?id=15PyTZKySg0d-5tuWMFzHLDp_SPPpB-PZ" TargetMode="External"/><Relationship Id="rId60" Type="http://schemas.openxmlformats.org/officeDocument/2006/relationships/hyperlink" Target="https://drive.google.com/open?id=11znKl67m_2PZHfdThT2qgAufcskTJMY3" TargetMode="External"/><Relationship Id="rId1007" Type="http://schemas.openxmlformats.org/officeDocument/2006/relationships/hyperlink" Target="https://drive.google.com/open?id=1ZHrq6NG_c2QaTjtgG2xhvrDczyKNXxZs" TargetMode="External"/><Relationship Id="rId1214" Type="http://schemas.openxmlformats.org/officeDocument/2006/relationships/hyperlink" Target="https://drive.google.com/open?id=16VQ6d89mL9Ny3J2oUO_K1njnkP0hGXO-" TargetMode="External"/><Relationship Id="rId18" Type="http://schemas.openxmlformats.org/officeDocument/2006/relationships/hyperlink" Target="https://drive.google.com/open?id=1SFZ2gXIfydpYWM5Z6zHuB5S99MPKqyws" TargetMode="External"/><Relationship Id="rId167" Type="http://schemas.openxmlformats.org/officeDocument/2006/relationships/hyperlink" Target="https://drive.google.com/open?id=1RI1cqzoP_imh7l3aHSQtGSCz1PhUBM-I" TargetMode="External"/><Relationship Id="rId374" Type="http://schemas.openxmlformats.org/officeDocument/2006/relationships/hyperlink" Target="https://drive.google.com/open?id=1y7TOegs3z_T7eIDnSdP-ssisxEsS-w7Y" TargetMode="External"/><Relationship Id="rId581" Type="http://schemas.openxmlformats.org/officeDocument/2006/relationships/hyperlink" Target="https://drive.google.com/open?id=1IZUczFmSsSUx3cFTANtXrp3D_qMwm_9P" TargetMode="External"/><Relationship Id="rId234" Type="http://schemas.openxmlformats.org/officeDocument/2006/relationships/hyperlink" Target="https://drive.google.com/open?id=1C1DYe35buiCe02jhcsudyziRCb-mhwwz" TargetMode="External"/><Relationship Id="rId679" Type="http://schemas.openxmlformats.org/officeDocument/2006/relationships/hyperlink" Target="https://drive.google.com/open?id=1oe6aJSIhzEH_PJBxOTWdBSkjbnVbcx7u" TargetMode="External"/><Relationship Id="rId886" Type="http://schemas.openxmlformats.org/officeDocument/2006/relationships/hyperlink" Target="https://drive.google.com/open?id=1jX4R6e_bWWmcHX7sBkk6e1xjPA2-7Q_w" TargetMode="External"/><Relationship Id="rId2" Type="http://schemas.openxmlformats.org/officeDocument/2006/relationships/hyperlink" Target="https://drive.google.com/open?id=1gNHqS2p65BiUpAAVfBk_yQTxR18tevxC" TargetMode="External"/><Relationship Id="rId441" Type="http://schemas.openxmlformats.org/officeDocument/2006/relationships/hyperlink" Target="https://drive.google.com/open?id=1RGztSfMTytFn7nu9Od7sVqan9VrhPsvP" TargetMode="External"/><Relationship Id="rId539" Type="http://schemas.openxmlformats.org/officeDocument/2006/relationships/hyperlink" Target="https://drive.google.com/open?id=1kGS2UfMW4YwWBWHHWgz84TahRH_405Dc" TargetMode="External"/><Relationship Id="rId746" Type="http://schemas.openxmlformats.org/officeDocument/2006/relationships/hyperlink" Target="https://drive.google.com/open?id=1WqlYFnYgAGeQogRBuMHeib6XYr8ylaJr" TargetMode="External"/><Relationship Id="rId1071" Type="http://schemas.openxmlformats.org/officeDocument/2006/relationships/hyperlink" Target="https://drive.google.com/open?id=15SD-nL8ja52WTD7XlmS0gVxuEpwSAa9b" TargetMode="External"/><Relationship Id="rId1169" Type="http://schemas.openxmlformats.org/officeDocument/2006/relationships/hyperlink" Target="https://drive.google.com/open?id=1JQAy26rehS8yrOuwl36xjpaSir7DOcvn" TargetMode="External"/><Relationship Id="rId301" Type="http://schemas.openxmlformats.org/officeDocument/2006/relationships/hyperlink" Target="https://drive.google.com/open?id=11tlUaWLx5fLi9jgWlR9PHYbkseFLdBic" TargetMode="External"/><Relationship Id="rId953" Type="http://schemas.openxmlformats.org/officeDocument/2006/relationships/hyperlink" Target="https://drive.google.com/open?id=1bZbp3VN_ycWhXRS5Uwh8hcWBu1y-Oata" TargetMode="External"/><Relationship Id="rId1029" Type="http://schemas.openxmlformats.org/officeDocument/2006/relationships/hyperlink" Target="https://drive.google.com/open?id=1sVBN6kG4CaADF7qXRIce-c-9J7SAa0O6" TargetMode="External"/><Relationship Id="rId1236" Type="http://schemas.openxmlformats.org/officeDocument/2006/relationships/hyperlink" Target="https://drive.google.com/open?id=1R4PWhm3rHCO6b90NRo15gIoSvxpHYjoV" TargetMode="External"/><Relationship Id="rId82" Type="http://schemas.openxmlformats.org/officeDocument/2006/relationships/hyperlink" Target="https://drive.google.com/open?id=1TRKHfvNgnn5Lz9WZeyZBy3xA-WKK-upj" TargetMode="External"/><Relationship Id="rId606" Type="http://schemas.openxmlformats.org/officeDocument/2006/relationships/hyperlink" Target="https://drive.google.com/open?id=1VeJNlV_NkR2K-yCn7sqXIiVDRaLovyQ7" TargetMode="External"/><Relationship Id="rId813" Type="http://schemas.openxmlformats.org/officeDocument/2006/relationships/hyperlink" Target="https://drive.google.com/open?id=1JYWXzbtHVhgeBJDkoS4ELCeERGbh8m-Z" TargetMode="External"/><Relationship Id="rId189" Type="http://schemas.openxmlformats.org/officeDocument/2006/relationships/hyperlink" Target="https://drive.google.com/open?id=1kYFMCsLvLd1EFB_YNHoCdtJ7xpNHVq76" TargetMode="External"/><Relationship Id="rId396" Type="http://schemas.openxmlformats.org/officeDocument/2006/relationships/hyperlink" Target="https://drive.google.com/open?id=1vFqfqkqPanRcAZDgO2uSpqwtah68n5Y3" TargetMode="External"/><Relationship Id="rId256" Type="http://schemas.openxmlformats.org/officeDocument/2006/relationships/hyperlink" Target="https://drive.google.com/open?id=1ba8IzUY3jxtabRMbik3CoN0rlp12-m3h" TargetMode="External"/><Relationship Id="rId463" Type="http://schemas.openxmlformats.org/officeDocument/2006/relationships/hyperlink" Target="https://drive.google.com/open?id=1WtN9DGNOJWmV5jprpHk0Hp3HfwfopWiy" TargetMode="External"/><Relationship Id="rId670" Type="http://schemas.openxmlformats.org/officeDocument/2006/relationships/hyperlink" Target="https://drive.google.com/open?id=1gP4OvqoeqPRl-wmq9p-h3uvODzFM4-yl" TargetMode="External"/><Relationship Id="rId1093" Type="http://schemas.openxmlformats.org/officeDocument/2006/relationships/hyperlink" Target="https://drive.google.com/open?id=1fwESmfwDEc0rKUi6XHSCOGFwQ68ArZu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1001"/>
  <sheetViews>
    <sheetView tabSelected="1" zoomScale="115" zoomScaleNormal="115" workbookViewId="0">
      <pane xSplit="2" ySplit="1" topLeftCell="C2" activePane="bottomRight" state="frozen"/>
      <selection pane="topRight" activeCell="D1" sqref="D1"/>
      <selection pane="bottomLeft" activeCell="A2" sqref="A2"/>
      <selection pane="bottomRight" activeCell="G7" sqref="A1:K259"/>
    </sheetView>
  </sheetViews>
  <sheetFormatPr defaultColWidth="12.54296875" defaultRowHeight="15" customHeight="1" x14ac:dyDescent="0.25"/>
  <cols>
    <col min="1" max="1" width="13.1796875" customWidth="1"/>
    <col min="2" max="2" width="22.81640625" customWidth="1"/>
    <col min="3" max="3" width="16.1796875" customWidth="1"/>
    <col min="4" max="4" width="32" customWidth="1"/>
  </cols>
  <sheetData>
    <row r="1" spans="1:11" ht="16.5" x14ac:dyDescent="0.35">
      <c r="A1" s="57" t="s">
        <v>1</v>
      </c>
      <c r="B1" s="57" t="s">
        <v>2648</v>
      </c>
      <c r="C1" s="57" t="s">
        <v>1072</v>
      </c>
      <c r="D1" s="57" t="s">
        <v>3</v>
      </c>
      <c r="E1" s="76" t="s">
        <v>2650</v>
      </c>
      <c r="F1" s="76" t="s">
        <v>2651</v>
      </c>
      <c r="G1" s="76" t="s">
        <v>2652</v>
      </c>
      <c r="H1" s="76" t="s">
        <v>2653</v>
      </c>
      <c r="I1" s="76" t="s">
        <v>2654</v>
      </c>
      <c r="J1" s="76" t="s">
        <v>2655</v>
      </c>
      <c r="K1" s="76" t="s">
        <v>4</v>
      </c>
    </row>
    <row r="2" spans="1:11" ht="15.75" customHeight="1" x14ac:dyDescent="0.35">
      <c r="A2" s="58" t="s">
        <v>5</v>
      </c>
      <c r="B2" s="58" t="s">
        <v>6</v>
      </c>
      <c r="C2" s="58" t="s">
        <v>2649</v>
      </c>
      <c r="D2" s="2" t="s">
        <v>9</v>
      </c>
      <c r="E2" t="s">
        <v>10</v>
      </c>
      <c r="F2" t="s">
        <v>10</v>
      </c>
      <c r="G2" t="s">
        <v>11</v>
      </c>
      <c r="H2" t="s">
        <v>12</v>
      </c>
      <c r="I2" t="s">
        <v>2656</v>
      </c>
      <c r="J2" t="s">
        <v>2657</v>
      </c>
      <c r="K2" t="s">
        <v>2658</v>
      </c>
    </row>
    <row r="3" spans="1:11" ht="15.75" customHeight="1" x14ac:dyDescent="0.35">
      <c r="A3" s="58" t="s">
        <v>13</v>
      </c>
      <c r="B3" s="58" t="s">
        <v>14</v>
      </c>
      <c r="C3" s="58" t="s">
        <v>2649</v>
      </c>
      <c r="D3" s="2" t="s">
        <v>9</v>
      </c>
      <c r="E3" t="s">
        <v>11</v>
      </c>
      <c r="F3" t="s">
        <v>10</v>
      </c>
      <c r="G3" t="s">
        <v>11</v>
      </c>
      <c r="H3" t="s">
        <v>12</v>
      </c>
      <c r="I3" t="s">
        <v>2656</v>
      </c>
      <c r="J3" t="s">
        <v>2657</v>
      </c>
      <c r="K3" t="s">
        <v>2658</v>
      </c>
    </row>
    <row r="4" spans="1:11" ht="15.75" customHeight="1" x14ac:dyDescent="0.35">
      <c r="A4" s="58" t="s">
        <v>16</v>
      </c>
      <c r="B4" s="58" t="s">
        <v>17</v>
      </c>
      <c r="C4" s="58" t="s">
        <v>18</v>
      </c>
      <c r="D4" s="2" t="s">
        <v>20</v>
      </c>
      <c r="E4" t="s">
        <v>11</v>
      </c>
      <c r="F4" t="s">
        <v>10</v>
      </c>
      <c r="G4" t="s">
        <v>11</v>
      </c>
      <c r="H4" t="s">
        <v>12</v>
      </c>
      <c r="I4" t="s">
        <v>2656</v>
      </c>
      <c r="J4" t="s">
        <v>2657</v>
      </c>
      <c r="K4" t="s">
        <v>2658</v>
      </c>
    </row>
    <row r="5" spans="1:11" ht="15.75" customHeight="1" x14ac:dyDescent="0.35">
      <c r="A5" s="58" t="s">
        <v>21</v>
      </c>
      <c r="B5" s="58" t="s">
        <v>22</v>
      </c>
      <c r="C5" s="58" t="s">
        <v>18</v>
      </c>
      <c r="D5" s="2" t="s">
        <v>20</v>
      </c>
      <c r="E5" t="s">
        <v>12</v>
      </c>
      <c r="F5" t="s">
        <v>10</v>
      </c>
      <c r="G5" t="s">
        <v>11</v>
      </c>
      <c r="H5" t="s">
        <v>12</v>
      </c>
      <c r="I5" t="s">
        <v>2656</v>
      </c>
      <c r="J5" t="s">
        <v>2657</v>
      </c>
      <c r="K5" t="s">
        <v>2658</v>
      </c>
    </row>
    <row r="6" spans="1:11" ht="15.75" customHeight="1" x14ac:dyDescent="0.35">
      <c r="A6" s="58" t="s">
        <v>24</v>
      </c>
      <c r="B6" s="58" t="s">
        <v>25</v>
      </c>
      <c r="C6" s="58" t="s">
        <v>18</v>
      </c>
      <c r="D6" s="2" t="s">
        <v>20</v>
      </c>
      <c r="E6" t="s">
        <v>10</v>
      </c>
      <c r="F6" t="s">
        <v>10</v>
      </c>
      <c r="G6" t="s">
        <v>11</v>
      </c>
      <c r="H6" t="s">
        <v>12</v>
      </c>
      <c r="I6" t="s">
        <v>2656</v>
      </c>
      <c r="J6" t="s">
        <v>2657</v>
      </c>
      <c r="K6" t="s">
        <v>2658</v>
      </c>
    </row>
    <row r="7" spans="1:11" ht="15.75" customHeight="1" x14ac:dyDescent="0.35">
      <c r="A7" s="59" t="s">
        <v>27</v>
      </c>
      <c r="B7" s="59" t="s">
        <v>28</v>
      </c>
      <c r="C7" s="58" t="s">
        <v>2645</v>
      </c>
      <c r="D7" s="2" t="s">
        <v>9</v>
      </c>
    </row>
    <row r="8" spans="1:11" ht="15.75" customHeight="1" x14ac:dyDescent="0.35">
      <c r="A8" s="59" t="s">
        <v>30</v>
      </c>
      <c r="B8" s="59" t="s">
        <v>31</v>
      </c>
      <c r="C8" s="58" t="s">
        <v>2645</v>
      </c>
      <c r="D8" s="2" t="s">
        <v>9</v>
      </c>
    </row>
    <row r="9" spans="1:11" ht="15.75" customHeight="1" x14ac:dyDescent="0.35">
      <c r="A9" s="59" t="s">
        <v>32</v>
      </c>
      <c r="B9" s="59" t="s">
        <v>33</v>
      </c>
      <c r="C9" s="58" t="s">
        <v>2645</v>
      </c>
      <c r="D9" s="2" t="s">
        <v>9</v>
      </c>
    </row>
    <row r="10" spans="1:11" ht="15.75" customHeight="1" x14ac:dyDescent="0.35">
      <c r="A10" s="59" t="s">
        <v>34</v>
      </c>
      <c r="B10" s="59" t="s">
        <v>35</v>
      </c>
      <c r="C10" s="58" t="s">
        <v>2645</v>
      </c>
      <c r="D10" s="2" t="s">
        <v>9</v>
      </c>
    </row>
    <row r="11" spans="1:11" ht="15.75" customHeight="1" x14ac:dyDescent="0.35">
      <c r="A11" s="58" t="s">
        <v>36</v>
      </c>
      <c r="B11" s="58" t="s">
        <v>37</v>
      </c>
      <c r="C11" s="58" t="s">
        <v>18</v>
      </c>
      <c r="D11" s="2" t="s">
        <v>20</v>
      </c>
      <c r="E11" t="s">
        <v>11</v>
      </c>
      <c r="F11" t="s">
        <v>10</v>
      </c>
      <c r="G11" t="s">
        <v>11</v>
      </c>
      <c r="H11" t="s">
        <v>12</v>
      </c>
      <c r="I11" t="s">
        <v>2656</v>
      </c>
      <c r="J11" t="s">
        <v>2657</v>
      </c>
      <c r="K11" t="s">
        <v>2658</v>
      </c>
    </row>
    <row r="12" spans="1:11" ht="15.75" customHeight="1" x14ac:dyDescent="0.35">
      <c r="A12" s="58" t="s">
        <v>39</v>
      </c>
      <c r="B12" s="58" t="s">
        <v>40</v>
      </c>
      <c r="C12" s="58" t="s">
        <v>18</v>
      </c>
      <c r="D12" s="2" t="s">
        <v>20</v>
      </c>
      <c r="E12" t="s">
        <v>12</v>
      </c>
      <c r="F12" t="s">
        <v>10</v>
      </c>
      <c r="G12" t="s">
        <v>11</v>
      </c>
      <c r="H12" t="s">
        <v>12</v>
      </c>
      <c r="I12" t="s">
        <v>2656</v>
      </c>
      <c r="J12" t="s">
        <v>2657</v>
      </c>
      <c r="K12" t="s">
        <v>2658</v>
      </c>
    </row>
    <row r="13" spans="1:11" ht="15.75" customHeight="1" x14ac:dyDescent="0.35">
      <c r="A13" s="58" t="s">
        <v>41</v>
      </c>
      <c r="B13" s="58" t="s">
        <v>42</v>
      </c>
      <c r="C13" s="58" t="s">
        <v>2649</v>
      </c>
      <c r="D13" s="2" t="s">
        <v>43</v>
      </c>
      <c r="E13" t="s">
        <v>10</v>
      </c>
      <c r="F13" t="s">
        <v>10</v>
      </c>
      <c r="G13" t="s">
        <v>11</v>
      </c>
      <c r="H13" t="s">
        <v>12</v>
      </c>
      <c r="I13" t="s">
        <v>2656</v>
      </c>
      <c r="J13" t="s">
        <v>2657</v>
      </c>
      <c r="K13" t="s">
        <v>2658</v>
      </c>
    </row>
    <row r="14" spans="1:11" ht="15.75" customHeight="1" x14ac:dyDescent="0.35">
      <c r="A14" s="58" t="s">
        <v>44</v>
      </c>
      <c r="B14" s="58" t="s">
        <v>45</v>
      </c>
      <c r="C14" s="58" t="s">
        <v>2649</v>
      </c>
      <c r="D14" s="2" t="s">
        <v>43</v>
      </c>
      <c r="E14" t="s">
        <v>11</v>
      </c>
      <c r="F14" t="s">
        <v>10</v>
      </c>
      <c r="G14" t="s">
        <v>11</v>
      </c>
      <c r="H14" t="s">
        <v>12</v>
      </c>
      <c r="I14" t="s">
        <v>2656</v>
      </c>
      <c r="J14" t="s">
        <v>2657</v>
      </c>
      <c r="K14" t="s">
        <v>2658</v>
      </c>
    </row>
    <row r="15" spans="1:11" ht="15.75" customHeight="1" x14ac:dyDescent="0.35">
      <c r="A15" s="58" t="s">
        <v>46</v>
      </c>
      <c r="B15" s="58" t="s">
        <v>47</v>
      </c>
      <c r="C15" s="58" t="s">
        <v>2649</v>
      </c>
      <c r="D15" s="2" t="s">
        <v>43</v>
      </c>
      <c r="E15" t="s">
        <v>12</v>
      </c>
      <c r="F15" t="s">
        <v>10</v>
      </c>
      <c r="G15" t="s">
        <v>11</v>
      </c>
      <c r="H15" t="s">
        <v>12</v>
      </c>
      <c r="I15" t="s">
        <v>2656</v>
      </c>
      <c r="J15" t="s">
        <v>2657</v>
      </c>
      <c r="K15" t="s">
        <v>2658</v>
      </c>
    </row>
    <row r="16" spans="1:11" ht="15.75" customHeight="1" x14ac:dyDescent="0.35">
      <c r="A16" s="58" t="s">
        <v>48</v>
      </c>
      <c r="B16" s="58" t="s">
        <v>49</v>
      </c>
      <c r="C16" s="58" t="s">
        <v>2649</v>
      </c>
      <c r="D16" s="2" t="s">
        <v>51</v>
      </c>
      <c r="E16" t="s">
        <v>10</v>
      </c>
      <c r="F16" t="s">
        <v>10</v>
      </c>
      <c r="G16" t="s">
        <v>11</v>
      </c>
      <c r="H16" t="s">
        <v>12</v>
      </c>
      <c r="I16" t="s">
        <v>2656</v>
      </c>
      <c r="J16" t="s">
        <v>2657</v>
      </c>
      <c r="K16" t="s">
        <v>2658</v>
      </c>
    </row>
    <row r="17" spans="1:11" ht="15.75" customHeight="1" x14ac:dyDescent="0.35">
      <c r="A17" s="58" t="s">
        <v>52</v>
      </c>
      <c r="B17" s="58" t="s">
        <v>53</v>
      </c>
      <c r="C17" s="58" t="s">
        <v>18</v>
      </c>
      <c r="D17" s="2" t="s">
        <v>12</v>
      </c>
      <c r="E17" t="s">
        <v>51</v>
      </c>
      <c r="F17" t="s">
        <v>9</v>
      </c>
      <c r="G17" t="s">
        <v>51</v>
      </c>
      <c r="H17" t="s">
        <v>54</v>
      </c>
      <c r="I17" t="s">
        <v>2656</v>
      </c>
      <c r="J17" t="s">
        <v>2659</v>
      </c>
      <c r="K17" t="s">
        <v>2660</v>
      </c>
    </row>
    <row r="18" spans="1:11" ht="15.75" customHeight="1" x14ac:dyDescent="0.35">
      <c r="A18" s="58" t="s">
        <v>55</v>
      </c>
      <c r="B18" s="58" t="s">
        <v>56</v>
      </c>
      <c r="C18" s="58" t="s">
        <v>18</v>
      </c>
      <c r="D18" s="2" t="s">
        <v>12</v>
      </c>
      <c r="E18" t="s">
        <v>54</v>
      </c>
      <c r="F18" t="s">
        <v>9</v>
      </c>
      <c r="G18" t="s">
        <v>51</v>
      </c>
      <c r="H18" t="s">
        <v>54</v>
      </c>
      <c r="I18" t="s">
        <v>2656</v>
      </c>
      <c r="J18" t="s">
        <v>2659</v>
      </c>
      <c r="K18" t="s">
        <v>2660</v>
      </c>
    </row>
    <row r="19" spans="1:11" ht="15.75" customHeight="1" x14ac:dyDescent="0.35">
      <c r="A19" s="58" t="s">
        <v>57</v>
      </c>
      <c r="B19" s="58" t="s">
        <v>58</v>
      </c>
      <c r="C19" s="58" t="s">
        <v>18</v>
      </c>
      <c r="D19" s="2" t="s">
        <v>12</v>
      </c>
      <c r="E19" t="s">
        <v>9</v>
      </c>
      <c r="F19" t="s">
        <v>9</v>
      </c>
      <c r="G19" t="s">
        <v>51</v>
      </c>
      <c r="H19" t="s">
        <v>54</v>
      </c>
      <c r="I19" t="s">
        <v>2656</v>
      </c>
      <c r="J19" t="s">
        <v>2659</v>
      </c>
      <c r="K19" t="s">
        <v>2660</v>
      </c>
    </row>
    <row r="20" spans="1:11" ht="15.75" customHeight="1" x14ac:dyDescent="0.35">
      <c r="A20" s="58" t="s">
        <v>60</v>
      </c>
      <c r="B20" s="58" t="s">
        <v>61</v>
      </c>
      <c r="C20" s="58" t="s">
        <v>18</v>
      </c>
      <c r="D20" s="2" t="s">
        <v>12</v>
      </c>
      <c r="E20" t="s">
        <v>51</v>
      </c>
      <c r="F20" t="s">
        <v>9</v>
      </c>
      <c r="G20" t="s">
        <v>51</v>
      </c>
      <c r="H20" t="s">
        <v>54</v>
      </c>
      <c r="I20" t="s">
        <v>2656</v>
      </c>
      <c r="J20" t="s">
        <v>2659</v>
      </c>
      <c r="K20" t="s">
        <v>2660</v>
      </c>
    </row>
    <row r="21" spans="1:11" ht="15.75" customHeight="1" x14ac:dyDescent="0.35">
      <c r="A21" s="58" t="s">
        <v>62</v>
      </c>
      <c r="B21" s="58" t="s">
        <v>63</v>
      </c>
      <c r="C21" s="58" t="s">
        <v>18</v>
      </c>
      <c r="D21" s="2" t="s">
        <v>12</v>
      </c>
      <c r="E21" t="s">
        <v>54</v>
      </c>
      <c r="F21" t="s">
        <v>9</v>
      </c>
      <c r="G21" t="s">
        <v>51</v>
      </c>
      <c r="H21" t="s">
        <v>54</v>
      </c>
      <c r="I21" t="s">
        <v>2656</v>
      </c>
      <c r="J21" t="s">
        <v>2659</v>
      </c>
      <c r="K21" t="s">
        <v>2660</v>
      </c>
    </row>
    <row r="22" spans="1:11" ht="15.75" customHeight="1" x14ac:dyDescent="0.35">
      <c r="A22" s="58" t="s">
        <v>64</v>
      </c>
      <c r="B22" s="58" t="s">
        <v>65</v>
      </c>
      <c r="C22" s="58" t="s">
        <v>2649</v>
      </c>
      <c r="D22" s="2" t="s">
        <v>67</v>
      </c>
      <c r="E22" t="s">
        <v>9</v>
      </c>
      <c r="F22" t="s">
        <v>9</v>
      </c>
      <c r="G22" t="s">
        <v>51</v>
      </c>
      <c r="H22" t="s">
        <v>54</v>
      </c>
      <c r="I22" t="s">
        <v>2656</v>
      </c>
      <c r="J22" t="s">
        <v>2659</v>
      </c>
      <c r="K22" t="s">
        <v>2660</v>
      </c>
    </row>
    <row r="23" spans="1:11" ht="15.75" customHeight="1" x14ac:dyDescent="0.35">
      <c r="A23" s="58" t="s">
        <v>68</v>
      </c>
      <c r="B23" s="58" t="s">
        <v>69</v>
      </c>
      <c r="C23" s="58" t="s">
        <v>2649</v>
      </c>
      <c r="D23" s="2" t="s">
        <v>67</v>
      </c>
      <c r="E23" t="s">
        <v>9</v>
      </c>
      <c r="F23" t="s">
        <v>9</v>
      </c>
      <c r="G23" t="s">
        <v>51</v>
      </c>
      <c r="H23" t="s">
        <v>54</v>
      </c>
      <c r="I23" t="s">
        <v>2656</v>
      </c>
      <c r="J23" t="s">
        <v>2659</v>
      </c>
      <c r="K23" t="s">
        <v>2660</v>
      </c>
    </row>
    <row r="24" spans="1:11" ht="15.75" customHeight="1" x14ac:dyDescent="0.35">
      <c r="A24" s="58" t="s">
        <v>71</v>
      </c>
      <c r="B24" s="58" t="s">
        <v>72</v>
      </c>
      <c r="C24" s="58" t="s">
        <v>73</v>
      </c>
      <c r="D24" s="2" t="s">
        <v>75</v>
      </c>
      <c r="E24" t="s">
        <v>51</v>
      </c>
      <c r="F24" t="s">
        <v>9</v>
      </c>
      <c r="G24" t="s">
        <v>51</v>
      </c>
      <c r="H24" t="s">
        <v>54</v>
      </c>
      <c r="I24" t="s">
        <v>2656</v>
      </c>
      <c r="J24" t="s">
        <v>2659</v>
      </c>
      <c r="K24" t="s">
        <v>2660</v>
      </c>
    </row>
    <row r="25" spans="1:11" ht="15.75" customHeight="1" x14ac:dyDescent="0.35">
      <c r="A25" s="58" t="s">
        <v>76</v>
      </c>
      <c r="B25" s="58" t="s">
        <v>77</v>
      </c>
      <c r="C25" s="58" t="s">
        <v>18</v>
      </c>
      <c r="D25" s="2" t="s">
        <v>75</v>
      </c>
      <c r="E25" t="s">
        <v>54</v>
      </c>
      <c r="F25" t="s">
        <v>9</v>
      </c>
      <c r="G25" t="s">
        <v>51</v>
      </c>
      <c r="H25" t="s">
        <v>54</v>
      </c>
      <c r="I25" t="s">
        <v>2656</v>
      </c>
      <c r="J25" t="s">
        <v>2659</v>
      </c>
      <c r="K25" t="s">
        <v>2660</v>
      </c>
    </row>
    <row r="26" spans="1:11" ht="18" customHeight="1" x14ac:dyDescent="0.35">
      <c r="A26" s="58" t="s">
        <v>78</v>
      </c>
      <c r="B26" s="58" t="s">
        <v>79</v>
      </c>
      <c r="C26" s="58" t="s">
        <v>18</v>
      </c>
      <c r="D26" s="2" t="s">
        <v>75</v>
      </c>
      <c r="E26" t="s">
        <v>9</v>
      </c>
      <c r="F26" t="s">
        <v>9</v>
      </c>
      <c r="G26" t="s">
        <v>51</v>
      </c>
      <c r="H26" t="s">
        <v>54</v>
      </c>
      <c r="I26" t="s">
        <v>2656</v>
      </c>
      <c r="J26" t="s">
        <v>2659</v>
      </c>
      <c r="K26" t="s">
        <v>2660</v>
      </c>
    </row>
    <row r="27" spans="1:11" ht="15.75" customHeight="1" x14ac:dyDescent="0.35">
      <c r="A27" s="58" t="s">
        <v>81</v>
      </c>
      <c r="B27" s="58" t="s">
        <v>82</v>
      </c>
      <c r="C27" s="58" t="s">
        <v>18</v>
      </c>
      <c r="D27" s="2" t="s">
        <v>75</v>
      </c>
      <c r="E27" t="s">
        <v>51</v>
      </c>
      <c r="F27" t="s">
        <v>9</v>
      </c>
      <c r="G27" t="s">
        <v>51</v>
      </c>
      <c r="H27" t="s">
        <v>54</v>
      </c>
      <c r="I27" t="s">
        <v>2656</v>
      </c>
      <c r="J27" t="s">
        <v>2659</v>
      </c>
      <c r="K27" t="s">
        <v>2660</v>
      </c>
    </row>
    <row r="28" spans="1:11" ht="15.75" customHeight="1" x14ac:dyDescent="0.35">
      <c r="A28" s="58" t="s">
        <v>83</v>
      </c>
      <c r="B28" s="58" t="s">
        <v>84</v>
      </c>
      <c r="C28" s="58" t="s">
        <v>18</v>
      </c>
      <c r="D28" s="2" t="s">
        <v>75</v>
      </c>
      <c r="E28" t="s">
        <v>54</v>
      </c>
      <c r="F28" t="s">
        <v>9</v>
      </c>
      <c r="G28" t="s">
        <v>51</v>
      </c>
      <c r="H28" t="s">
        <v>54</v>
      </c>
      <c r="I28" t="s">
        <v>2656</v>
      </c>
      <c r="J28" t="s">
        <v>2659</v>
      </c>
      <c r="K28" t="s">
        <v>2660</v>
      </c>
    </row>
    <row r="29" spans="1:11" ht="15.75" customHeight="1" x14ac:dyDescent="0.35">
      <c r="A29" s="58" t="s">
        <v>85</v>
      </c>
      <c r="B29" s="58" t="s">
        <v>86</v>
      </c>
      <c r="C29" s="58" t="s">
        <v>18</v>
      </c>
      <c r="D29" s="2" t="s">
        <v>20</v>
      </c>
      <c r="E29" t="s">
        <v>43</v>
      </c>
      <c r="F29" t="s">
        <v>43</v>
      </c>
      <c r="G29" t="s">
        <v>75</v>
      </c>
      <c r="H29" t="s">
        <v>67</v>
      </c>
      <c r="I29" t="s">
        <v>2656</v>
      </c>
      <c r="J29" t="s">
        <v>2661</v>
      </c>
      <c r="K29" t="s">
        <v>2662</v>
      </c>
    </row>
    <row r="30" spans="1:11" ht="15.75" customHeight="1" x14ac:dyDescent="0.35">
      <c r="A30" s="58" t="s">
        <v>88</v>
      </c>
      <c r="B30" s="58" t="s">
        <v>89</v>
      </c>
      <c r="C30" s="58" t="s">
        <v>18</v>
      </c>
      <c r="D30" s="2" t="s">
        <v>20</v>
      </c>
      <c r="E30" t="s">
        <v>75</v>
      </c>
      <c r="F30" t="s">
        <v>43</v>
      </c>
      <c r="G30" t="s">
        <v>75</v>
      </c>
      <c r="H30" t="s">
        <v>67</v>
      </c>
      <c r="I30" t="s">
        <v>2656</v>
      </c>
      <c r="J30" t="s">
        <v>2661</v>
      </c>
      <c r="K30" t="s">
        <v>2662</v>
      </c>
    </row>
    <row r="31" spans="1:11" ht="15.75" customHeight="1" x14ac:dyDescent="0.35">
      <c r="A31" s="58" t="s">
        <v>90</v>
      </c>
      <c r="B31" s="58" t="s">
        <v>91</v>
      </c>
      <c r="C31" s="58" t="s">
        <v>2649</v>
      </c>
      <c r="D31" s="2" t="s">
        <v>20</v>
      </c>
      <c r="E31" t="s">
        <v>67</v>
      </c>
      <c r="F31" t="s">
        <v>43</v>
      </c>
      <c r="G31" t="s">
        <v>75</v>
      </c>
      <c r="H31" t="s">
        <v>67</v>
      </c>
      <c r="I31" t="s">
        <v>2656</v>
      </c>
      <c r="J31" t="s">
        <v>2661</v>
      </c>
      <c r="K31" t="s">
        <v>2662</v>
      </c>
    </row>
    <row r="32" spans="1:11" ht="15.75" customHeight="1" x14ac:dyDescent="0.35">
      <c r="A32" s="58" t="s">
        <v>92</v>
      </c>
      <c r="B32" s="58" t="s">
        <v>93</v>
      </c>
      <c r="C32" s="58" t="s">
        <v>2649</v>
      </c>
      <c r="D32" s="2" t="s">
        <v>20</v>
      </c>
      <c r="E32" t="s">
        <v>43</v>
      </c>
      <c r="F32" t="s">
        <v>43</v>
      </c>
      <c r="G32" t="s">
        <v>75</v>
      </c>
      <c r="H32" t="s">
        <v>67</v>
      </c>
      <c r="I32" t="s">
        <v>2656</v>
      </c>
      <c r="J32" t="s">
        <v>2661</v>
      </c>
      <c r="K32" t="s">
        <v>2662</v>
      </c>
    </row>
    <row r="33" spans="1:11" ht="15.75" customHeight="1" x14ac:dyDescent="0.35">
      <c r="A33" s="58" t="s">
        <v>95</v>
      </c>
      <c r="B33" s="58" t="s">
        <v>96</v>
      </c>
      <c r="C33" s="58" t="s">
        <v>2649</v>
      </c>
      <c r="D33" s="2" t="s">
        <v>20</v>
      </c>
      <c r="E33" t="s">
        <v>75</v>
      </c>
      <c r="F33" t="s">
        <v>43</v>
      </c>
      <c r="G33" t="s">
        <v>75</v>
      </c>
      <c r="H33" t="s">
        <v>67</v>
      </c>
      <c r="I33" t="s">
        <v>2656</v>
      </c>
      <c r="J33" t="s">
        <v>2661</v>
      </c>
      <c r="K33" t="s">
        <v>2662</v>
      </c>
    </row>
    <row r="34" spans="1:11" ht="15.75" customHeight="1" x14ac:dyDescent="0.35">
      <c r="A34" s="58" t="s">
        <v>98</v>
      </c>
      <c r="B34" s="58" t="s">
        <v>99</v>
      </c>
      <c r="C34" s="58" t="s">
        <v>2649</v>
      </c>
      <c r="D34" s="2" t="s">
        <v>11</v>
      </c>
      <c r="E34" t="s">
        <v>67</v>
      </c>
      <c r="F34" t="s">
        <v>43</v>
      </c>
      <c r="G34" t="s">
        <v>75</v>
      </c>
      <c r="H34" t="s">
        <v>67</v>
      </c>
      <c r="I34" t="s">
        <v>2656</v>
      </c>
      <c r="J34" t="s">
        <v>2661</v>
      </c>
      <c r="K34" t="s">
        <v>2662</v>
      </c>
    </row>
    <row r="35" spans="1:11" ht="15.75" customHeight="1" x14ac:dyDescent="0.35">
      <c r="A35" s="59" t="s">
        <v>100</v>
      </c>
      <c r="B35" s="59" t="s">
        <v>101</v>
      </c>
      <c r="C35" s="58" t="s">
        <v>2645</v>
      </c>
      <c r="D35" s="2" t="s">
        <v>102</v>
      </c>
    </row>
    <row r="36" spans="1:11" ht="15.75" customHeight="1" x14ac:dyDescent="0.35">
      <c r="A36" s="59" t="s">
        <v>103</v>
      </c>
      <c r="B36" s="59" t="s">
        <v>104</v>
      </c>
      <c r="C36" s="58" t="s">
        <v>2645</v>
      </c>
      <c r="D36" s="2" t="s">
        <v>102</v>
      </c>
    </row>
    <row r="37" spans="1:11" ht="15.75" customHeight="1" x14ac:dyDescent="0.35">
      <c r="A37" s="59" t="s">
        <v>105</v>
      </c>
      <c r="B37" s="59" t="s">
        <v>106</v>
      </c>
      <c r="C37" s="58" t="s">
        <v>2645</v>
      </c>
      <c r="D37" s="2" t="s">
        <v>102</v>
      </c>
    </row>
    <row r="38" spans="1:11" ht="15.75" customHeight="1" x14ac:dyDescent="0.35">
      <c r="A38" s="59" t="s">
        <v>107</v>
      </c>
      <c r="B38" s="59" t="s">
        <v>108</v>
      </c>
      <c r="C38" s="58" t="s">
        <v>2645</v>
      </c>
      <c r="D38" s="2" t="s">
        <v>102</v>
      </c>
    </row>
    <row r="39" spans="1:11" ht="15.75" customHeight="1" x14ac:dyDescent="0.35">
      <c r="A39" s="59" t="s">
        <v>109</v>
      </c>
      <c r="B39" s="59" t="s">
        <v>110</v>
      </c>
      <c r="C39" s="58" t="s">
        <v>2645</v>
      </c>
      <c r="D39" s="2" t="s">
        <v>102</v>
      </c>
    </row>
    <row r="40" spans="1:11" ht="15.75" customHeight="1" x14ac:dyDescent="0.35">
      <c r="A40" s="59" t="s">
        <v>111</v>
      </c>
      <c r="B40" s="59" t="s">
        <v>112</v>
      </c>
      <c r="C40" s="58" t="s">
        <v>2645</v>
      </c>
      <c r="D40" s="2" t="s">
        <v>102</v>
      </c>
    </row>
    <row r="41" spans="1:11" ht="15.75" customHeight="1" x14ac:dyDescent="0.35">
      <c r="A41" s="58" t="s">
        <v>113</v>
      </c>
      <c r="B41" s="58" t="s">
        <v>114</v>
      </c>
      <c r="C41" s="58" t="s">
        <v>2649</v>
      </c>
      <c r="D41" s="2" t="s">
        <v>11</v>
      </c>
      <c r="E41" t="s">
        <v>43</v>
      </c>
      <c r="F41" t="s">
        <v>43</v>
      </c>
      <c r="G41" t="s">
        <v>75</v>
      </c>
      <c r="H41" t="s">
        <v>67</v>
      </c>
      <c r="I41" t="s">
        <v>2656</v>
      </c>
      <c r="J41" t="s">
        <v>2661</v>
      </c>
      <c r="K41" t="s">
        <v>2662</v>
      </c>
    </row>
    <row r="42" spans="1:11" ht="15.75" customHeight="1" x14ac:dyDescent="0.35">
      <c r="A42" s="58" t="s">
        <v>116</v>
      </c>
      <c r="B42" s="58" t="s">
        <v>117</v>
      </c>
      <c r="C42" s="58" t="s">
        <v>2649</v>
      </c>
      <c r="D42" s="2" t="s">
        <v>11</v>
      </c>
      <c r="E42" t="s">
        <v>75</v>
      </c>
      <c r="F42" t="s">
        <v>43</v>
      </c>
      <c r="G42" t="s">
        <v>75</v>
      </c>
      <c r="H42" t="s">
        <v>67</v>
      </c>
      <c r="I42" t="s">
        <v>2656</v>
      </c>
      <c r="J42" t="s">
        <v>2661</v>
      </c>
      <c r="K42" t="s">
        <v>2662</v>
      </c>
    </row>
    <row r="43" spans="1:11" ht="15.75" customHeight="1" x14ac:dyDescent="0.35">
      <c r="A43" s="58" t="s">
        <v>119</v>
      </c>
      <c r="B43" s="58" t="s">
        <v>120</v>
      </c>
      <c r="C43" s="58" t="s">
        <v>18</v>
      </c>
      <c r="D43" s="2" t="s">
        <v>54</v>
      </c>
      <c r="E43" t="s">
        <v>67</v>
      </c>
      <c r="F43" t="s">
        <v>43</v>
      </c>
      <c r="G43" t="s">
        <v>75</v>
      </c>
      <c r="H43" t="s">
        <v>67</v>
      </c>
      <c r="I43" t="s">
        <v>2656</v>
      </c>
      <c r="J43" t="s">
        <v>2661</v>
      </c>
      <c r="K43" t="s">
        <v>2662</v>
      </c>
    </row>
    <row r="44" spans="1:11" ht="15.75" customHeight="1" x14ac:dyDescent="0.35">
      <c r="A44" s="58" t="s">
        <v>121</v>
      </c>
      <c r="B44" s="58" t="s">
        <v>122</v>
      </c>
      <c r="C44" s="58" t="s">
        <v>2649</v>
      </c>
      <c r="D44" s="2" t="s">
        <v>54</v>
      </c>
      <c r="E44" t="s">
        <v>43</v>
      </c>
      <c r="F44" t="s">
        <v>43</v>
      </c>
      <c r="G44" t="s">
        <v>75</v>
      </c>
      <c r="H44" t="s">
        <v>67</v>
      </c>
      <c r="I44" t="s">
        <v>2656</v>
      </c>
      <c r="J44" t="s">
        <v>2661</v>
      </c>
      <c r="K44" t="s">
        <v>2662</v>
      </c>
    </row>
    <row r="45" spans="1:11" ht="15.75" customHeight="1" x14ac:dyDescent="0.35">
      <c r="A45" s="58" t="s">
        <v>123</v>
      </c>
      <c r="B45" s="58" t="s">
        <v>124</v>
      </c>
      <c r="C45" s="58" t="s">
        <v>18</v>
      </c>
      <c r="D45" s="2" t="s">
        <v>20</v>
      </c>
      <c r="E45" t="s">
        <v>10</v>
      </c>
      <c r="F45" t="s">
        <v>10</v>
      </c>
      <c r="G45" t="s">
        <v>11</v>
      </c>
      <c r="H45" t="s">
        <v>12</v>
      </c>
      <c r="I45" t="s">
        <v>2663</v>
      </c>
      <c r="J45" t="s">
        <v>2657</v>
      </c>
      <c r="K45" t="s">
        <v>2664</v>
      </c>
    </row>
    <row r="46" spans="1:11" ht="15.75" customHeight="1" x14ac:dyDescent="0.35">
      <c r="A46" s="58" t="s">
        <v>126</v>
      </c>
      <c r="B46" s="58" t="s">
        <v>127</v>
      </c>
      <c r="C46" s="58" t="s">
        <v>18</v>
      </c>
      <c r="D46" s="2" t="s">
        <v>20</v>
      </c>
      <c r="E46" t="s">
        <v>11</v>
      </c>
      <c r="F46" t="s">
        <v>10</v>
      </c>
      <c r="G46" t="s">
        <v>11</v>
      </c>
      <c r="H46" t="s">
        <v>12</v>
      </c>
      <c r="I46" t="s">
        <v>2663</v>
      </c>
      <c r="J46" t="s">
        <v>2657</v>
      </c>
      <c r="K46" t="s">
        <v>2664</v>
      </c>
    </row>
    <row r="47" spans="1:11" ht="15.75" customHeight="1" x14ac:dyDescent="0.35">
      <c r="A47" s="59" t="s">
        <v>128</v>
      </c>
      <c r="B47" s="59" t="s">
        <v>129</v>
      </c>
      <c r="C47" s="58" t="s">
        <v>130</v>
      </c>
      <c r="D47" s="2" t="s">
        <v>43</v>
      </c>
    </row>
    <row r="48" spans="1:11" ht="15.75" customHeight="1" x14ac:dyDescent="0.35">
      <c r="A48" s="59" t="s">
        <v>131</v>
      </c>
      <c r="B48" s="59" t="s">
        <v>132</v>
      </c>
      <c r="C48" s="58" t="s">
        <v>130</v>
      </c>
      <c r="D48" s="2" t="s">
        <v>43</v>
      </c>
    </row>
    <row r="49" spans="1:11" ht="15.75" customHeight="1" x14ac:dyDescent="0.35">
      <c r="A49" s="59" t="s">
        <v>133</v>
      </c>
      <c r="B49" s="59" t="s">
        <v>134</v>
      </c>
      <c r="C49" s="58" t="s">
        <v>130</v>
      </c>
      <c r="D49" s="2" t="s">
        <v>43</v>
      </c>
    </row>
    <row r="50" spans="1:11" ht="15.75" customHeight="1" x14ac:dyDescent="0.35">
      <c r="A50" s="59" t="s">
        <v>135</v>
      </c>
      <c r="B50" s="59" t="s">
        <v>136</v>
      </c>
      <c r="C50" s="58" t="s">
        <v>2645</v>
      </c>
      <c r="D50" s="2" t="s">
        <v>43</v>
      </c>
    </row>
    <row r="51" spans="1:11" ht="15.75" customHeight="1" x14ac:dyDescent="0.35">
      <c r="A51" s="59" t="s">
        <v>137</v>
      </c>
      <c r="B51" s="59" t="s">
        <v>138</v>
      </c>
      <c r="C51" s="58" t="s">
        <v>2645</v>
      </c>
      <c r="D51" s="2" t="s">
        <v>43</v>
      </c>
    </row>
    <row r="52" spans="1:11" ht="15.75" customHeight="1" x14ac:dyDescent="0.35">
      <c r="A52" s="58" t="s">
        <v>139</v>
      </c>
      <c r="B52" s="58" t="s">
        <v>140</v>
      </c>
      <c r="C52" s="58" t="s">
        <v>18</v>
      </c>
      <c r="D52" s="2" t="s">
        <v>20</v>
      </c>
      <c r="E52" t="s">
        <v>12</v>
      </c>
      <c r="F52" t="s">
        <v>10</v>
      </c>
      <c r="G52" t="s">
        <v>11</v>
      </c>
      <c r="H52" t="s">
        <v>12</v>
      </c>
      <c r="I52" t="s">
        <v>2663</v>
      </c>
      <c r="J52" t="s">
        <v>2657</v>
      </c>
      <c r="K52" t="s">
        <v>2664</v>
      </c>
    </row>
    <row r="53" spans="1:11" ht="15.75" customHeight="1" x14ac:dyDescent="0.35">
      <c r="A53" s="58" t="s">
        <v>142</v>
      </c>
      <c r="B53" s="58" t="s">
        <v>143</v>
      </c>
      <c r="C53" s="58" t="s">
        <v>18</v>
      </c>
      <c r="D53" s="2" t="s">
        <v>20</v>
      </c>
      <c r="E53" t="s">
        <v>10</v>
      </c>
      <c r="F53" t="s">
        <v>10</v>
      </c>
      <c r="G53" t="s">
        <v>11</v>
      </c>
      <c r="H53" t="s">
        <v>12</v>
      </c>
      <c r="I53" t="s">
        <v>2663</v>
      </c>
      <c r="J53" t="s">
        <v>2657</v>
      </c>
      <c r="K53" t="s">
        <v>2664</v>
      </c>
    </row>
    <row r="54" spans="1:11" ht="15.75" customHeight="1" x14ac:dyDescent="0.35">
      <c r="A54" s="58" t="s">
        <v>144</v>
      </c>
      <c r="B54" s="58" t="s">
        <v>145</v>
      </c>
      <c r="C54" s="58" t="s">
        <v>18</v>
      </c>
      <c r="D54" s="2" t="s">
        <v>20</v>
      </c>
      <c r="E54" t="s">
        <v>11</v>
      </c>
      <c r="F54" t="s">
        <v>10</v>
      </c>
      <c r="G54" t="s">
        <v>11</v>
      </c>
      <c r="H54" t="s">
        <v>12</v>
      </c>
      <c r="I54" t="s">
        <v>2663</v>
      </c>
      <c r="J54" t="s">
        <v>2657</v>
      </c>
      <c r="K54" t="s">
        <v>2664</v>
      </c>
    </row>
    <row r="55" spans="1:11" ht="15.75" customHeight="1" x14ac:dyDescent="0.35">
      <c r="A55" s="58" t="s">
        <v>146</v>
      </c>
      <c r="B55" s="58" t="s">
        <v>147</v>
      </c>
      <c r="C55" s="58" t="s">
        <v>2649</v>
      </c>
      <c r="D55" s="2" t="s">
        <v>43</v>
      </c>
      <c r="E55" t="s">
        <v>12</v>
      </c>
      <c r="F55" t="s">
        <v>10</v>
      </c>
      <c r="G55" t="s">
        <v>11</v>
      </c>
      <c r="H55" t="s">
        <v>12</v>
      </c>
      <c r="I55" t="s">
        <v>2663</v>
      </c>
      <c r="J55" t="s">
        <v>2657</v>
      </c>
      <c r="K55" t="s">
        <v>2664</v>
      </c>
    </row>
    <row r="56" spans="1:11" ht="15.75" customHeight="1" x14ac:dyDescent="0.35">
      <c r="A56" s="58" t="s">
        <v>149</v>
      </c>
      <c r="B56" s="58" t="s">
        <v>150</v>
      </c>
      <c r="C56" s="58" t="s">
        <v>2649</v>
      </c>
      <c r="D56" s="2" t="s">
        <v>43</v>
      </c>
      <c r="E56" t="s">
        <v>10</v>
      </c>
      <c r="F56" t="s">
        <v>10</v>
      </c>
      <c r="G56" t="s">
        <v>11</v>
      </c>
      <c r="H56" t="s">
        <v>12</v>
      </c>
      <c r="I56" t="s">
        <v>2663</v>
      </c>
      <c r="J56" t="s">
        <v>2657</v>
      </c>
      <c r="K56" t="s">
        <v>2664</v>
      </c>
    </row>
    <row r="57" spans="1:11" ht="15.75" customHeight="1" x14ac:dyDescent="0.35">
      <c r="A57" s="59" t="s">
        <v>152</v>
      </c>
      <c r="B57" s="59" t="s">
        <v>153</v>
      </c>
      <c r="C57" s="58" t="s">
        <v>130</v>
      </c>
      <c r="D57" s="2" t="s">
        <v>154</v>
      </c>
    </row>
    <row r="58" spans="1:11" ht="15.75" customHeight="1" x14ac:dyDescent="0.35">
      <c r="A58" s="59" t="s">
        <v>155</v>
      </c>
      <c r="B58" s="59" t="s">
        <v>156</v>
      </c>
      <c r="C58" s="58" t="s">
        <v>130</v>
      </c>
      <c r="D58" s="2" t="s">
        <v>154</v>
      </c>
    </row>
    <row r="59" spans="1:11" ht="15.75" customHeight="1" x14ac:dyDescent="0.35">
      <c r="A59" s="59" t="s">
        <v>157</v>
      </c>
      <c r="B59" s="59" t="s">
        <v>158</v>
      </c>
      <c r="C59" s="58" t="s">
        <v>130</v>
      </c>
      <c r="D59" s="2" t="s">
        <v>154</v>
      </c>
    </row>
    <row r="60" spans="1:11" ht="15.75" customHeight="1" x14ac:dyDescent="0.35">
      <c r="A60" s="59" t="s">
        <v>159</v>
      </c>
      <c r="B60" s="59" t="s">
        <v>160</v>
      </c>
      <c r="C60" s="58" t="s">
        <v>2645</v>
      </c>
      <c r="D60" s="2" t="s">
        <v>154</v>
      </c>
    </row>
    <row r="61" spans="1:11" ht="15.75" customHeight="1" x14ac:dyDescent="0.35">
      <c r="A61" s="59" t="s">
        <v>161</v>
      </c>
      <c r="B61" s="59" t="s">
        <v>162</v>
      </c>
      <c r="C61" s="58" t="s">
        <v>2645</v>
      </c>
      <c r="D61" s="2" t="s">
        <v>154</v>
      </c>
    </row>
    <row r="62" spans="1:11" ht="15.75" customHeight="1" x14ac:dyDescent="0.35">
      <c r="A62" s="59" t="s">
        <v>163</v>
      </c>
      <c r="B62" s="59" t="s">
        <v>164</v>
      </c>
      <c r="C62" s="58" t="s">
        <v>2645</v>
      </c>
      <c r="D62" s="2" t="s">
        <v>154</v>
      </c>
    </row>
    <row r="63" spans="1:11" ht="36" customHeight="1" x14ac:dyDescent="0.35">
      <c r="A63" s="58" t="s">
        <v>165</v>
      </c>
      <c r="B63" s="58" t="s">
        <v>166</v>
      </c>
      <c r="C63" s="58" t="s">
        <v>2649</v>
      </c>
      <c r="D63" s="2" t="s">
        <v>51</v>
      </c>
      <c r="E63" t="s">
        <v>11</v>
      </c>
      <c r="F63" t="s">
        <v>10</v>
      </c>
      <c r="G63" t="s">
        <v>11</v>
      </c>
      <c r="H63" t="s">
        <v>12</v>
      </c>
      <c r="I63" t="s">
        <v>2663</v>
      </c>
      <c r="J63" t="s">
        <v>2657</v>
      </c>
      <c r="K63" t="s">
        <v>2664</v>
      </c>
    </row>
    <row r="64" spans="1:11" ht="15.75" customHeight="1" x14ac:dyDescent="0.35">
      <c r="A64" s="58" t="s">
        <v>168</v>
      </c>
      <c r="B64" s="58" t="s">
        <v>169</v>
      </c>
      <c r="C64" s="58" t="s">
        <v>2649</v>
      </c>
      <c r="D64" s="2" t="s">
        <v>51</v>
      </c>
      <c r="E64" t="s">
        <v>12</v>
      </c>
      <c r="F64" t="s">
        <v>10</v>
      </c>
      <c r="G64" t="s">
        <v>11</v>
      </c>
      <c r="H64" t="s">
        <v>12</v>
      </c>
      <c r="I64" t="s">
        <v>2663</v>
      </c>
      <c r="J64" t="s">
        <v>2657</v>
      </c>
      <c r="K64" t="s">
        <v>2664</v>
      </c>
    </row>
    <row r="65" spans="1:11" ht="15.75" customHeight="1" x14ac:dyDescent="0.35">
      <c r="A65" s="58" t="s">
        <v>170</v>
      </c>
      <c r="B65" s="58" t="s">
        <v>171</v>
      </c>
      <c r="C65" s="58" t="s">
        <v>2649</v>
      </c>
      <c r="D65" s="2" t="s">
        <v>51</v>
      </c>
      <c r="E65" t="s">
        <v>10</v>
      </c>
      <c r="F65" t="s">
        <v>10</v>
      </c>
      <c r="G65" t="s">
        <v>11</v>
      </c>
      <c r="H65" t="s">
        <v>12</v>
      </c>
      <c r="I65" t="s">
        <v>2663</v>
      </c>
      <c r="J65" t="s">
        <v>2657</v>
      </c>
      <c r="K65" t="s">
        <v>2664</v>
      </c>
    </row>
    <row r="66" spans="1:11" ht="15.75" customHeight="1" x14ac:dyDescent="0.35">
      <c r="A66" s="59" t="s">
        <v>172</v>
      </c>
      <c r="B66" s="59" t="s">
        <v>173</v>
      </c>
      <c r="C66" s="58" t="s">
        <v>130</v>
      </c>
      <c r="D66" s="2" t="s">
        <v>174</v>
      </c>
    </row>
    <row r="67" spans="1:11" ht="15.75" customHeight="1" x14ac:dyDescent="0.35">
      <c r="A67" s="59" t="s">
        <v>175</v>
      </c>
      <c r="B67" s="59" t="s">
        <v>176</v>
      </c>
      <c r="C67" s="58" t="s">
        <v>130</v>
      </c>
      <c r="D67" s="2" t="s">
        <v>174</v>
      </c>
    </row>
    <row r="68" spans="1:11" ht="15.75" customHeight="1" x14ac:dyDescent="0.35">
      <c r="A68" s="59" t="s">
        <v>177</v>
      </c>
      <c r="B68" s="59" t="s">
        <v>178</v>
      </c>
      <c r="C68" s="58" t="s">
        <v>130</v>
      </c>
      <c r="D68" s="2" t="s">
        <v>174</v>
      </c>
    </row>
    <row r="69" spans="1:11" ht="15.75" customHeight="1" x14ac:dyDescent="0.35">
      <c r="A69" s="59" t="s">
        <v>179</v>
      </c>
      <c r="B69" s="59" t="s">
        <v>180</v>
      </c>
      <c r="C69" s="58" t="s">
        <v>130</v>
      </c>
      <c r="D69" s="2" t="s">
        <v>174</v>
      </c>
    </row>
    <row r="70" spans="1:11" ht="15.75" customHeight="1" x14ac:dyDescent="0.35">
      <c r="A70" s="59" t="s">
        <v>181</v>
      </c>
      <c r="B70" s="59" t="s">
        <v>182</v>
      </c>
      <c r="C70" s="58" t="s">
        <v>130</v>
      </c>
      <c r="D70" s="2" t="s">
        <v>174</v>
      </c>
    </row>
    <row r="71" spans="1:11" ht="15.75" customHeight="1" x14ac:dyDescent="0.35">
      <c r="A71" s="59" t="s">
        <v>183</v>
      </c>
      <c r="B71" s="59" t="s">
        <v>184</v>
      </c>
      <c r="C71" s="58" t="s">
        <v>2645</v>
      </c>
      <c r="D71" s="2" t="s">
        <v>174</v>
      </c>
    </row>
    <row r="72" spans="1:11" ht="15.75" customHeight="1" x14ac:dyDescent="0.35">
      <c r="A72" s="59" t="s">
        <v>185</v>
      </c>
      <c r="B72" s="59" t="s">
        <v>186</v>
      </c>
      <c r="C72" s="58" t="s">
        <v>2645</v>
      </c>
      <c r="D72" s="2" t="s">
        <v>174</v>
      </c>
    </row>
    <row r="73" spans="1:11" ht="15.75" customHeight="1" x14ac:dyDescent="0.35">
      <c r="A73" s="59" t="s">
        <v>187</v>
      </c>
      <c r="B73" s="59" t="s">
        <v>188</v>
      </c>
      <c r="C73" s="58" t="s">
        <v>2645</v>
      </c>
      <c r="D73" s="2" t="s">
        <v>174</v>
      </c>
    </row>
    <row r="74" spans="1:11" ht="15.75" customHeight="1" x14ac:dyDescent="0.35">
      <c r="A74" s="59" t="s">
        <v>189</v>
      </c>
      <c r="B74" s="59" t="s">
        <v>190</v>
      </c>
      <c r="C74" s="58" t="s">
        <v>2645</v>
      </c>
      <c r="D74" s="2" t="s">
        <v>174</v>
      </c>
    </row>
    <row r="75" spans="1:11" ht="15.75" customHeight="1" x14ac:dyDescent="0.35">
      <c r="A75" s="59" t="s">
        <v>191</v>
      </c>
      <c r="B75" s="59" t="s">
        <v>192</v>
      </c>
      <c r="C75" s="58" t="s">
        <v>2645</v>
      </c>
      <c r="D75" s="2" t="s">
        <v>174</v>
      </c>
    </row>
    <row r="76" spans="1:11" ht="15.75" customHeight="1" x14ac:dyDescent="0.35">
      <c r="A76" s="58" t="s">
        <v>193</v>
      </c>
      <c r="B76" s="58" t="s">
        <v>194</v>
      </c>
      <c r="C76" s="58" t="s">
        <v>18</v>
      </c>
      <c r="D76" s="2" t="s">
        <v>12</v>
      </c>
      <c r="E76" t="s">
        <v>51</v>
      </c>
      <c r="F76" t="s">
        <v>9</v>
      </c>
      <c r="G76" t="s">
        <v>51</v>
      </c>
      <c r="H76" t="s">
        <v>54</v>
      </c>
      <c r="I76" t="s">
        <v>2663</v>
      </c>
      <c r="J76" t="s">
        <v>2659</v>
      </c>
      <c r="K76" t="s">
        <v>2665</v>
      </c>
    </row>
    <row r="77" spans="1:11" ht="15.75" customHeight="1" x14ac:dyDescent="0.35">
      <c r="A77" s="58" t="s">
        <v>195</v>
      </c>
      <c r="B77" s="58" t="s">
        <v>196</v>
      </c>
      <c r="C77" s="58" t="s">
        <v>18</v>
      </c>
      <c r="D77" s="2" t="s">
        <v>12</v>
      </c>
      <c r="E77" t="s">
        <v>54</v>
      </c>
      <c r="F77" t="s">
        <v>9</v>
      </c>
      <c r="G77" t="s">
        <v>51</v>
      </c>
      <c r="H77" t="s">
        <v>54</v>
      </c>
      <c r="I77" t="s">
        <v>2663</v>
      </c>
      <c r="J77" t="s">
        <v>2659</v>
      </c>
      <c r="K77" t="s">
        <v>2665</v>
      </c>
    </row>
    <row r="78" spans="1:11" ht="15.75" customHeight="1" x14ac:dyDescent="0.35">
      <c r="A78" s="58" t="s">
        <v>197</v>
      </c>
      <c r="B78" s="58" t="s">
        <v>198</v>
      </c>
      <c r="C78" s="58" t="s">
        <v>18</v>
      </c>
      <c r="D78" s="2" t="s">
        <v>12</v>
      </c>
      <c r="E78" t="s">
        <v>9</v>
      </c>
      <c r="F78" t="s">
        <v>9</v>
      </c>
      <c r="G78" t="s">
        <v>51</v>
      </c>
      <c r="H78" t="s">
        <v>54</v>
      </c>
      <c r="I78" t="s">
        <v>2663</v>
      </c>
      <c r="J78" t="s">
        <v>2659</v>
      </c>
      <c r="K78" t="s">
        <v>2665</v>
      </c>
    </row>
    <row r="79" spans="1:11" ht="15.75" customHeight="1" x14ac:dyDescent="0.35">
      <c r="A79" s="58" t="s">
        <v>200</v>
      </c>
      <c r="B79" s="58" t="s">
        <v>201</v>
      </c>
      <c r="C79" s="58" t="s">
        <v>18</v>
      </c>
      <c r="D79" s="2" t="s">
        <v>12</v>
      </c>
      <c r="E79" t="s">
        <v>51</v>
      </c>
      <c r="F79" t="s">
        <v>9</v>
      </c>
      <c r="G79" t="s">
        <v>51</v>
      </c>
      <c r="H79" t="s">
        <v>54</v>
      </c>
      <c r="I79" t="s">
        <v>2663</v>
      </c>
      <c r="J79" t="s">
        <v>2659</v>
      </c>
      <c r="K79" t="s">
        <v>2665</v>
      </c>
    </row>
    <row r="80" spans="1:11" ht="15.75" customHeight="1" x14ac:dyDescent="0.35">
      <c r="A80" s="58" t="s">
        <v>203</v>
      </c>
      <c r="B80" s="58" t="s">
        <v>204</v>
      </c>
      <c r="C80" s="58" t="s">
        <v>18</v>
      </c>
      <c r="D80" s="2" t="s">
        <v>12</v>
      </c>
      <c r="E80" t="s">
        <v>54</v>
      </c>
      <c r="F80" t="s">
        <v>9</v>
      </c>
      <c r="G80" t="s">
        <v>51</v>
      </c>
      <c r="H80" t="s">
        <v>54</v>
      </c>
      <c r="I80" t="s">
        <v>2663</v>
      </c>
      <c r="J80" t="s">
        <v>2659</v>
      </c>
      <c r="K80" t="s">
        <v>2665</v>
      </c>
    </row>
    <row r="81" spans="1:11" ht="15.75" customHeight="1" x14ac:dyDescent="0.35">
      <c r="A81" s="58" t="s">
        <v>205</v>
      </c>
      <c r="B81" s="58" t="s">
        <v>206</v>
      </c>
      <c r="C81" s="58" t="s">
        <v>2649</v>
      </c>
      <c r="D81" s="2" t="s">
        <v>67</v>
      </c>
      <c r="E81" t="s">
        <v>9</v>
      </c>
      <c r="F81" t="s">
        <v>9</v>
      </c>
      <c r="G81" t="s">
        <v>51</v>
      </c>
      <c r="H81" t="s">
        <v>54</v>
      </c>
      <c r="I81" t="s">
        <v>2663</v>
      </c>
      <c r="J81" t="s">
        <v>2659</v>
      </c>
      <c r="K81" t="s">
        <v>2665</v>
      </c>
    </row>
    <row r="82" spans="1:11" ht="15.75" customHeight="1" x14ac:dyDescent="0.35">
      <c r="A82" s="58" t="s">
        <v>207</v>
      </c>
      <c r="B82" s="58" t="s">
        <v>208</v>
      </c>
      <c r="C82" s="58" t="s">
        <v>18</v>
      </c>
      <c r="D82" s="2" t="s">
        <v>75</v>
      </c>
      <c r="E82" t="s">
        <v>9</v>
      </c>
      <c r="F82" t="s">
        <v>9</v>
      </c>
      <c r="G82" t="s">
        <v>51</v>
      </c>
      <c r="H82" t="s">
        <v>54</v>
      </c>
      <c r="I82" t="s">
        <v>2663</v>
      </c>
      <c r="J82" t="s">
        <v>2659</v>
      </c>
      <c r="K82" t="s">
        <v>2665</v>
      </c>
    </row>
    <row r="83" spans="1:11" ht="15.75" customHeight="1" x14ac:dyDescent="0.35">
      <c r="A83" s="58" t="s">
        <v>210</v>
      </c>
      <c r="B83" s="58" t="s">
        <v>211</v>
      </c>
      <c r="C83" s="58" t="s">
        <v>18</v>
      </c>
      <c r="D83" s="2" t="s">
        <v>75</v>
      </c>
      <c r="E83" t="s">
        <v>51</v>
      </c>
      <c r="F83" t="s">
        <v>9</v>
      </c>
      <c r="G83" t="s">
        <v>51</v>
      </c>
      <c r="H83" t="s">
        <v>54</v>
      </c>
      <c r="I83" t="s">
        <v>2663</v>
      </c>
      <c r="J83" t="s">
        <v>2659</v>
      </c>
      <c r="K83" t="s">
        <v>2665</v>
      </c>
    </row>
    <row r="84" spans="1:11" ht="15.75" customHeight="1" x14ac:dyDescent="0.35">
      <c r="A84" s="58" t="s">
        <v>213</v>
      </c>
      <c r="B84" s="58" t="s">
        <v>214</v>
      </c>
      <c r="C84" s="58" t="s">
        <v>18</v>
      </c>
      <c r="D84" s="2" t="s">
        <v>75</v>
      </c>
      <c r="E84" t="s">
        <v>54</v>
      </c>
      <c r="F84" t="s">
        <v>9</v>
      </c>
      <c r="G84" t="s">
        <v>51</v>
      </c>
      <c r="H84" t="s">
        <v>54</v>
      </c>
      <c r="I84" t="s">
        <v>2663</v>
      </c>
      <c r="J84" t="s">
        <v>2659</v>
      </c>
      <c r="K84" t="s">
        <v>2665</v>
      </c>
    </row>
    <row r="85" spans="1:11" ht="15.75" customHeight="1" x14ac:dyDescent="0.35">
      <c r="A85" s="58" t="s">
        <v>215</v>
      </c>
      <c r="B85" s="58" t="s">
        <v>216</v>
      </c>
      <c r="C85" s="58" t="s">
        <v>18</v>
      </c>
      <c r="D85" s="2" t="s">
        <v>75</v>
      </c>
      <c r="E85" t="s">
        <v>9</v>
      </c>
      <c r="F85" t="s">
        <v>9</v>
      </c>
      <c r="G85" t="s">
        <v>51</v>
      </c>
      <c r="H85" t="s">
        <v>54</v>
      </c>
      <c r="I85" t="s">
        <v>2663</v>
      </c>
      <c r="J85" t="s">
        <v>2659</v>
      </c>
      <c r="K85" t="s">
        <v>2665</v>
      </c>
    </row>
    <row r="86" spans="1:11" ht="15.75" customHeight="1" x14ac:dyDescent="0.35">
      <c r="A86" s="58" t="s">
        <v>217</v>
      </c>
      <c r="B86" s="58" t="s">
        <v>218</v>
      </c>
      <c r="C86" s="58" t="s">
        <v>18</v>
      </c>
      <c r="D86" s="2" t="s">
        <v>75</v>
      </c>
      <c r="E86" t="s">
        <v>51</v>
      </c>
      <c r="F86" t="s">
        <v>9</v>
      </c>
      <c r="G86" t="s">
        <v>51</v>
      </c>
      <c r="H86" t="s">
        <v>54</v>
      </c>
      <c r="I86" t="s">
        <v>2663</v>
      </c>
      <c r="J86" t="s">
        <v>2659</v>
      </c>
      <c r="K86" t="s">
        <v>2665</v>
      </c>
    </row>
    <row r="87" spans="1:11" ht="15.75" customHeight="1" x14ac:dyDescent="0.35">
      <c r="A87" s="58" t="s">
        <v>219</v>
      </c>
      <c r="B87" s="58" t="s">
        <v>220</v>
      </c>
      <c r="C87" s="58" t="s">
        <v>2649</v>
      </c>
      <c r="D87" s="2" t="s">
        <v>9</v>
      </c>
      <c r="E87" t="s">
        <v>43</v>
      </c>
      <c r="F87" t="s">
        <v>43</v>
      </c>
      <c r="G87" t="s">
        <v>75</v>
      </c>
      <c r="H87" t="s">
        <v>67</v>
      </c>
      <c r="I87" t="s">
        <v>2663</v>
      </c>
      <c r="J87" t="s">
        <v>2661</v>
      </c>
      <c r="K87" t="s">
        <v>2666</v>
      </c>
    </row>
    <row r="88" spans="1:11" ht="15.75" customHeight="1" x14ac:dyDescent="0.35">
      <c r="A88" s="58" t="s">
        <v>221</v>
      </c>
      <c r="B88" s="58" t="s">
        <v>222</v>
      </c>
      <c r="C88" s="58" t="s">
        <v>2649</v>
      </c>
      <c r="D88" s="2" t="s">
        <v>9</v>
      </c>
      <c r="E88" t="s">
        <v>75</v>
      </c>
      <c r="F88" t="s">
        <v>43</v>
      </c>
      <c r="G88" t="s">
        <v>75</v>
      </c>
      <c r="H88" t="s">
        <v>67</v>
      </c>
      <c r="I88" t="s">
        <v>2663</v>
      </c>
      <c r="J88" t="s">
        <v>2661</v>
      </c>
      <c r="K88" t="s">
        <v>2666</v>
      </c>
    </row>
    <row r="89" spans="1:11" ht="15.75" customHeight="1" x14ac:dyDescent="0.35">
      <c r="A89" s="58" t="s">
        <v>223</v>
      </c>
      <c r="B89" s="58" t="s">
        <v>224</v>
      </c>
      <c r="C89" s="58" t="s">
        <v>2649</v>
      </c>
      <c r="D89" s="2" t="s">
        <v>9</v>
      </c>
      <c r="E89" t="s">
        <v>67</v>
      </c>
      <c r="F89" t="s">
        <v>43</v>
      </c>
      <c r="G89" t="s">
        <v>75</v>
      </c>
      <c r="H89" t="s">
        <v>67</v>
      </c>
      <c r="I89" t="s">
        <v>2663</v>
      </c>
      <c r="J89" t="s">
        <v>2661</v>
      </c>
      <c r="K89" t="s">
        <v>2666</v>
      </c>
    </row>
    <row r="90" spans="1:11" ht="15.75" customHeight="1" x14ac:dyDescent="0.35">
      <c r="A90" s="58" t="s">
        <v>225</v>
      </c>
      <c r="B90" s="58" t="s">
        <v>226</v>
      </c>
      <c r="C90" s="58" t="s">
        <v>2649</v>
      </c>
      <c r="D90" s="2" t="s">
        <v>20</v>
      </c>
      <c r="E90" t="s">
        <v>43</v>
      </c>
      <c r="F90" t="s">
        <v>43</v>
      </c>
      <c r="G90" t="s">
        <v>75</v>
      </c>
      <c r="H90" t="s">
        <v>67</v>
      </c>
      <c r="I90" t="s">
        <v>2663</v>
      </c>
      <c r="J90" t="s">
        <v>2661</v>
      </c>
      <c r="K90" t="s">
        <v>2666</v>
      </c>
    </row>
    <row r="91" spans="1:11" ht="15.75" customHeight="1" x14ac:dyDescent="0.35">
      <c r="A91" s="58" t="s">
        <v>228</v>
      </c>
      <c r="B91" s="58" t="s">
        <v>229</v>
      </c>
      <c r="C91" s="58" t="s">
        <v>2649</v>
      </c>
      <c r="D91" s="2" t="s">
        <v>20</v>
      </c>
      <c r="E91" t="s">
        <v>75</v>
      </c>
      <c r="F91" t="s">
        <v>43</v>
      </c>
      <c r="G91" t="s">
        <v>75</v>
      </c>
      <c r="H91" t="s">
        <v>67</v>
      </c>
      <c r="I91" t="s">
        <v>2663</v>
      </c>
      <c r="J91" t="s">
        <v>2661</v>
      </c>
      <c r="K91" t="s">
        <v>2666</v>
      </c>
    </row>
    <row r="92" spans="1:11" ht="15.75" customHeight="1" x14ac:dyDescent="0.35">
      <c r="A92" s="58" t="s">
        <v>231</v>
      </c>
      <c r="B92" s="58" t="s">
        <v>232</v>
      </c>
      <c r="C92" s="58" t="s">
        <v>2649</v>
      </c>
      <c r="D92" s="2" t="s">
        <v>20</v>
      </c>
      <c r="E92" t="s">
        <v>67</v>
      </c>
      <c r="F92" t="s">
        <v>43</v>
      </c>
      <c r="G92" t="s">
        <v>75</v>
      </c>
      <c r="H92" t="s">
        <v>67</v>
      </c>
      <c r="I92" t="s">
        <v>2663</v>
      </c>
      <c r="J92" t="s">
        <v>2661</v>
      </c>
      <c r="K92" t="s">
        <v>2666</v>
      </c>
    </row>
    <row r="93" spans="1:11" ht="15.75" customHeight="1" x14ac:dyDescent="0.35">
      <c r="A93" s="58" t="s">
        <v>234</v>
      </c>
      <c r="B93" s="58" t="s">
        <v>235</v>
      </c>
      <c r="C93" s="58" t="s">
        <v>2649</v>
      </c>
      <c r="D93" s="2" t="s">
        <v>20</v>
      </c>
      <c r="E93" t="s">
        <v>43</v>
      </c>
      <c r="F93" t="s">
        <v>43</v>
      </c>
      <c r="G93" t="s">
        <v>75</v>
      </c>
      <c r="H93" t="s">
        <v>67</v>
      </c>
      <c r="I93" t="s">
        <v>2663</v>
      </c>
      <c r="J93" t="s">
        <v>2661</v>
      </c>
      <c r="K93" t="s">
        <v>2666</v>
      </c>
    </row>
    <row r="94" spans="1:11" ht="15.75" customHeight="1" x14ac:dyDescent="0.35">
      <c r="A94" s="58" t="s">
        <v>237</v>
      </c>
      <c r="B94" s="58" t="s">
        <v>238</v>
      </c>
      <c r="C94" s="58" t="s">
        <v>2649</v>
      </c>
      <c r="D94" s="2" t="s">
        <v>20</v>
      </c>
      <c r="E94" t="s">
        <v>75</v>
      </c>
      <c r="F94" t="s">
        <v>43</v>
      </c>
      <c r="G94" t="s">
        <v>75</v>
      </c>
      <c r="H94" t="s">
        <v>67</v>
      </c>
      <c r="I94" t="s">
        <v>2663</v>
      </c>
      <c r="J94" t="s">
        <v>2661</v>
      </c>
      <c r="K94" t="s">
        <v>2666</v>
      </c>
    </row>
    <row r="95" spans="1:11" ht="15.75" customHeight="1" x14ac:dyDescent="0.35">
      <c r="A95" s="58" t="s">
        <v>239</v>
      </c>
      <c r="B95" s="58" t="s">
        <v>240</v>
      </c>
      <c r="C95" s="58" t="s">
        <v>2649</v>
      </c>
      <c r="D95" s="2" t="s">
        <v>54</v>
      </c>
      <c r="E95" t="s">
        <v>67</v>
      </c>
      <c r="F95" t="s">
        <v>43</v>
      </c>
      <c r="G95" t="s">
        <v>75</v>
      </c>
      <c r="H95" t="s">
        <v>67</v>
      </c>
      <c r="I95" t="s">
        <v>2663</v>
      </c>
      <c r="J95" t="s">
        <v>2661</v>
      </c>
      <c r="K95" t="s">
        <v>2666</v>
      </c>
    </row>
    <row r="96" spans="1:11" ht="15.75" customHeight="1" x14ac:dyDescent="0.35">
      <c r="A96" s="58" t="s">
        <v>242</v>
      </c>
      <c r="B96" s="58" t="s">
        <v>243</v>
      </c>
      <c r="C96" s="58" t="s">
        <v>2649</v>
      </c>
      <c r="D96" s="2" t="s">
        <v>54</v>
      </c>
      <c r="E96" t="s">
        <v>43</v>
      </c>
      <c r="F96" t="s">
        <v>43</v>
      </c>
      <c r="G96" t="s">
        <v>75</v>
      </c>
      <c r="H96" t="s">
        <v>67</v>
      </c>
      <c r="I96" t="s">
        <v>2663</v>
      </c>
      <c r="J96" t="s">
        <v>2661</v>
      </c>
      <c r="K96" t="s">
        <v>2666</v>
      </c>
    </row>
    <row r="97" spans="1:11" ht="15.75" customHeight="1" x14ac:dyDescent="0.35">
      <c r="A97" s="58" t="s">
        <v>245</v>
      </c>
      <c r="B97" s="58" t="s">
        <v>246</v>
      </c>
      <c r="C97" s="58" t="s">
        <v>18</v>
      </c>
      <c r="D97" s="2" t="s">
        <v>12</v>
      </c>
      <c r="E97" t="s">
        <v>9</v>
      </c>
      <c r="F97" t="s">
        <v>9</v>
      </c>
      <c r="G97" t="s">
        <v>10</v>
      </c>
      <c r="H97" t="s">
        <v>43</v>
      </c>
      <c r="I97" t="s">
        <v>2667</v>
      </c>
      <c r="J97" t="s">
        <v>2668</v>
      </c>
      <c r="K97" t="s">
        <v>2669</v>
      </c>
    </row>
    <row r="98" spans="1:11" ht="15.75" customHeight="1" x14ac:dyDescent="0.35">
      <c r="A98" s="58" t="s">
        <v>248</v>
      </c>
      <c r="B98" s="58" t="s">
        <v>249</v>
      </c>
      <c r="C98" s="58" t="s">
        <v>18</v>
      </c>
      <c r="D98" s="2" t="s">
        <v>12</v>
      </c>
      <c r="E98" t="s">
        <v>10</v>
      </c>
      <c r="F98" t="s">
        <v>9</v>
      </c>
      <c r="G98" t="s">
        <v>10</v>
      </c>
      <c r="H98" t="s">
        <v>43</v>
      </c>
      <c r="I98" t="s">
        <v>2667</v>
      </c>
      <c r="J98" t="s">
        <v>2668</v>
      </c>
      <c r="K98" t="s">
        <v>2669</v>
      </c>
    </row>
    <row r="99" spans="1:11" ht="15.75" customHeight="1" x14ac:dyDescent="0.35">
      <c r="A99" s="58" t="s">
        <v>250</v>
      </c>
      <c r="B99" s="58" t="s">
        <v>251</v>
      </c>
      <c r="C99" s="58" t="s">
        <v>18</v>
      </c>
      <c r="D99" s="2" t="s">
        <v>12</v>
      </c>
      <c r="E99" t="s">
        <v>43</v>
      </c>
      <c r="F99" t="s">
        <v>9</v>
      </c>
      <c r="G99" t="s">
        <v>10</v>
      </c>
      <c r="H99" t="s">
        <v>43</v>
      </c>
      <c r="I99" t="s">
        <v>2667</v>
      </c>
      <c r="J99" t="s">
        <v>2668</v>
      </c>
      <c r="K99" t="s">
        <v>2669</v>
      </c>
    </row>
    <row r="100" spans="1:11" ht="15.75" customHeight="1" x14ac:dyDescent="0.35">
      <c r="A100" s="58" t="s">
        <v>252</v>
      </c>
      <c r="B100" s="58" t="s">
        <v>253</v>
      </c>
      <c r="C100" s="58" t="s">
        <v>18</v>
      </c>
      <c r="D100" s="2" t="s">
        <v>12</v>
      </c>
      <c r="E100" t="s">
        <v>9</v>
      </c>
      <c r="F100" t="s">
        <v>9</v>
      </c>
      <c r="G100" t="s">
        <v>10</v>
      </c>
      <c r="H100" t="s">
        <v>43</v>
      </c>
      <c r="I100" t="s">
        <v>2667</v>
      </c>
      <c r="J100" t="s">
        <v>2668</v>
      </c>
      <c r="K100" t="s">
        <v>2669</v>
      </c>
    </row>
    <row r="101" spans="1:11" ht="15.75" customHeight="1" x14ac:dyDescent="0.35">
      <c r="A101" s="59" t="s">
        <v>254</v>
      </c>
      <c r="B101" s="59" t="s">
        <v>255</v>
      </c>
      <c r="C101" s="58" t="s">
        <v>256</v>
      </c>
      <c r="D101" s="2" t="s">
        <v>257</v>
      </c>
    </row>
    <row r="102" spans="1:11" ht="15.75" customHeight="1" x14ac:dyDescent="0.35">
      <c r="A102" s="59" t="s">
        <v>258</v>
      </c>
      <c r="B102" s="59" t="s">
        <v>259</v>
      </c>
      <c r="C102" s="58" t="s">
        <v>260</v>
      </c>
      <c r="D102" s="2" t="s">
        <v>257</v>
      </c>
    </row>
    <row r="103" spans="1:11" ht="15.75" customHeight="1" x14ac:dyDescent="0.35">
      <c r="A103" s="59" t="s">
        <v>261</v>
      </c>
      <c r="B103" s="59" t="s">
        <v>262</v>
      </c>
      <c r="C103" s="58" t="s">
        <v>263</v>
      </c>
      <c r="D103" s="2" t="s">
        <v>257</v>
      </c>
    </row>
    <row r="104" spans="1:11" ht="15.75" customHeight="1" x14ac:dyDescent="0.35">
      <c r="A104" s="59" t="s">
        <v>264</v>
      </c>
      <c r="B104" s="59" t="s">
        <v>265</v>
      </c>
      <c r="C104" s="58" t="s">
        <v>263</v>
      </c>
      <c r="D104" s="2" t="s">
        <v>257</v>
      </c>
    </row>
    <row r="105" spans="1:11" ht="15.75" customHeight="1" x14ac:dyDescent="0.35">
      <c r="A105" s="59" t="s">
        <v>266</v>
      </c>
      <c r="B105" s="59" t="s">
        <v>267</v>
      </c>
      <c r="C105" s="58" t="s">
        <v>263</v>
      </c>
      <c r="D105" s="2" t="s">
        <v>257</v>
      </c>
    </row>
    <row r="106" spans="1:11" ht="15.75" customHeight="1" x14ac:dyDescent="0.35">
      <c r="A106" s="59" t="s">
        <v>268</v>
      </c>
      <c r="B106" s="59" t="s">
        <v>269</v>
      </c>
      <c r="C106" s="58" t="s">
        <v>263</v>
      </c>
      <c r="D106" s="2" t="s">
        <v>257</v>
      </c>
    </row>
    <row r="107" spans="1:11" ht="15.75" customHeight="1" x14ac:dyDescent="0.35">
      <c r="A107" s="59" t="s">
        <v>270</v>
      </c>
      <c r="B107" s="59" t="s">
        <v>271</v>
      </c>
      <c r="C107" s="58" t="s">
        <v>263</v>
      </c>
      <c r="D107" s="2" t="s">
        <v>257</v>
      </c>
    </row>
    <row r="108" spans="1:11" ht="15.75" customHeight="1" x14ac:dyDescent="0.35">
      <c r="A108" s="59" t="s">
        <v>272</v>
      </c>
      <c r="B108" s="59" t="s">
        <v>273</v>
      </c>
      <c r="C108" s="58" t="s">
        <v>263</v>
      </c>
      <c r="D108" s="2" t="s">
        <v>257</v>
      </c>
    </row>
    <row r="109" spans="1:11" ht="15.75" customHeight="1" x14ac:dyDescent="0.35">
      <c r="A109" s="59" t="s">
        <v>274</v>
      </c>
      <c r="B109" s="59" t="s">
        <v>275</v>
      </c>
      <c r="C109" s="58" t="s">
        <v>263</v>
      </c>
      <c r="D109" s="2" t="s">
        <v>257</v>
      </c>
    </row>
    <row r="110" spans="1:11" ht="15.75" customHeight="1" x14ac:dyDescent="0.35">
      <c r="A110" s="59" t="s">
        <v>276</v>
      </c>
      <c r="B110" s="59" t="s">
        <v>277</v>
      </c>
      <c r="C110" s="58" t="s">
        <v>263</v>
      </c>
      <c r="D110" s="2" t="s">
        <v>257</v>
      </c>
    </row>
    <row r="111" spans="1:11" ht="15.75" customHeight="1" x14ac:dyDescent="0.35">
      <c r="A111" s="59" t="s">
        <v>278</v>
      </c>
      <c r="B111" s="59" t="s">
        <v>279</v>
      </c>
      <c r="C111" s="58" t="s">
        <v>263</v>
      </c>
      <c r="D111" s="2" t="s">
        <v>257</v>
      </c>
    </row>
    <row r="112" spans="1:11" ht="15.75" customHeight="1" x14ac:dyDescent="0.35">
      <c r="A112" s="59" t="s">
        <v>280</v>
      </c>
      <c r="B112" s="59" t="s">
        <v>281</v>
      </c>
      <c r="C112" s="58" t="s">
        <v>263</v>
      </c>
      <c r="D112" s="2" t="s">
        <v>257</v>
      </c>
    </row>
    <row r="113" spans="1:11" ht="15.75" customHeight="1" x14ac:dyDescent="0.35">
      <c r="A113" s="59" t="s">
        <v>282</v>
      </c>
      <c r="B113" s="59" t="s">
        <v>283</v>
      </c>
      <c r="C113" s="58" t="s">
        <v>130</v>
      </c>
      <c r="D113" s="2" t="s">
        <v>257</v>
      </c>
    </row>
    <row r="114" spans="1:11" ht="15.75" customHeight="1" x14ac:dyDescent="0.35">
      <c r="A114" s="59" t="s">
        <v>284</v>
      </c>
      <c r="B114" s="59" t="s">
        <v>285</v>
      </c>
      <c r="C114" s="58" t="s">
        <v>130</v>
      </c>
      <c r="D114" s="2" t="s">
        <v>257</v>
      </c>
    </row>
    <row r="115" spans="1:11" ht="15.75" customHeight="1" x14ac:dyDescent="0.35">
      <c r="A115" s="59" t="s">
        <v>286</v>
      </c>
      <c r="B115" s="59" t="s">
        <v>287</v>
      </c>
      <c r="C115" s="58" t="s">
        <v>130</v>
      </c>
      <c r="D115" s="2" t="s">
        <v>257</v>
      </c>
    </row>
    <row r="116" spans="1:11" ht="15.75" customHeight="1" x14ac:dyDescent="0.35">
      <c r="A116" s="59" t="s">
        <v>288</v>
      </c>
      <c r="B116" s="59" t="s">
        <v>289</v>
      </c>
      <c r="C116" s="58" t="s">
        <v>263</v>
      </c>
      <c r="D116" s="2" t="s">
        <v>257</v>
      </c>
    </row>
    <row r="117" spans="1:11" ht="15.75" customHeight="1" x14ac:dyDescent="0.35">
      <c r="A117" s="59" t="s">
        <v>290</v>
      </c>
      <c r="B117" s="59" t="s">
        <v>291</v>
      </c>
      <c r="C117" s="58" t="s">
        <v>263</v>
      </c>
      <c r="D117" s="2" t="s">
        <v>257</v>
      </c>
    </row>
    <row r="118" spans="1:11" ht="15.75" customHeight="1" x14ac:dyDescent="0.35">
      <c r="A118" s="59" t="s">
        <v>292</v>
      </c>
      <c r="B118" s="59" t="s">
        <v>293</v>
      </c>
      <c r="C118" s="58" t="s">
        <v>263</v>
      </c>
      <c r="D118" s="2" t="s">
        <v>257</v>
      </c>
    </row>
    <row r="119" spans="1:11" ht="15.75" customHeight="1" x14ac:dyDescent="0.35">
      <c r="A119" s="59" t="s">
        <v>294</v>
      </c>
      <c r="B119" s="59" t="s">
        <v>295</v>
      </c>
      <c r="C119" s="58" t="s">
        <v>263</v>
      </c>
      <c r="D119" s="2" t="s">
        <v>257</v>
      </c>
    </row>
    <row r="120" spans="1:11" ht="15.75" customHeight="1" x14ac:dyDescent="0.35">
      <c r="A120" s="59" t="s">
        <v>296</v>
      </c>
      <c r="B120" s="59" t="s">
        <v>297</v>
      </c>
      <c r="C120" s="58" t="s">
        <v>263</v>
      </c>
      <c r="D120" s="2" t="s">
        <v>257</v>
      </c>
    </row>
    <row r="121" spans="1:11" ht="15.75" customHeight="1" x14ac:dyDescent="0.35">
      <c r="A121" s="59" t="s">
        <v>298</v>
      </c>
      <c r="B121" s="59" t="s">
        <v>299</v>
      </c>
      <c r="C121" s="58" t="s">
        <v>263</v>
      </c>
      <c r="D121" s="2" t="s">
        <v>257</v>
      </c>
    </row>
    <row r="122" spans="1:11" ht="15.75" customHeight="1" x14ac:dyDescent="0.35">
      <c r="A122" s="59" t="s">
        <v>300</v>
      </c>
      <c r="B122" s="59" t="s">
        <v>301</v>
      </c>
      <c r="C122" s="58" t="s">
        <v>263</v>
      </c>
      <c r="D122" s="2" t="s">
        <v>257</v>
      </c>
    </row>
    <row r="123" spans="1:11" ht="15.75" customHeight="1" x14ac:dyDescent="0.35">
      <c r="A123" s="58" t="s">
        <v>302</v>
      </c>
      <c r="B123" s="58" t="s">
        <v>303</v>
      </c>
      <c r="C123" s="58" t="s">
        <v>18</v>
      </c>
      <c r="D123" s="2" t="s">
        <v>12</v>
      </c>
      <c r="E123" t="s">
        <v>10</v>
      </c>
      <c r="F123" t="s">
        <v>9</v>
      </c>
      <c r="G123" t="s">
        <v>10</v>
      </c>
      <c r="H123" t="s">
        <v>43</v>
      </c>
      <c r="I123" t="s">
        <v>2667</v>
      </c>
      <c r="J123" t="s">
        <v>2668</v>
      </c>
      <c r="K123" t="s">
        <v>2669</v>
      </c>
    </row>
    <row r="124" spans="1:11" ht="15.75" customHeight="1" x14ac:dyDescent="0.35">
      <c r="A124" s="58" t="s">
        <v>304</v>
      </c>
      <c r="B124" s="58" t="s">
        <v>305</v>
      </c>
      <c r="C124" s="58" t="s">
        <v>18</v>
      </c>
      <c r="D124" s="2" t="s">
        <v>12</v>
      </c>
      <c r="E124" t="s">
        <v>9</v>
      </c>
      <c r="F124" t="s">
        <v>9</v>
      </c>
      <c r="G124" t="s">
        <v>10</v>
      </c>
      <c r="H124" t="s">
        <v>43</v>
      </c>
      <c r="I124" t="s">
        <v>2667</v>
      </c>
      <c r="J124" t="s">
        <v>2668</v>
      </c>
      <c r="K124" t="s">
        <v>2669</v>
      </c>
    </row>
    <row r="125" spans="1:11" ht="15.75" customHeight="1" x14ac:dyDescent="0.35">
      <c r="A125" s="58" t="s">
        <v>306</v>
      </c>
      <c r="B125" s="58" t="s">
        <v>307</v>
      </c>
      <c r="C125" s="58" t="s">
        <v>18</v>
      </c>
      <c r="D125" s="2" t="s">
        <v>75</v>
      </c>
      <c r="E125" t="s">
        <v>43</v>
      </c>
      <c r="F125" t="s">
        <v>9</v>
      </c>
      <c r="G125" t="s">
        <v>10</v>
      </c>
      <c r="H125" t="s">
        <v>43</v>
      </c>
      <c r="I125" t="s">
        <v>2667</v>
      </c>
      <c r="J125" t="s">
        <v>2668</v>
      </c>
      <c r="K125" t="s">
        <v>2669</v>
      </c>
    </row>
    <row r="126" spans="1:11" ht="15.75" customHeight="1" x14ac:dyDescent="0.35">
      <c r="A126" s="59" t="s">
        <v>308</v>
      </c>
      <c r="B126" s="59" t="s">
        <v>309</v>
      </c>
      <c r="C126" s="58" t="s">
        <v>263</v>
      </c>
      <c r="D126" s="2" t="s">
        <v>310</v>
      </c>
    </row>
    <row r="127" spans="1:11" ht="15.75" customHeight="1" x14ac:dyDescent="0.35">
      <c r="A127" s="59" t="s">
        <v>311</v>
      </c>
      <c r="B127" s="59" t="s">
        <v>312</v>
      </c>
      <c r="C127" s="58" t="s">
        <v>263</v>
      </c>
      <c r="D127" s="2" t="s">
        <v>310</v>
      </c>
    </row>
    <row r="128" spans="1:11" ht="15.75" customHeight="1" x14ac:dyDescent="0.35">
      <c r="A128" s="59" t="s">
        <v>313</v>
      </c>
      <c r="B128" s="59" t="s">
        <v>314</v>
      </c>
      <c r="C128" s="58" t="s">
        <v>263</v>
      </c>
      <c r="D128" s="2" t="s">
        <v>310</v>
      </c>
    </row>
    <row r="129" spans="1:4" ht="15.75" customHeight="1" x14ac:dyDescent="0.35">
      <c r="A129" s="59" t="s">
        <v>315</v>
      </c>
      <c r="B129" s="59" t="s">
        <v>316</v>
      </c>
      <c r="C129" s="58" t="s">
        <v>263</v>
      </c>
      <c r="D129" s="2" t="s">
        <v>310</v>
      </c>
    </row>
    <row r="130" spans="1:4" ht="15.75" customHeight="1" x14ac:dyDescent="0.35">
      <c r="A130" s="59" t="s">
        <v>317</v>
      </c>
      <c r="B130" s="59" t="s">
        <v>318</v>
      </c>
      <c r="C130" s="58" t="s">
        <v>263</v>
      </c>
      <c r="D130" s="2" t="s">
        <v>310</v>
      </c>
    </row>
    <row r="131" spans="1:4" ht="15.75" customHeight="1" x14ac:dyDescent="0.35">
      <c r="A131" s="59" t="s">
        <v>319</v>
      </c>
      <c r="B131" s="59" t="s">
        <v>320</v>
      </c>
      <c r="C131" s="58" t="s">
        <v>263</v>
      </c>
      <c r="D131" s="2" t="s">
        <v>310</v>
      </c>
    </row>
    <row r="132" spans="1:4" ht="15.75" customHeight="1" x14ac:dyDescent="0.35">
      <c r="A132" s="59" t="s">
        <v>321</v>
      </c>
      <c r="B132" s="59" t="s">
        <v>322</v>
      </c>
      <c r="C132" s="58" t="s">
        <v>130</v>
      </c>
      <c r="D132" s="2" t="s">
        <v>310</v>
      </c>
    </row>
    <row r="133" spans="1:4" ht="15.75" customHeight="1" x14ac:dyDescent="0.35">
      <c r="A133" s="59" t="s">
        <v>323</v>
      </c>
      <c r="B133" s="59" t="s">
        <v>324</v>
      </c>
      <c r="C133" s="58" t="s">
        <v>130</v>
      </c>
      <c r="D133" s="2" t="s">
        <v>310</v>
      </c>
    </row>
    <row r="134" spans="1:4" ht="15.75" customHeight="1" x14ac:dyDescent="0.35">
      <c r="A134" s="59" t="s">
        <v>325</v>
      </c>
      <c r="B134" s="59" t="s">
        <v>326</v>
      </c>
      <c r="C134" s="58" t="s">
        <v>130</v>
      </c>
      <c r="D134" s="2" t="s">
        <v>310</v>
      </c>
    </row>
    <row r="135" spans="1:4" ht="15.75" customHeight="1" x14ac:dyDescent="0.35">
      <c r="A135" s="59" t="s">
        <v>327</v>
      </c>
      <c r="B135" s="59" t="s">
        <v>328</v>
      </c>
      <c r="C135" s="58" t="s">
        <v>263</v>
      </c>
      <c r="D135" s="2" t="s">
        <v>310</v>
      </c>
    </row>
    <row r="136" spans="1:4" ht="15.75" customHeight="1" x14ac:dyDescent="0.35">
      <c r="A136" s="59" t="s">
        <v>329</v>
      </c>
      <c r="B136" s="59" t="s">
        <v>330</v>
      </c>
      <c r="C136" s="58" t="s">
        <v>263</v>
      </c>
      <c r="D136" s="2" t="s">
        <v>310</v>
      </c>
    </row>
    <row r="137" spans="1:4" ht="15.75" customHeight="1" x14ac:dyDescent="0.35">
      <c r="A137" s="59" t="s">
        <v>331</v>
      </c>
      <c r="B137" s="59" t="s">
        <v>332</v>
      </c>
      <c r="C137" s="58" t="s">
        <v>263</v>
      </c>
      <c r="D137" s="2" t="s">
        <v>310</v>
      </c>
    </row>
    <row r="138" spans="1:4" ht="15.75" customHeight="1" x14ac:dyDescent="0.35">
      <c r="A138" s="59" t="s">
        <v>333</v>
      </c>
      <c r="B138" s="59" t="s">
        <v>334</v>
      </c>
      <c r="C138" s="58" t="s">
        <v>263</v>
      </c>
      <c r="D138" s="2" t="s">
        <v>310</v>
      </c>
    </row>
    <row r="139" spans="1:4" ht="15.75" customHeight="1" x14ac:dyDescent="0.35">
      <c r="A139" s="59" t="s">
        <v>335</v>
      </c>
      <c r="B139" s="59" t="s">
        <v>336</v>
      </c>
      <c r="C139" s="58" t="s">
        <v>130</v>
      </c>
      <c r="D139" s="2" t="s">
        <v>310</v>
      </c>
    </row>
    <row r="140" spans="1:4" ht="15.75" customHeight="1" x14ac:dyDescent="0.35">
      <c r="A140" s="59" t="s">
        <v>337</v>
      </c>
      <c r="B140" s="59" t="s">
        <v>338</v>
      </c>
      <c r="C140" s="58" t="s">
        <v>130</v>
      </c>
      <c r="D140" s="2" t="s">
        <v>310</v>
      </c>
    </row>
    <row r="141" spans="1:4" ht="15.75" customHeight="1" x14ac:dyDescent="0.35">
      <c r="A141" s="59" t="s">
        <v>339</v>
      </c>
      <c r="B141" s="59" t="s">
        <v>340</v>
      </c>
      <c r="C141" s="58" t="s">
        <v>263</v>
      </c>
      <c r="D141" s="2" t="s">
        <v>310</v>
      </c>
    </row>
    <row r="142" spans="1:4" ht="15.75" customHeight="1" x14ac:dyDescent="0.35">
      <c r="A142" s="59" t="s">
        <v>341</v>
      </c>
      <c r="B142" s="59" t="s">
        <v>342</v>
      </c>
      <c r="C142" s="58" t="s">
        <v>263</v>
      </c>
      <c r="D142" s="2" t="s">
        <v>310</v>
      </c>
    </row>
    <row r="143" spans="1:4" ht="15.75" customHeight="1" x14ac:dyDescent="0.35">
      <c r="A143" s="59" t="s">
        <v>343</v>
      </c>
      <c r="B143" s="59" t="s">
        <v>344</v>
      </c>
      <c r="C143" s="58" t="s">
        <v>263</v>
      </c>
      <c r="D143" s="2" t="s">
        <v>310</v>
      </c>
    </row>
    <row r="144" spans="1:4" ht="15.75" customHeight="1" x14ac:dyDescent="0.35">
      <c r="A144" s="59" t="s">
        <v>345</v>
      </c>
      <c r="B144" s="59" t="s">
        <v>346</v>
      </c>
      <c r="C144" s="58" t="s">
        <v>263</v>
      </c>
      <c r="D144" s="2" t="s">
        <v>310</v>
      </c>
    </row>
    <row r="145" spans="1:11" ht="15.75" customHeight="1" x14ac:dyDescent="0.35">
      <c r="A145" s="59" t="s">
        <v>347</v>
      </c>
      <c r="B145" s="59" t="s">
        <v>348</v>
      </c>
      <c r="C145" s="58" t="s">
        <v>263</v>
      </c>
      <c r="D145" s="2" t="s">
        <v>310</v>
      </c>
    </row>
    <row r="146" spans="1:11" ht="15.75" customHeight="1" x14ac:dyDescent="0.35">
      <c r="A146" s="59" t="s">
        <v>349</v>
      </c>
      <c r="B146" s="59" t="s">
        <v>350</v>
      </c>
      <c r="C146" s="58" t="s">
        <v>130</v>
      </c>
      <c r="D146" s="2" t="s">
        <v>310</v>
      </c>
    </row>
    <row r="147" spans="1:11" ht="15.75" customHeight="1" x14ac:dyDescent="0.35">
      <c r="A147" s="59" t="s">
        <v>351</v>
      </c>
      <c r="B147" s="59" t="s">
        <v>352</v>
      </c>
      <c r="C147" s="58" t="s">
        <v>130</v>
      </c>
      <c r="D147" s="2" t="s">
        <v>310</v>
      </c>
    </row>
    <row r="148" spans="1:11" ht="15.75" customHeight="1" x14ac:dyDescent="0.35">
      <c r="A148" s="59" t="s">
        <v>353</v>
      </c>
      <c r="B148" s="59" t="s">
        <v>354</v>
      </c>
      <c r="C148" s="58" t="s">
        <v>130</v>
      </c>
      <c r="D148" s="2" t="s">
        <v>310</v>
      </c>
    </row>
    <row r="149" spans="1:11" ht="15.75" customHeight="1" x14ac:dyDescent="0.35">
      <c r="A149" s="59" t="s">
        <v>355</v>
      </c>
      <c r="B149" s="59" t="s">
        <v>356</v>
      </c>
      <c r="C149" s="58" t="s">
        <v>263</v>
      </c>
      <c r="D149" s="2" t="s">
        <v>310</v>
      </c>
    </row>
    <row r="150" spans="1:11" ht="15.75" customHeight="1" x14ac:dyDescent="0.35">
      <c r="A150" s="59" t="s">
        <v>357</v>
      </c>
      <c r="B150" s="59" t="s">
        <v>358</v>
      </c>
      <c r="C150" s="58" t="s">
        <v>263</v>
      </c>
      <c r="D150" s="2" t="s">
        <v>310</v>
      </c>
    </row>
    <row r="151" spans="1:11" ht="15.75" customHeight="1" x14ac:dyDescent="0.35">
      <c r="A151" s="59" t="s">
        <v>359</v>
      </c>
      <c r="B151" s="59" t="s">
        <v>360</v>
      </c>
      <c r="C151" s="58" t="s">
        <v>263</v>
      </c>
      <c r="D151" s="2" t="s">
        <v>310</v>
      </c>
    </row>
    <row r="152" spans="1:11" ht="15.75" customHeight="1" x14ac:dyDescent="0.35">
      <c r="A152" s="59" t="s">
        <v>361</v>
      </c>
      <c r="B152" s="59" t="s">
        <v>362</v>
      </c>
      <c r="C152" s="58" t="s">
        <v>263</v>
      </c>
      <c r="D152" s="2" t="s">
        <v>310</v>
      </c>
    </row>
    <row r="153" spans="1:11" ht="15.75" customHeight="1" x14ac:dyDescent="0.35">
      <c r="A153" s="58" t="s">
        <v>363</v>
      </c>
      <c r="B153" s="58" t="s">
        <v>364</v>
      </c>
      <c r="C153" s="58" t="s">
        <v>18</v>
      </c>
      <c r="D153" s="2" t="s">
        <v>75</v>
      </c>
      <c r="E153" t="e">
        <v>#N/A</v>
      </c>
      <c r="F153" t="e">
        <v>#N/A</v>
      </c>
      <c r="G153" t="e">
        <v>#N/A</v>
      </c>
      <c r="H153" t="e">
        <v>#N/A</v>
      </c>
      <c r="I153" t="e">
        <v>#N/A</v>
      </c>
      <c r="J153" t="e">
        <v>#N/A</v>
      </c>
      <c r="K153" t="e">
        <v>#N/A</v>
      </c>
    </row>
    <row r="154" spans="1:11" ht="15.75" customHeight="1" x14ac:dyDescent="0.35">
      <c r="A154" s="58" t="s">
        <v>365</v>
      </c>
      <c r="B154" s="58" t="s">
        <v>366</v>
      </c>
      <c r="C154" s="58" t="s">
        <v>18</v>
      </c>
      <c r="D154" s="2" t="s">
        <v>75</v>
      </c>
      <c r="E154" t="e">
        <v>#N/A</v>
      </c>
      <c r="F154" t="e">
        <v>#N/A</v>
      </c>
      <c r="G154" t="e">
        <v>#N/A</v>
      </c>
      <c r="H154" t="e">
        <v>#N/A</v>
      </c>
      <c r="I154" t="e">
        <v>#N/A</v>
      </c>
      <c r="J154" t="e">
        <v>#N/A</v>
      </c>
      <c r="K154" t="e">
        <v>#N/A</v>
      </c>
    </row>
    <row r="155" spans="1:11" ht="15.75" customHeight="1" x14ac:dyDescent="0.25">
      <c r="A155" s="60" t="s">
        <v>367</v>
      </c>
      <c r="B155" s="60" t="s">
        <v>368</v>
      </c>
      <c r="C155" s="60" t="s">
        <v>18</v>
      </c>
      <c r="D155" s="2" t="s">
        <v>75</v>
      </c>
      <c r="E155" t="e">
        <v>#N/A</v>
      </c>
      <c r="F155" t="e">
        <v>#N/A</v>
      </c>
      <c r="G155" t="e">
        <v>#N/A</v>
      </c>
      <c r="H155" t="e">
        <v>#N/A</v>
      </c>
      <c r="I155" t="e">
        <v>#N/A</v>
      </c>
      <c r="J155" t="e">
        <v>#N/A</v>
      </c>
      <c r="K155" t="e">
        <v>#N/A</v>
      </c>
    </row>
    <row r="156" spans="1:11" ht="15.75" customHeight="1" x14ac:dyDescent="0.35">
      <c r="A156" s="58" t="s">
        <v>369</v>
      </c>
      <c r="B156" s="58" t="s">
        <v>370</v>
      </c>
      <c r="C156" s="58" t="s">
        <v>2649</v>
      </c>
      <c r="D156" s="2" t="s">
        <v>54</v>
      </c>
      <c r="E156" t="e">
        <v>#N/A</v>
      </c>
      <c r="F156" t="e">
        <v>#N/A</v>
      </c>
      <c r="G156" t="e">
        <v>#N/A</v>
      </c>
      <c r="H156" t="e">
        <v>#N/A</v>
      </c>
      <c r="I156" t="e">
        <v>#N/A</v>
      </c>
      <c r="J156" t="e">
        <v>#N/A</v>
      </c>
      <c r="K156" t="e">
        <v>#N/A</v>
      </c>
    </row>
    <row r="157" spans="1:11" ht="15.75" customHeight="1" x14ac:dyDescent="0.35">
      <c r="A157" s="58" t="s">
        <v>372</v>
      </c>
      <c r="B157" s="58" t="s">
        <v>373</v>
      </c>
      <c r="C157" s="58" t="s">
        <v>18</v>
      </c>
      <c r="D157" s="2" t="s">
        <v>12</v>
      </c>
      <c r="E157" t="e">
        <v>#N/A</v>
      </c>
      <c r="F157" t="e">
        <v>#N/A</v>
      </c>
      <c r="G157" t="e">
        <v>#N/A</v>
      </c>
      <c r="H157" t="e">
        <v>#N/A</v>
      </c>
      <c r="I157" t="e">
        <v>#N/A</v>
      </c>
      <c r="J157" t="e">
        <v>#N/A</v>
      </c>
      <c r="K157" t="e">
        <v>#N/A</v>
      </c>
    </row>
    <row r="158" spans="1:11" ht="15.75" customHeight="1" x14ac:dyDescent="0.35">
      <c r="A158" s="58" t="s">
        <v>375</v>
      </c>
      <c r="B158" s="58" t="s">
        <v>376</v>
      </c>
      <c r="C158" s="58" t="s">
        <v>18</v>
      </c>
      <c r="D158" s="2" t="s">
        <v>12</v>
      </c>
      <c r="E158" t="e">
        <v>#N/A</v>
      </c>
      <c r="F158" t="e">
        <v>#N/A</v>
      </c>
      <c r="G158" t="e">
        <v>#N/A</v>
      </c>
      <c r="H158" t="e">
        <v>#N/A</v>
      </c>
      <c r="I158" t="e">
        <v>#N/A</v>
      </c>
      <c r="J158" t="e">
        <v>#N/A</v>
      </c>
      <c r="K158" t="e">
        <v>#N/A</v>
      </c>
    </row>
    <row r="159" spans="1:11" ht="15.75" customHeight="1" x14ac:dyDescent="0.35">
      <c r="A159" s="58" t="s">
        <v>377</v>
      </c>
      <c r="B159" s="58" t="s">
        <v>378</v>
      </c>
      <c r="C159" s="58" t="s">
        <v>18</v>
      </c>
      <c r="D159" s="2" t="s">
        <v>12</v>
      </c>
      <c r="E159" t="e">
        <v>#N/A</v>
      </c>
      <c r="F159" t="e">
        <v>#N/A</v>
      </c>
      <c r="G159" t="e">
        <v>#N/A</v>
      </c>
      <c r="H159" t="e">
        <v>#N/A</v>
      </c>
      <c r="I159" t="e">
        <v>#N/A</v>
      </c>
      <c r="J159" t="e">
        <v>#N/A</v>
      </c>
      <c r="K159" t="e">
        <v>#N/A</v>
      </c>
    </row>
    <row r="160" spans="1:11" ht="15.75" customHeight="1" x14ac:dyDescent="0.35">
      <c r="A160" s="59" t="s">
        <v>379</v>
      </c>
      <c r="B160" s="59" t="s">
        <v>380</v>
      </c>
      <c r="C160" s="58" t="s">
        <v>2645</v>
      </c>
      <c r="D160" s="2" t="s">
        <v>67</v>
      </c>
    </row>
    <row r="161" spans="1:11" ht="15.75" customHeight="1" x14ac:dyDescent="0.35">
      <c r="A161" s="58" t="s">
        <v>381</v>
      </c>
      <c r="B161" s="58" t="s">
        <v>382</v>
      </c>
      <c r="C161" s="58" t="s">
        <v>18</v>
      </c>
      <c r="D161" s="2" t="s">
        <v>12</v>
      </c>
      <c r="E161" t="e">
        <v>#N/A</v>
      </c>
      <c r="F161" t="e">
        <v>#N/A</v>
      </c>
      <c r="G161" t="e">
        <v>#N/A</v>
      </c>
      <c r="H161" t="e">
        <v>#N/A</v>
      </c>
      <c r="I161" t="e">
        <v>#N/A</v>
      </c>
      <c r="J161" t="e">
        <v>#N/A</v>
      </c>
      <c r="K161" t="e">
        <v>#N/A</v>
      </c>
    </row>
    <row r="162" spans="1:11" ht="15.75" customHeight="1" x14ac:dyDescent="0.35">
      <c r="A162" s="58" t="s">
        <v>383</v>
      </c>
      <c r="B162" s="58" t="s">
        <v>384</v>
      </c>
      <c r="C162" s="58" t="s">
        <v>18</v>
      </c>
      <c r="D162" s="2" t="s">
        <v>75</v>
      </c>
      <c r="E162" t="e">
        <v>#N/A</v>
      </c>
      <c r="F162" t="e">
        <v>#N/A</v>
      </c>
      <c r="G162" t="e">
        <v>#N/A</v>
      </c>
      <c r="H162" t="e">
        <v>#N/A</v>
      </c>
      <c r="I162" t="e">
        <v>#N/A</v>
      </c>
      <c r="J162" t="e">
        <v>#N/A</v>
      </c>
      <c r="K162" t="e">
        <v>#N/A</v>
      </c>
    </row>
    <row r="163" spans="1:11" ht="15.75" customHeight="1" x14ac:dyDescent="0.35">
      <c r="A163" s="58" t="s">
        <v>386</v>
      </c>
      <c r="B163" s="58" t="s">
        <v>387</v>
      </c>
      <c r="C163" s="58" t="s">
        <v>18</v>
      </c>
      <c r="D163" s="2" t="s">
        <v>75</v>
      </c>
      <c r="E163" t="e">
        <v>#N/A</v>
      </c>
      <c r="F163" t="e">
        <v>#N/A</v>
      </c>
      <c r="G163" t="e">
        <v>#N/A</v>
      </c>
      <c r="H163" t="e">
        <v>#N/A</v>
      </c>
      <c r="I163" t="e">
        <v>#N/A</v>
      </c>
      <c r="J163" t="e">
        <v>#N/A</v>
      </c>
      <c r="K163" t="e">
        <v>#N/A</v>
      </c>
    </row>
    <row r="164" spans="1:11" ht="15.75" customHeight="1" x14ac:dyDescent="0.35">
      <c r="A164" s="58" t="s">
        <v>389</v>
      </c>
      <c r="B164" s="58" t="s">
        <v>390</v>
      </c>
      <c r="C164" s="58" t="s">
        <v>18</v>
      </c>
      <c r="D164" s="2" t="s">
        <v>75</v>
      </c>
      <c r="E164" t="e">
        <v>#N/A</v>
      </c>
      <c r="F164" t="e">
        <v>#N/A</v>
      </c>
      <c r="G164" t="e">
        <v>#N/A</v>
      </c>
      <c r="H164" t="e">
        <v>#N/A</v>
      </c>
      <c r="I164" t="e">
        <v>#N/A</v>
      </c>
      <c r="J164" t="e">
        <v>#N/A</v>
      </c>
      <c r="K164" t="e">
        <v>#N/A</v>
      </c>
    </row>
    <row r="165" spans="1:11" ht="15.75" customHeight="1" x14ac:dyDescent="0.35">
      <c r="A165" s="58" t="s">
        <v>391</v>
      </c>
      <c r="B165" s="58" t="s">
        <v>392</v>
      </c>
      <c r="C165" s="58" t="s">
        <v>18</v>
      </c>
      <c r="D165" s="2" t="s">
        <v>75</v>
      </c>
      <c r="E165" t="e">
        <v>#N/A</v>
      </c>
      <c r="F165" t="e">
        <v>#N/A</v>
      </c>
      <c r="G165" t="e">
        <v>#N/A</v>
      </c>
      <c r="H165" t="e">
        <v>#N/A</v>
      </c>
      <c r="I165" t="e">
        <v>#N/A</v>
      </c>
      <c r="J165" t="e">
        <v>#N/A</v>
      </c>
      <c r="K165" t="e">
        <v>#N/A</v>
      </c>
    </row>
    <row r="166" spans="1:11" ht="15.75" customHeight="1" x14ac:dyDescent="0.35">
      <c r="A166" s="58" t="s">
        <v>393</v>
      </c>
      <c r="B166" s="58" t="s">
        <v>394</v>
      </c>
      <c r="C166" s="58" t="s">
        <v>18</v>
      </c>
      <c r="D166" s="2" t="s">
        <v>75</v>
      </c>
      <c r="E166" t="e">
        <v>#N/A</v>
      </c>
      <c r="F166" t="e">
        <v>#N/A</v>
      </c>
      <c r="G166" t="e">
        <v>#N/A</v>
      </c>
      <c r="H166" t="e">
        <v>#N/A</v>
      </c>
      <c r="I166" t="e">
        <v>#N/A</v>
      </c>
      <c r="J166" t="e">
        <v>#N/A</v>
      </c>
      <c r="K166" t="e">
        <v>#N/A</v>
      </c>
    </row>
    <row r="167" spans="1:11" ht="15.75" customHeight="1" x14ac:dyDescent="0.35">
      <c r="A167" s="58" t="s">
        <v>395</v>
      </c>
      <c r="B167" s="58" t="s">
        <v>396</v>
      </c>
      <c r="C167" s="58" t="s">
        <v>2649</v>
      </c>
      <c r="D167" s="2" t="s">
        <v>54</v>
      </c>
      <c r="E167" t="e">
        <v>#N/A</v>
      </c>
      <c r="F167" t="e">
        <v>#N/A</v>
      </c>
      <c r="G167" t="e">
        <v>#N/A</v>
      </c>
      <c r="H167" t="e">
        <v>#N/A</v>
      </c>
      <c r="I167" t="e">
        <v>#N/A</v>
      </c>
      <c r="J167" t="e">
        <v>#N/A</v>
      </c>
      <c r="K167" t="e">
        <v>#N/A</v>
      </c>
    </row>
    <row r="168" spans="1:11" ht="15.75" customHeight="1" x14ac:dyDescent="0.35">
      <c r="A168" s="58" t="s">
        <v>397</v>
      </c>
      <c r="B168" s="58" t="s">
        <v>398</v>
      </c>
      <c r="C168" s="58" t="s">
        <v>2645</v>
      </c>
      <c r="D168" s="2" t="s">
        <v>102</v>
      </c>
      <c r="E168" t="e">
        <v>#N/A</v>
      </c>
      <c r="F168" t="e">
        <v>#N/A</v>
      </c>
      <c r="G168" t="e">
        <v>#N/A</v>
      </c>
      <c r="H168" t="e">
        <v>#N/A</v>
      </c>
      <c r="I168" t="e">
        <v>#N/A</v>
      </c>
      <c r="J168" t="e">
        <v>#N/A</v>
      </c>
      <c r="K168" t="e">
        <v>#N/A</v>
      </c>
    </row>
    <row r="169" spans="1:11" ht="15.75" customHeight="1" x14ac:dyDescent="0.35">
      <c r="A169" s="58" t="s">
        <v>401</v>
      </c>
      <c r="B169" s="58" t="s">
        <v>402</v>
      </c>
      <c r="C169" s="58" t="s">
        <v>2645</v>
      </c>
      <c r="D169" s="2" t="s">
        <v>43</v>
      </c>
      <c r="E169" t="e">
        <v>#N/A</v>
      </c>
      <c r="F169" t="e">
        <v>#N/A</v>
      </c>
      <c r="G169" t="e">
        <v>#N/A</v>
      </c>
      <c r="H169" t="e">
        <v>#N/A</v>
      </c>
      <c r="I169" t="e">
        <v>#N/A</v>
      </c>
      <c r="J169" t="e">
        <v>#N/A</v>
      </c>
      <c r="K169" t="e">
        <v>#N/A</v>
      </c>
    </row>
    <row r="170" spans="1:11" ht="15.75" customHeight="1" x14ac:dyDescent="0.35">
      <c r="A170" s="58" t="s">
        <v>404</v>
      </c>
      <c r="B170" s="58" t="s">
        <v>405</v>
      </c>
      <c r="C170" s="58" t="s">
        <v>2645</v>
      </c>
      <c r="D170" s="2" t="s">
        <v>174</v>
      </c>
      <c r="E170" t="e">
        <v>#N/A</v>
      </c>
      <c r="F170" t="e">
        <v>#N/A</v>
      </c>
      <c r="G170" t="e">
        <v>#N/A</v>
      </c>
      <c r="H170" t="e">
        <v>#N/A</v>
      </c>
      <c r="I170" t="e">
        <v>#N/A</v>
      </c>
      <c r="J170" t="e">
        <v>#N/A</v>
      </c>
      <c r="K170" t="e">
        <v>#N/A</v>
      </c>
    </row>
    <row r="171" spans="1:11" ht="15.75" customHeight="1" x14ac:dyDescent="0.35">
      <c r="A171" s="58" t="s">
        <v>406</v>
      </c>
      <c r="B171" s="58" t="s">
        <v>407</v>
      </c>
      <c r="C171" s="58" t="s">
        <v>130</v>
      </c>
      <c r="D171" s="2" t="s">
        <v>310</v>
      </c>
      <c r="E171" t="e">
        <v>#N/A</v>
      </c>
      <c r="F171" t="e">
        <v>#N/A</v>
      </c>
      <c r="G171" t="e">
        <v>#N/A</v>
      </c>
      <c r="H171" t="e">
        <v>#N/A</v>
      </c>
      <c r="I171" t="e">
        <v>#N/A</v>
      </c>
      <c r="J171" t="e">
        <v>#N/A</v>
      </c>
      <c r="K171" t="e">
        <v>#N/A</v>
      </c>
    </row>
    <row r="172" spans="1:11" ht="15.75" customHeight="1" x14ac:dyDescent="0.35">
      <c r="A172" s="58" t="s">
        <v>409</v>
      </c>
      <c r="B172" s="58" t="s">
        <v>410</v>
      </c>
      <c r="C172" s="58" t="s">
        <v>130</v>
      </c>
      <c r="D172" s="2" t="s">
        <v>310</v>
      </c>
      <c r="E172" t="e">
        <v>#N/A</v>
      </c>
      <c r="F172" t="e">
        <v>#N/A</v>
      </c>
      <c r="G172" t="e">
        <v>#N/A</v>
      </c>
      <c r="H172" t="e">
        <v>#N/A</v>
      </c>
      <c r="I172" t="e">
        <v>#N/A</v>
      </c>
      <c r="J172" t="e">
        <v>#N/A</v>
      </c>
      <c r="K172" t="e">
        <v>#N/A</v>
      </c>
    </row>
    <row r="173" spans="1:11" ht="15.75" customHeight="1" x14ac:dyDescent="0.35">
      <c r="A173" s="58" t="s">
        <v>412</v>
      </c>
      <c r="B173" s="58" t="s">
        <v>413</v>
      </c>
      <c r="C173" s="58" t="s">
        <v>130</v>
      </c>
      <c r="D173" s="2" t="s">
        <v>310</v>
      </c>
      <c r="E173" t="e">
        <v>#N/A</v>
      </c>
      <c r="F173" t="e">
        <v>#N/A</v>
      </c>
      <c r="G173" t="e">
        <v>#N/A</v>
      </c>
      <c r="H173" t="e">
        <v>#N/A</v>
      </c>
      <c r="I173" t="e">
        <v>#N/A</v>
      </c>
      <c r="J173" t="e">
        <v>#N/A</v>
      </c>
      <c r="K173" t="e">
        <v>#N/A</v>
      </c>
    </row>
    <row r="174" spans="1:11" ht="16.5" x14ac:dyDescent="0.35">
      <c r="A174" s="58" t="s">
        <v>414</v>
      </c>
      <c r="B174" s="58" t="s">
        <v>415</v>
      </c>
      <c r="C174" s="58" t="s">
        <v>2645</v>
      </c>
      <c r="D174" s="61" t="s">
        <v>67</v>
      </c>
      <c r="E174" t="e">
        <v>#N/A</v>
      </c>
      <c r="F174" t="e">
        <v>#N/A</v>
      </c>
      <c r="G174" t="e">
        <v>#N/A</v>
      </c>
      <c r="H174" t="e">
        <v>#N/A</v>
      </c>
      <c r="I174" t="e">
        <v>#N/A</v>
      </c>
      <c r="J174" t="e">
        <v>#N/A</v>
      </c>
      <c r="K174" t="e">
        <v>#N/A</v>
      </c>
    </row>
    <row r="175" spans="1:11" ht="15.75" customHeight="1" x14ac:dyDescent="0.35">
      <c r="A175" s="58" t="s">
        <v>416</v>
      </c>
      <c r="B175" s="58" t="s">
        <v>417</v>
      </c>
      <c r="C175" s="58" t="s">
        <v>2645</v>
      </c>
      <c r="D175" s="2" t="s">
        <v>418</v>
      </c>
      <c r="E175" t="e">
        <v>#N/A</v>
      </c>
      <c r="F175" t="e">
        <v>#N/A</v>
      </c>
      <c r="G175" t="e">
        <v>#N/A</v>
      </c>
      <c r="H175" t="e">
        <v>#N/A</v>
      </c>
      <c r="I175" t="e">
        <v>#N/A</v>
      </c>
      <c r="J175" t="e">
        <v>#N/A</v>
      </c>
      <c r="K175" t="e">
        <v>#N/A</v>
      </c>
    </row>
    <row r="176" spans="1:11" ht="15.75" customHeight="1" x14ac:dyDescent="0.35">
      <c r="A176" s="58" t="s">
        <v>419</v>
      </c>
      <c r="B176" s="58" t="s">
        <v>420</v>
      </c>
      <c r="C176" s="58" t="s">
        <v>2645</v>
      </c>
      <c r="D176" s="2" t="s">
        <v>10</v>
      </c>
      <c r="E176" t="e">
        <v>#N/A</v>
      </c>
      <c r="F176" t="e">
        <v>#N/A</v>
      </c>
      <c r="G176" t="e">
        <v>#N/A</v>
      </c>
      <c r="H176" t="e">
        <v>#N/A</v>
      </c>
      <c r="I176" t="e">
        <v>#N/A</v>
      </c>
      <c r="J176" t="e">
        <v>#N/A</v>
      </c>
      <c r="K176" t="e">
        <v>#N/A</v>
      </c>
    </row>
    <row r="177" spans="1:11" ht="15.75" customHeight="1" x14ac:dyDescent="0.35">
      <c r="A177" s="62" t="s">
        <v>422</v>
      </c>
      <c r="B177" s="62" t="s">
        <v>423</v>
      </c>
      <c r="C177" s="62" t="s">
        <v>2645</v>
      </c>
      <c r="D177" s="2" t="s">
        <v>425</v>
      </c>
      <c r="E177" t="e">
        <v>#N/A</v>
      </c>
      <c r="F177" t="e">
        <v>#N/A</v>
      </c>
      <c r="G177" t="e">
        <v>#N/A</v>
      </c>
      <c r="H177" t="e">
        <v>#N/A</v>
      </c>
      <c r="I177" t="e">
        <v>#N/A</v>
      </c>
      <c r="J177" t="e">
        <v>#N/A</v>
      </c>
      <c r="K177" t="e">
        <v>#N/A</v>
      </c>
    </row>
    <row r="178" spans="1:11" ht="15.75" customHeight="1" x14ac:dyDescent="0.35">
      <c r="A178" s="62" t="s">
        <v>426</v>
      </c>
      <c r="B178" s="62" t="s">
        <v>427</v>
      </c>
      <c r="C178" s="62" t="s">
        <v>2645</v>
      </c>
      <c r="D178" s="2" t="s">
        <v>425</v>
      </c>
      <c r="E178" t="e">
        <v>#N/A</v>
      </c>
      <c r="F178" t="e">
        <v>#N/A</v>
      </c>
      <c r="G178" t="e">
        <v>#N/A</v>
      </c>
      <c r="H178" t="e">
        <v>#N/A</v>
      </c>
      <c r="I178" t="e">
        <v>#N/A</v>
      </c>
      <c r="J178" t="e">
        <v>#N/A</v>
      </c>
      <c r="K178" t="e">
        <v>#N/A</v>
      </c>
    </row>
    <row r="179" spans="1:11" ht="15.75" customHeight="1" x14ac:dyDescent="0.35">
      <c r="A179" s="58" t="s">
        <v>429</v>
      </c>
      <c r="B179" s="58" t="s">
        <v>430</v>
      </c>
      <c r="C179" s="58" t="s">
        <v>2645</v>
      </c>
      <c r="D179" s="2" t="s">
        <v>11</v>
      </c>
      <c r="E179" t="e">
        <v>#N/A</v>
      </c>
      <c r="F179" t="e">
        <v>#N/A</v>
      </c>
      <c r="G179" t="e">
        <v>#N/A</v>
      </c>
      <c r="H179" t="e">
        <v>#N/A</v>
      </c>
      <c r="I179" t="e">
        <v>#N/A</v>
      </c>
      <c r="J179" t="e">
        <v>#N/A</v>
      </c>
      <c r="K179" t="e">
        <v>#N/A</v>
      </c>
    </row>
    <row r="180" spans="1:11" ht="15.75" customHeight="1" x14ac:dyDescent="0.35">
      <c r="A180" s="59" t="s">
        <v>432</v>
      </c>
      <c r="B180" s="59" t="s">
        <v>433</v>
      </c>
      <c r="C180" s="58" t="s">
        <v>18</v>
      </c>
      <c r="D180" s="2" t="s">
        <v>75</v>
      </c>
    </row>
    <row r="181" spans="1:11" ht="15.75" customHeight="1" x14ac:dyDescent="0.35">
      <c r="A181" s="59" t="s">
        <v>434</v>
      </c>
      <c r="B181" s="59" t="s">
        <v>435</v>
      </c>
      <c r="C181" s="58" t="s">
        <v>18</v>
      </c>
      <c r="D181" s="2" t="s">
        <v>75</v>
      </c>
    </row>
    <row r="182" spans="1:11" ht="15.75" customHeight="1" x14ac:dyDescent="0.35">
      <c r="A182" s="58" t="s">
        <v>436</v>
      </c>
      <c r="B182" s="58" t="s">
        <v>437</v>
      </c>
      <c r="C182" s="58" t="s">
        <v>130</v>
      </c>
      <c r="D182" s="2" t="s">
        <v>154</v>
      </c>
      <c r="E182" t="e">
        <v>#N/A</v>
      </c>
      <c r="F182" t="e">
        <v>#N/A</v>
      </c>
      <c r="G182" t="e">
        <v>#N/A</v>
      </c>
      <c r="H182" t="e">
        <v>#N/A</v>
      </c>
      <c r="I182" t="e">
        <v>#N/A</v>
      </c>
      <c r="J182" t="e">
        <v>#N/A</v>
      </c>
      <c r="K182" t="e">
        <v>#N/A</v>
      </c>
    </row>
    <row r="183" spans="1:11" ht="15.75" customHeight="1" x14ac:dyDescent="0.35">
      <c r="A183" s="58" t="s">
        <v>440</v>
      </c>
      <c r="B183" s="58" t="s">
        <v>441</v>
      </c>
      <c r="C183" s="58" t="s">
        <v>2645</v>
      </c>
      <c r="D183" s="2" t="s">
        <v>154</v>
      </c>
      <c r="E183" t="e">
        <v>#N/A</v>
      </c>
      <c r="F183" t="e">
        <v>#N/A</v>
      </c>
      <c r="G183" t="e">
        <v>#N/A</v>
      </c>
      <c r="H183" t="e">
        <v>#N/A</v>
      </c>
      <c r="I183" t="e">
        <v>#N/A</v>
      </c>
      <c r="J183" t="e">
        <v>#N/A</v>
      </c>
      <c r="K183" t="e">
        <v>#N/A</v>
      </c>
    </row>
    <row r="184" spans="1:11" ht="15.75" customHeight="1" x14ac:dyDescent="0.35">
      <c r="A184" s="58" t="s">
        <v>442</v>
      </c>
      <c r="B184" s="58" t="s">
        <v>443</v>
      </c>
      <c r="C184" s="58" t="s">
        <v>2645</v>
      </c>
      <c r="D184" s="2" t="s">
        <v>154</v>
      </c>
      <c r="E184" t="e">
        <v>#N/A</v>
      </c>
      <c r="F184" t="e">
        <v>#N/A</v>
      </c>
      <c r="G184" t="e">
        <v>#N/A</v>
      </c>
      <c r="H184" t="e">
        <v>#N/A</v>
      </c>
      <c r="I184" t="e">
        <v>#N/A</v>
      </c>
      <c r="J184" t="e">
        <v>#N/A</v>
      </c>
      <c r="K184" t="e">
        <v>#N/A</v>
      </c>
    </row>
    <row r="185" spans="1:11" ht="15.75" customHeight="1" x14ac:dyDescent="0.35">
      <c r="A185" s="58" t="s">
        <v>444</v>
      </c>
      <c r="B185" s="58" t="s">
        <v>445</v>
      </c>
      <c r="C185" s="58" t="s">
        <v>130</v>
      </c>
      <c r="D185" s="2" t="s">
        <v>154</v>
      </c>
      <c r="E185" t="e">
        <v>#N/A</v>
      </c>
      <c r="F185" t="e">
        <v>#N/A</v>
      </c>
      <c r="G185" t="e">
        <v>#N/A</v>
      </c>
      <c r="H185" t="e">
        <v>#N/A</v>
      </c>
      <c r="I185" t="e">
        <v>#N/A</v>
      </c>
      <c r="J185" t="e">
        <v>#N/A</v>
      </c>
      <c r="K185" t="e">
        <v>#N/A</v>
      </c>
    </row>
    <row r="186" spans="1:11" ht="15.75" customHeight="1" x14ac:dyDescent="0.35">
      <c r="A186" s="59" t="s">
        <v>447</v>
      </c>
      <c r="B186" s="59" t="s">
        <v>448</v>
      </c>
      <c r="C186" s="58" t="s">
        <v>256</v>
      </c>
      <c r="D186" s="2" t="s">
        <v>400</v>
      </c>
    </row>
    <row r="187" spans="1:11" ht="15.75" customHeight="1" x14ac:dyDescent="0.35">
      <c r="A187" s="59" t="s">
        <v>449</v>
      </c>
      <c r="B187" s="59" t="s">
        <v>450</v>
      </c>
      <c r="C187" s="58" t="s">
        <v>256</v>
      </c>
      <c r="D187" s="2" t="s">
        <v>400</v>
      </c>
    </row>
    <row r="188" spans="1:11" ht="15.75" customHeight="1" x14ac:dyDescent="0.35">
      <c r="A188" s="59" t="s">
        <v>451</v>
      </c>
      <c r="B188" s="59" t="s">
        <v>452</v>
      </c>
      <c r="C188" s="58" t="s">
        <v>256</v>
      </c>
      <c r="D188" s="2" t="s">
        <v>400</v>
      </c>
    </row>
    <row r="189" spans="1:11" ht="15.75" customHeight="1" x14ac:dyDescent="0.35">
      <c r="A189" s="59" t="s">
        <v>453</v>
      </c>
      <c r="B189" s="59" t="s">
        <v>454</v>
      </c>
      <c r="C189" s="58" t="s">
        <v>256</v>
      </c>
      <c r="D189" s="2" t="s">
        <v>400</v>
      </c>
    </row>
    <row r="190" spans="1:11" ht="15.75" customHeight="1" x14ac:dyDescent="0.35">
      <c r="A190" s="59" t="s">
        <v>455</v>
      </c>
      <c r="B190" s="59" t="s">
        <v>456</v>
      </c>
      <c r="C190" s="58" t="s">
        <v>260</v>
      </c>
      <c r="D190" s="2" t="s">
        <v>400</v>
      </c>
    </row>
    <row r="191" spans="1:11" ht="15.75" customHeight="1" x14ac:dyDescent="0.35">
      <c r="A191" s="59" t="s">
        <v>457</v>
      </c>
      <c r="B191" s="59" t="s">
        <v>458</v>
      </c>
      <c r="C191" s="58" t="s">
        <v>260</v>
      </c>
      <c r="D191" s="2" t="s">
        <v>400</v>
      </c>
    </row>
    <row r="192" spans="1:11" ht="15.75" customHeight="1" x14ac:dyDescent="0.35">
      <c r="A192" s="59" t="s">
        <v>459</v>
      </c>
      <c r="B192" s="59" t="s">
        <v>460</v>
      </c>
      <c r="C192" s="58" t="s">
        <v>260</v>
      </c>
      <c r="D192" s="2" t="s">
        <v>400</v>
      </c>
    </row>
    <row r="193" spans="1:4" ht="15.75" customHeight="1" x14ac:dyDescent="0.35">
      <c r="A193" s="59" t="s">
        <v>461</v>
      </c>
      <c r="B193" s="59" t="s">
        <v>462</v>
      </c>
      <c r="C193" s="58" t="s">
        <v>2645</v>
      </c>
      <c r="D193" s="2" t="s">
        <v>400</v>
      </c>
    </row>
    <row r="194" spans="1:4" ht="15.75" customHeight="1" x14ac:dyDescent="0.35">
      <c r="A194" s="59" t="s">
        <v>463</v>
      </c>
      <c r="B194" s="59" t="s">
        <v>464</v>
      </c>
      <c r="C194" s="58" t="s">
        <v>130</v>
      </c>
      <c r="D194" s="2" t="s">
        <v>400</v>
      </c>
    </row>
    <row r="195" spans="1:4" ht="15.75" customHeight="1" x14ac:dyDescent="0.35">
      <c r="A195" s="59" t="s">
        <v>465</v>
      </c>
      <c r="B195" s="59" t="s">
        <v>466</v>
      </c>
      <c r="C195" s="58" t="s">
        <v>130</v>
      </c>
      <c r="D195" s="2" t="s">
        <v>400</v>
      </c>
    </row>
    <row r="196" spans="1:4" ht="16.5" x14ac:dyDescent="0.35">
      <c r="A196" s="59" t="s">
        <v>467</v>
      </c>
      <c r="B196" s="59" t="s">
        <v>468</v>
      </c>
      <c r="C196" s="58" t="s">
        <v>130</v>
      </c>
      <c r="D196" s="2" t="s">
        <v>400</v>
      </c>
    </row>
    <row r="197" spans="1:4" ht="15.75" customHeight="1" x14ac:dyDescent="0.35">
      <c r="A197" s="59" t="s">
        <v>469</v>
      </c>
      <c r="B197" s="59" t="s">
        <v>470</v>
      </c>
      <c r="C197" s="58" t="s">
        <v>130</v>
      </c>
      <c r="D197" s="2" t="s">
        <v>400</v>
      </c>
    </row>
    <row r="198" spans="1:4" ht="15.75" customHeight="1" x14ac:dyDescent="0.35">
      <c r="A198" s="59" t="s">
        <v>471</v>
      </c>
      <c r="B198" s="59" t="s">
        <v>472</v>
      </c>
      <c r="C198" s="58" t="s">
        <v>130</v>
      </c>
      <c r="D198" s="2" t="s">
        <v>400</v>
      </c>
    </row>
    <row r="199" spans="1:4" ht="15.75" customHeight="1" x14ac:dyDescent="0.35">
      <c r="A199" s="59" t="s">
        <v>473</v>
      </c>
      <c r="B199" s="59" t="s">
        <v>474</v>
      </c>
      <c r="C199" s="58" t="s">
        <v>130</v>
      </c>
      <c r="D199" s="2" t="s">
        <v>400</v>
      </c>
    </row>
    <row r="200" spans="1:4" ht="15.75" customHeight="1" x14ac:dyDescent="0.35">
      <c r="A200" s="59" t="s">
        <v>475</v>
      </c>
      <c r="B200" s="59" t="s">
        <v>476</v>
      </c>
      <c r="C200" s="58" t="s">
        <v>130</v>
      </c>
      <c r="D200" s="2" t="s">
        <v>400</v>
      </c>
    </row>
    <row r="201" spans="1:4" ht="15.75" customHeight="1" x14ac:dyDescent="0.35">
      <c r="A201" s="59" t="s">
        <v>477</v>
      </c>
      <c r="B201" s="59" t="s">
        <v>478</v>
      </c>
      <c r="C201" s="58" t="s">
        <v>130</v>
      </c>
      <c r="D201" s="2" t="s">
        <v>400</v>
      </c>
    </row>
    <row r="202" spans="1:4" ht="15.75" customHeight="1" x14ac:dyDescent="0.35">
      <c r="A202" s="59" t="s">
        <v>479</v>
      </c>
      <c r="B202" s="59" t="s">
        <v>480</v>
      </c>
      <c r="C202" s="58" t="s">
        <v>130</v>
      </c>
      <c r="D202" s="2" t="s">
        <v>400</v>
      </c>
    </row>
    <row r="203" spans="1:4" ht="15.75" customHeight="1" x14ac:dyDescent="0.35">
      <c r="A203" s="59" t="s">
        <v>481</v>
      </c>
      <c r="B203" s="59" t="s">
        <v>482</v>
      </c>
      <c r="C203" s="58" t="s">
        <v>130</v>
      </c>
      <c r="D203" s="2" t="s">
        <v>400</v>
      </c>
    </row>
    <row r="204" spans="1:4" ht="15.75" customHeight="1" x14ac:dyDescent="0.35">
      <c r="A204" s="59" t="s">
        <v>483</v>
      </c>
      <c r="B204" s="59" t="s">
        <v>484</v>
      </c>
      <c r="C204" s="58" t="s">
        <v>130</v>
      </c>
      <c r="D204" s="2" t="s">
        <v>400</v>
      </c>
    </row>
    <row r="205" spans="1:4" ht="15.75" customHeight="1" x14ac:dyDescent="0.35">
      <c r="A205" s="59" t="s">
        <v>485</v>
      </c>
      <c r="B205" s="59" t="s">
        <v>486</v>
      </c>
      <c r="C205" s="58" t="s">
        <v>130</v>
      </c>
      <c r="D205" s="2" t="s">
        <v>400</v>
      </c>
    </row>
    <row r="206" spans="1:4" ht="15.75" customHeight="1" x14ac:dyDescent="0.35">
      <c r="A206" s="59" t="s">
        <v>487</v>
      </c>
      <c r="B206" s="59" t="s">
        <v>488</v>
      </c>
      <c r="C206" s="58" t="s">
        <v>130</v>
      </c>
      <c r="D206" s="2" t="s">
        <v>400</v>
      </c>
    </row>
    <row r="207" spans="1:4" ht="15.75" customHeight="1" x14ac:dyDescent="0.35">
      <c r="A207" s="59" t="s">
        <v>489</v>
      </c>
      <c r="B207" s="59" t="s">
        <v>490</v>
      </c>
      <c r="C207" s="58" t="s">
        <v>130</v>
      </c>
      <c r="D207" s="2" t="s">
        <v>400</v>
      </c>
    </row>
    <row r="208" spans="1:4" ht="15.75" customHeight="1" x14ac:dyDescent="0.35">
      <c r="A208" s="59" t="s">
        <v>491</v>
      </c>
      <c r="B208" s="59" t="s">
        <v>492</v>
      </c>
      <c r="C208" s="58" t="s">
        <v>130</v>
      </c>
      <c r="D208" s="2" t="s">
        <v>400</v>
      </c>
    </row>
    <row r="209" spans="1:11" ht="15.75" customHeight="1" x14ac:dyDescent="0.35">
      <c r="A209" s="59" t="s">
        <v>493</v>
      </c>
      <c r="B209" s="59" t="s">
        <v>494</v>
      </c>
      <c r="C209" s="58" t="s">
        <v>130</v>
      </c>
      <c r="D209" s="2" t="s">
        <v>400</v>
      </c>
    </row>
    <row r="210" spans="1:11" ht="15.75" customHeight="1" x14ac:dyDescent="0.35">
      <c r="A210" s="58" t="s">
        <v>495</v>
      </c>
      <c r="B210" s="58" t="s">
        <v>496</v>
      </c>
      <c r="C210" s="58" t="s">
        <v>2645</v>
      </c>
      <c r="D210" s="2" t="s">
        <v>154</v>
      </c>
      <c r="E210" t="e">
        <v>#N/A</v>
      </c>
      <c r="F210" t="e">
        <v>#N/A</v>
      </c>
      <c r="G210" t="e">
        <v>#N/A</v>
      </c>
      <c r="H210" t="e">
        <v>#N/A</v>
      </c>
      <c r="I210" t="e">
        <v>#N/A</v>
      </c>
      <c r="J210" t="e">
        <v>#N/A</v>
      </c>
      <c r="K210" t="e">
        <v>#N/A</v>
      </c>
    </row>
    <row r="211" spans="1:11" ht="15.75" customHeight="1" x14ac:dyDescent="0.35">
      <c r="A211" s="58" t="s">
        <v>498</v>
      </c>
      <c r="B211" s="58" t="s">
        <v>499</v>
      </c>
      <c r="C211" s="58" t="s">
        <v>130</v>
      </c>
      <c r="D211" s="2" t="s">
        <v>257</v>
      </c>
      <c r="E211" t="e">
        <v>#N/A</v>
      </c>
      <c r="F211" t="e">
        <v>#N/A</v>
      </c>
      <c r="G211" t="e">
        <v>#N/A</v>
      </c>
      <c r="H211" t="e">
        <v>#N/A</v>
      </c>
      <c r="I211" t="e">
        <v>#N/A</v>
      </c>
      <c r="J211" t="e">
        <v>#N/A</v>
      </c>
      <c r="K211" t="e">
        <v>#N/A</v>
      </c>
    </row>
    <row r="212" spans="1:11" ht="15.75" customHeight="1" x14ac:dyDescent="0.35">
      <c r="A212" s="58" t="s">
        <v>501</v>
      </c>
      <c r="B212" s="58" t="s">
        <v>502</v>
      </c>
      <c r="C212" s="58" t="s">
        <v>263</v>
      </c>
      <c r="D212" s="2" t="s">
        <v>257</v>
      </c>
      <c r="E212" t="e">
        <v>#N/A</v>
      </c>
      <c r="F212" t="e">
        <v>#N/A</v>
      </c>
      <c r="G212" t="e">
        <v>#N/A</v>
      </c>
      <c r="H212" t="e">
        <v>#N/A</v>
      </c>
      <c r="I212" t="e">
        <v>#N/A</v>
      </c>
      <c r="J212" t="e">
        <v>#N/A</v>
      </c>
      <c r="K212" t="e">
        <v>#N/A</v>
      </c>
    </row>
    <row r="213" spans="1:11" ht="15.75" customHeight="1" x14ac:dyDescent="0.35">
      <c r="A213" s="58" t="s">
        <v>504</v>
      </c>
      <c r="B213" s="58" t="s">
        <v>505</v>
      </c>
      <c r="C213" s="58" t="s">
        <v>130</v>
      </c>
      <c r="D213" s="2" t="s">
        <v>257</v>
      </c>
      <c r="E213" t="e">
        <v>#N/A</v>
      </c>
      <c r="F213" t="e">
        <v>#N/A</v>
      </c>
      <c r="G213" t="e">
        <v>#N/A</v>
      </c>
      <c r="H213" t="e">
        <v>#N/A</v>
      </c>
      <c r="I213" t="e">
        <v>#N/A</v>
      </c>
      <c r="J213" t="e">
        <v>#N/A</v>
      </c>
      <c r="K213" t="e">
        <v>#N/A</v>
      </c>
    </row>
    <row r="214" spans="1:11" ht="15.75" customHeight="1" x14ac:dyDescent="0.35">
      <c r="A214" s="58" t="s">
        <v>507</v>
      </c>
      <c r="B214" s="58" t="s">
        <v>508</v>
      </c>
      <c r="C214" s="58" t="s">
        <v>130</v>
      </c>
      <c r="D214" s="2" t="s">
        <v>257</v>
      </c>
      <c r="E214" t="e">
        <v>#N/A</v>
      </c>
      <c r="F214" t="e">
        <v>#N/A</v>
      </c>
      <c r="G214" t="e">
        <v>#N/A</v>
      </c>
      <c r="H214" t="e">
        <v>#N/A</v>
      </c>
      <c r="I214" t="e">
        <v>#N/A</v>
      </c>
      <c r="J214" t="e">
        <v>#N/A</v>
      </c>
      <c r="K214" t="e">
        <v>#N/A</v>
      </c>
    </row>
    <row r="215" spans="1:11" ht="15.75" customHeight="1" x14ac:dyDescent="0.35">
      <c r="A215" s="59" t="s">
        <v>509</v>
      </c>
      <c r="B215" s="59" t="s">
        <v>510</v>
      </c>
      <c r="C215" s="58" t="s">
        <v>2645</v>
      </c>
      <c r="D215" s="2" t="s">
        <v>418</v>
      </c>
    </row>
    <row r="216" spans="1:11" ht="15.75" customHeight="1" x14ac:dyDescent="0.35">
      <c r="A216" s="59" t="s">
        <v>511</v>
      </c>
      <c r="B216" s="59" t="s">
        <v>512</v>
      </c>
      <c r="C216" s="58" t="s">
        <v>130</v>
      </c>
      <c r="D216" s="2" t="s">
        <v>439</v>
      </c>
    </row>
    <row r="217" spans="1:11" ht="15.75" customHeight="1" x14ac:dyDescent="0.35">
      <c r="A217" s="59" t="s">
        <v>513</v>
      </c>
      <c r="B217" s="59" t="s">
        <v>514</v>
      </c>
      <c r="C217" s="58" t="s">
        <v>130</v>
      </c>
      <c r="D217" s="2" t="s">
        <v>439</v>
      </c>
    </row>
    <row r="218" spans="1:11" ht="15.75" customHeight="1" x14ac:dyDescent="0.35">
      <c r="A218" s="59" t="s">
        <v>515</v>
      </c>
      <c r="B218" s="59" t="s">
        <v>516</v>
      </c>
      <c r="C218" s="58" t="s">
        <v>130</v>
      </c>
      <c r="D218" s="2" t="s">
        <v>439</v>
      </c>
    </row>
    <row r="219" spans="1:11" ht="15.75" customHeight="1" x14ac:dyDescent="0.35">
      <c r="A219" s="59" t="s">
        <v>517</v>
      </c>
      <c r="B219" s="59" t="s">
        <v>518</v>
      </c>
      <c r="C219" s="58" t="s">
        <v>130</v>
      </c>
      <c r="D219" s="2" t="s">
        <v>439</v>
      </c>
    </row>
    <row r="220" spans="1:11" ht="15.75" customHeight="1" x14ac:dyDescent="0.35">
      <c r="A220" s="59" t="s">
        <v>519</v>
      </c>
      <c r="B220" s="59" t="s">
        <v>520</v>
      </c>
      <c r="C220" s="58" t="s">
        <v>130</v>
      </c>
      <c r="D220" s="2" t="s">
        <v>439</v>
      </c>
    </row>
    <row r="221" spans="1:11" ht="15.75" customHeight="1" x14ac:dyDescent="0.35">
      <c r="A221" s="59" t="s">
        <v>521</v>
      </c>
      <c r="B221" s="59" t="s">
        <v>522</v>
      </c>
      <c r="C221" s="58" t="s">
        <v>130</v>
      </c>
      <c r="D221" s="2" t="s">
        <v>439</v>
      </c>
    </row>
    <row r="222" spans="1:11" ht="15.75" customHeight="1" x14ac:dyDescent="0.35">
      <c r="A222" s="59" t="s">
        <v>523</v>
      </c>
      <c r="B222" s="59" t="s">
        <v>524</v>
      </c>
      <c r="C222" s="58" t="s">
        <v>130</v>
      </c>
      <c r="D222" s="2" t="s">
        <v>439</v>
      </c>
    </row>
    <row r="223" spans="1:11" ht="15.75" customHeight="1" x14ac:dyDescent="0.35">
      <c r="A223" s="59" t="s">
        <v>525</v>
      </c>
      <c r="B223" s="59" t="s">
        <v>526</v>
      </c>
      <c r="C223" s="58" t="s">
        <v>130</v>
      </c>
      <c r="D223" s="2" t="s">
        <v>439</v>
      </c>
    </row>
    <row r="224" spans="1:11" ht="15.75" customHeight="1" x14ac:dyDescent="0.35">
      <c r="A224" s="59" t="s">
        <v>527</v>
      </c>
      <c r="B224" s="59" t="s">
        <v>528</v>
      </c>
      <c r="C224" s="58" t="s">
        <v>2645</v>
      </c>
      <c r="D224" s="2" t="s">
        <v>10</v>
      </c>
    </row>
    <row r="225" spans="1:11" ht="15.75" customHeight="1" x14ac:dyDescent="0.35">
      <c r="A225" s="58" t="s">
        <v>529</v>
      </c>
      <c r="B225" s="58" t="s">
        <v>530</v>
      </c>
      <c r="C225" s="58" t="s">
        <v>130</v>
      </c>
      <c r="D225" s="2" t="s">
        <v>257</v>
      </c>
      <c r="E225" t="e">
        <v>#N/A</v>
      </c>
      <c r="F225" t="e">
        <v>#N/A</v>
      </c>
      <c r="G225" t="e">
        <v>#N/A</v>
      </c>
      <c r="H225" t="e">
        <v>#N/A</v>
      </c>
      <c r="I225" t="e">
        <v>#N/A</v>
      </c>
      <c r="J225" t="e">
        <v>#N/A</v>
      </c>
      <c r="K225" t="e">
        <v>#N/A</v>
      </c>
    </row>
    <row r="226" spans="1:11" ht="15.75" customHeight="1" x14ac:dyDescent="0.35">
      <c r="A226" s="58" t="s">
        <v>531</v>
      </c>
      <c r="B226" s="58" t="s">
        <v>532</v>
      </c>
      <c r="C226" s="58" t="s">
        <v>130</v>
      </c>
      <c r="D226" s="2" t="s">
        <v>400</v>
      </c>
      <c r="E226" t="e">
        <v>#N/A</v>
      </c>
      <c r="F226" t="e">
        <v>#N/A</v>
      </c>
      <c r="G226" t="e">
        <v>#N/A</v>
      </c>
      <c r="H226" t="e">
        <v>#N/A</v>
      </c>
      <c r="I226" t="e">
        <v>#N/A</v>
      </c>
      <c r="J226" t="e">
        <v>#N/A</v>
      </c>
      <c r="K226" t="e">
        <v>#N/A</v>
      </c>
    </row>
    <row r="227" spans="1:11" ht="15.75" customHeight="1" x14ac:dyDescent="0.35">
      <c r="A227" s="58" t="s">
        <v>533</v>
      </c>
      <c r="B227" s="58" t="s">
        <v>534</v>
      </c>
      <c r="C227" s="58" t="s">
        <v>130</v>
      </c>
      <c r="D227" s="2" t="s">
        <v>400</v>
      </c>
      <c r="E227" t="e">
        <v>#N/A</v>
      </c>
      <c r="F227" t="e">
        <v>#N/A</v>
      </c>
      <c r="G227" t="e">
        <v>#N/A</v>
      </c>
      <c r="H227" t="e">
        <v>#N/A</v>
      </c>
      <c r="I227" t="e">
        <v>#N/A</v>
      </c>
      <c r="J227" t="e">
        <v>#N/A</v>
      </c>
      <c r="K227" t="e">
        <v>#N/A</v>
      </c>
    </row>
    <row r="228" spans="1:11" ht="15.75" customHeight="1" x14ac:dyDescent="0.35">
      <c r="A228" s="58" t="s">
        <v>536</v>
      </c>
      <c r="B228" s="58" t="s">
        <v>537</v>
      </c>
      <c r="C228" s="58" t="s">
        <v>130</v>
      </c>
      <c r="D228" s="2" t="s">
        <v>400</v>
      </c>
      <c r="E228" t="e">
        <v>#N/A</v>
      </c>
      <c r="F228" t="e">
        <v>#N/A</v>
      </c>
      <c r="G228" t="e">
        <v>#N/A</v>
      </c>
      <c r="H228" t="e">
        <v>#N/A</v>
      </c>
      <c r="I228" t="e">
        <v>#N/A</v>
      </c>
      <c r="J228" t="e">
        <v>#N/A</v>
      </c>
      <c r="K228" t="e">
        <v>#N/A</v>
      </c>
    </row>
    <row r="229" spans="1:11" ht="15.75" customHeight="1" x14ac:dyDescent="0.35">
      <c r="A229" s="58" t="s">
        <v>539</v>
      </c>
      <c r="B229" s="58" t="s">
        <v>540</v>
      </c>
      <c r="C229" s="58" t="s">
        <v>130</v>
      </c>
      <c r="D229" s="2" t="s">
        <v>400</v>
      </c>
      <c r="E229" t="e">
        <v>#N/A</v>
      </c>
      <c r="F229" t="e">
        <v>#N/A</v>
      </c>
      <c r="G229" t="e">
        <v>#N/A</v>
      </c>
      <c r="H229" t="e">
        <v>#N/A</v>
      </c>
      <c r="I229" t="e">
        <v>#N/A</v>
      </c>
      <c r="J229" t="e">
        <v>#N/A</v>
      </c>
      <c r="K229" t="e">
        <v>#N/A</v>
      </c>
    </row>
    <row r="230" spans="1:11" ht="15.75" customHeight="1" x14ac:dyDescent="0.35">
      <c r="A230" s="58" t="s">
        <v>541</v>
      </c>
      <c r="B230" s="58" t="s">
        <v>542</v>
      </c>
      <c r="C230" s="58" t="s">
        <v>2645</v>
      </c>
      <c r="D230" s="2" t="s">
        <v>418</v>
      </c>
      <c r="E230" t="e">
        <v>#N/A</v>
      </c>
      <c r="F230" t="e">
        <v>#N/A</v>
      </c>
      <c r="G230" t="e">
        <v>#N/A</v>
      </c>
      <c r="H230" t="e">
        <v>#N/A</v>
      </c>
      <c r="I230" t="e">
        <v>#N/A</v>
      </c>
      <c r="J230" t="e">
        <v>#N/A</v>
      </c>
      <c r="K230" t="e">
        <v>#N/A</v>
      </c>
    </row>
    <row r="231" spans="1:11" ht="15.75" customHeight="1" x14ac:dyDescent="0.35">
      <c r="A231" s="58" t="s">
        <v>545</v>
      </c>
      <c r="B231" s="58" t="s">
        <v>546</v>
      </c>
      <c r="C231" s="58" t="s">
        <v>2645</v>
      </c>
      <c r="D231" s="2" t="s">
        <v>418</v>
      </c>
      <c r="E231" t="e">
        <v>#N/A</v>
      </c>
      <c r="F231" t="e">
        <v>#N/A</v>
      </c>
      <c r="G231" t="e">
        <v>#N/A</v>
      </c>
      <c r="H231" t="e">
        <v>#N/A</v>
      </c>
      <c r="I231" t="e">
        <v>#N/A</v>
      </c>
      <c r="J231" t="e">
        <v>#N/A</v>
      </c>
      <c r="K231" t="e">
        <v>#N/A</v>
      </c>
    </row>
    <row r="232" spans="1:11" ht="15.75" customHeight="1" x14ac:dyDescent="0.35">
      <c r="A232" s="58" t="s">
        <v>548</v>
      </c>
      <c r="B232" s="58" t="s">
        <v>549</v>
      </c>
      <c r="C232" s="58" t="s">
        <v>2645</v>
      </c>
      <c r="D232" s="2" t="s">
        <v>418</v>
      </c>
      <c r="E232" t="e">
        <v>#N/A</v>
      </c>
      <c r="F232" t="e">
        <v>#N/A</v>
      </c>
      <c r="G232" t="e">
        <v>#N/A</v>
      </c>
      <c r="H232" t="e">
        <v>#N/A</v>
      </c>
      <c r="I232" t="e">
        <v>#N/A</v>
      </c>
      <c r="J232" t="e">
        <v>#N/A</v>
      </c>
      <c r="K232" t="e">
        <v>#N/A</v>
      </c>
    </row>
    <row r="233" spans="1:11" ht="15.75" customHeight="1" x14ac:dyDescent="0.35">
      <c r="A233" s="58" t="s">
        <v>551</v>
      </c>
      <c r="B233" s="58" t="s">
        <v>552</v>
      </c>
      <c r="C233" s="58" t="s">
        <v>2645</v>
      </c>
      <c r="D233" s="2" t="s">
        <v>418</v>
      </c>
      <c r="E233" t="e">
        <v>#N/A</v>
      </c>
      <c r="F233" t="e">
        <v>#N/A</v>
      </c>
      <c r="G233" t="e">
        <v>#N/A</v>
      </c>
      <c r="H233" t="e">
        <v>#N/A</v>
      </c>
      <c r="I233" t="e">
        <v>#N/A</v>
      </c>
      <c r="J233" t="e">
        <v>#N/A</v>
      </c>
      <c r="K233" t="e">
        <v>#N/A</v>
      </c>
    </row>
    <row r="234" spans="1:11" ht="15.75" customHeight="1" x14ac:dyDescent="0.35">
      <c r="A234" s="59" t="s">
        <v>553</v>
      </c>
      <c r="B234" s="59" t="s">
        <v>554</v>
      </c>
      <c r="C234" s="58" t="s">
        <v>2649</v>
      </c>
      <c r="D234" s="2" t="s">
        <v>51</v>
      </c>
    </row>
    <row r="235" spans="1:11" ht="15.75" customHeight="1" x14ac:dyDescent="0.35">
      <c r="A235" s="62" t="s">
        <v>555</v>
      </c>
      <c r="B235" s="62" t="s">
        <v>556</v>
      </c>
      <c r="C235" s="62" t="s">
        <v>2645</v>
      </c>
      <c r="D235" s="2" t="s">
        <v>425</v>
      </c>
      <c r="E235" t="e">
        <v>#N/A</v>
      </c>
      <c r="F235" t="e">
        <v>#N/A</v>
      </c>
      <c r="G235" t="e">
        <v>#N/A</v>
      </c>
      <c r="H235" t="e">
        <v>#N/A</v>
      </c>
      <c r="I235" t="e">
        <v>#N/A</v>
      </c>
      <c r="J235" t="e">
        <v>#N/A</v>
      </c>
      <c r="K235" t="e">
        <v>#N/A</v>
      </c>
    </row>
    <row r="236" spans="1:11" ht="15.75" customHeight="1" x14ac:dyDescent="0.35">
      <c r="A236" s="62" t="s">
        <v>557</v>
      </c>
      <c r="B236" s="62" t="s">
        <v>558</v>
      </c>
      <c r="C236" s="62" t="s">
        <v>2645</v>
      </c>
      <c r="D236" s="2" t="s">
        <v>425</v>
      </c>
      <c r="E236" t="e">
        <v>#N/A</v>
      </c>
      <c r="F236" t="e">
        <v>#N/A</v>
      </c>
      <c r="G236" t="e">
        <v>#N/A</v>
      </c>
      <c r="H236" t="e">
        <v>#N/A</v>
      </c>
      <c r="I236" t="e">
        <v>#N/A</v>
      </c>
      <c r="J236" t="e">
        <v>#N/A</v>
      </c>
      <c r="K236" t="e">
        <v>#N/A</v>
      </c>
    </row>
    <row r="237" spans="1:11" ht="15.75" customHeight="1" x14ac:dyDescent="0.35">
      <c r="A237" s="62" t="s">
        <v>560</v>
      </c>
      <c r="B237" s="62" t="s">
        <v>561</v>
      </c>
      <c r="C237" s="62" t="s">
        <v>2645</v>
      </c>
      <c r="D237" s="2" t="s">
        <v>425</v>
      </c>
      <c r="E237" t="e">
        <v>#N/A</v>
      </c>
      <c r="F237" t="e">
        <v>#N/A</v>
      </c>
      <c r="G237" t="e">
        <v>#N/A</v>
      </c>
      <c r="H237" t="e">
        <v>#N/A</v>
      </c>
      <c r="I237" t="e">
        <v>#N/A</v>
      </c>
      <c r="J237" t="e">
        <v>#N/A</v>
      </c>
      <c r="K237" t="e">
        <v>#N/A</v>
      </c>
    </row>
    <row r="238" spans="1:11" ht="15.75" customHeight="1" x14ac:dyDescent="0.35">
      <c r="A238" s="58" t="s">
        <v>563</v>
      </c>
      <c r="B238" s="58" t="s">
        <v>564</v>
      </c>
      <c r="C238" s="58" t="s">
        <v>2645</v>
      </c>
      <c r="D238" s="2" t="s">
        <v>11</v>
      </c>
      <c r="E238" t="e">
        <v>#N/A</v>
      </c>
      <c r="F238" t="e">
        <v>#N/A</v>
      </c>
      <c r="G238" t="e">
        <v>#N/A</v>
      </c>
      <c r="H238" t="e">
        <v>#N/A</v>
      </c>
      <c r="I238" t="e">
        <v>#N/A</v>
      </c>
      <c r="J238" t="e">
        <v>#N/A</v>
      </c>
      <c r="K238" t="e">
        <v>#N/A</v>
      </c>
    </row>
    <row r="239" spans="1:11" ht="15.75" customHeight="1" x14ac:dyDescent="0.35">
      <c r="A239" s="58" t="s">
        <v>566</v>
      </c>
      <c r="B239" s="58" t="s">
        <v>567</v>
      </c>
      <c r="C239" s="58" t="s">
        <v>2645</v>
      </c>
      <c r="D239" s="2" t="s">
        <v>11</v>
      </c>
      <c r="E239" t="e">
        <v>#N/A</v>
      </c>
      <c r="F239" t="e">
        <v>#N/A</v>
      </c>
      <c r="G239" t="e">
        <v>#N/A</v>
      </c>
      <c r="H239" t="e">
        <v>#N/A</v>
      </c>
      <c r="I239" t="e">
        <v>#N/A</v>
      </c>
      <c r="J239" t="e">
        <v>#N/A</v>
      </c>
      <c r="K239" t="e">
        <v>#N/A</v>
      </c>
    </row>
    <row r="240" spans="1:11" ht="15.75" customHeight="1" x14ac:dyDescent="0.35">
      <c r="A240" s="58" t="s">
        <v>568</v>
      </c>
      <c r="B240" s="58" t="s">
        <v>569</v>
      </c>
      <c r="C240" s="58" t="s">
        <v>2645</v>
      </c>
      <c r="D240" s="2" t="s">
        <v>11</v>
      </c>
      <c r="E240" t="e">
        <v>#N/A</v>
      </c>
      <c r="F240" t="e">
        <v>#N/A</v>
      </c>
      <c r="G240" t="e">
        <v>#N/A</v>
      </c>
      <c r="H240" t="e">
        <v>#N/A</v>
      </c>
      <c r="I240" t="e">
        <v>#N/A</v>
      </c>
      <c r="J240" t="e">
        <v>#N/A</v>
      </c>
      <c r="K240" t="e">
        <v>#N/A</v>
      </c>
    </row>
    <row r="241" spans="1:11" ht="15.75" customHeight="1" x14ac:dyDescent="0.35">
      <c r="A241" s="59" t="s">
        <v>571</v>
      </c>
      <c r="B241" s="59" t="s">
        <v>572</v>
      </c>
      <c r="C241" s="58" t="s">
        <v>2645</v>
      </c>
      <c r="D241" s="2" t="s">
        <v>425</v>
      </c>
    </row>
    <row r="242" spans="1:11" ht="15.75" customHeight="1" x14ac:dyDescent="0.35">
      <c r="A242" s="58" t="s">
        <v>573</v>
      </c>
      <c r="B242" s="58" t="s">
        <v>574</v>
      </c>
      <c r="C242" s="58" t="s">
        <v>2645</v>
      </c>
      <c r="D242" s="2" t="s">
        <v>54</v>
      </c>
      <c r="E242" t="e">
        <v>#N/A</v>
      </c>
      <c r="F242" t="e">
        <v>#N/A</v>
      </c>
      <c r="G242" t="e">
        <v>#N/A</v>
      </c>
      <c r="H242" t="e">
        <v>#N/A</v>
      </c>
      <c r="I242" t="e">
        <v>#N/A</v>
      </c>
      <c r="J242" t="e">
        <v>#N/A</v>
      </c>
      <c r="K242" t="e">
        <v>#N/A</v>
      </c>
    </row>
    <row r="243" spans="1:11" ht="15.75" customHeight="1" x14ac:dyDescent="0.35">
      <c r="A243" s="58" t="s">
        <v>575</v>
      </c>
      <c r="B243" s="58" t="s">
        <v>576</v>
      </c>
      <c r="C243" s="58" t="s">
        <v>2645</v>
      </c>
      <c r="D243" s="2" t="s">
        <v>54</v>
      </c>
      <c r="E243" t="e">
        <v>#N/A</v>
      </c>
      <c r="F243" t="e">
        <v>#N/A</v>
      </c>
      <c r="G243" t="e">
        <v>#N/A</v>
      </c>
      <c r="H243" t="e">
        <v>#N/A</v>
      </c>
      <c r="I243" t="e">
        <v>#N/A</v>
      </c>
      <c r="J243" t="e">
        <v>#N/A</v>
      </c>
      <c r="K243" t="e">
        <v>#N/A</v>
      </c>
    </row>
    <row r="244" spans="1:11" ht="15.75" customHeight="1" x14ac:dyDescent="0.35">
      <c r="A244" s="58" t="s">
        <v>578</v>
      </c>
      <c r="B244" s="58" t="s">
        <v>579</v>
      </c>
      <c r="C244" s="58" t="s">
        <v>2645</v>
      </c>
      <c r="D244" s="2" t="s">
        <v>102</v>
      </c>
      <c r="E244" t="e">
        <v>#N/A</v>
      </c>
      <c r="F244" t="e">
        <v>#N/A</v>
      </c>
      <c r="G244" t="e">
        <v>#N/A</v>
      </c>
      <c r="H244" t="e">
        <v>#N/A</v>
      </c>
      <c r="I244" t="e">
        <v>#N/A</v>
      </c>
      <c r="J244" t="e">
        <v>#N/A</v>
      </c>
      <c r="K244" t="e">
        <v>#N/A</v>
      </c>
    </row>
    <row r="245" spans="1:11" ht="15.75" customHeight="1" x14ac:dyDescent="0.35">
      <c r="A245" s="58" t="s">
        <v>581</v>
      </c>
      <c r="B245" s="58" t="s">
        <v>582</v>
      </c>
      <c r="C245" s="58" t="s">
        <v>2645</v>
      </c>
      <c r="D245" s="2" t="s">
        <v>102</v>
      </c>
      <c r="E245" t="e">
        <v>#N/A</v>
      </c>
      <c r="F245" t="e">
        <v>#N/A</v>
      </c>
      <c r="G245" t="e">
        <v>#N/A</v>
      </c>
      <c r="H245" t="e">
        <v>#N/A</v>
      </c>
      <c r="I245" t="e">
        <v>#N/A</v>
      </c>
      <c r="J245" t="e">
        <v>#N/A</v>
      </c>
      <c r="K245" t="e">
        <v>#N/A</v>
      </c>
    </row>
    <row r="246" spans="1:11" ht="15.75" customHeight="1" x14ac:dyDescent="0.35">
      <c r="A246" s="58" t="s">
        <v>584</v>
      </c>
      <c r="B246" s="58" t="s">
        <v>505</v>
      </c>
      <c r="C246" s="58" t="s">
        <v>2645</v>
      </c>
      <c r="D246" s="2" t="s">
        <v>102</v>
      </c>
      <c r="E246" t="e">
        <v>#N/A</v>
      </c>
      <c r="F246" t="e">
        <v>#N/A</v>
      </c>
      <c r="G246" t="e">
        <v>#N/A</v>
      </c>
      <c r="H246" t="e">
        <v>#N/A</v>
      </c>
      <c r="I246" t="e">
        <v>#N/A</v>
      </c>
      <c r="J246" t="e">
        <v>#N/A</v>
      </c>
      <c r="K246" t="e">
        <v>#N/A</v>
      </c>
    </row>
    <row r="247" spans="1:11" ht="15.75" customHeight="1" x14ac:dyDescent="0.35">
      <c r="A247" s="58" t="s">
        <v>585</v>
      </c>
      <c r="B247" s="58" t="s">
        <v>586</v>
      </c>
      <c r="C247" s="58" t="s">
        <v>2645</v>
      </c>
      <c r="D247" s="2" t="s">
        <v>174</v>
      </c>
      <c r="E247" t="e">
        <v>#N/A</v>
      </c>
      <c r="F247" t="e">
        <v>#N/A</v>
      </c>
      <c r="G247" t="e">
        <v>#N/A</v>
      </c>
      <c r="H247" t="e">
        <v>#N/A</v>
      </c>
      <c r="I247" t="e">
        <v>#N/A</v>
      </c>
      <c r="J247" t="e">
        <v>#N/A</v>
      </c>
      <c r="K247" t="e">
        <v>#N/A</v>
      </c>
    </row>
    <row r="248" spans="1:11" ht="15.75" customHeight="1" x14ac:dyDescent="0.35">
      <c r="A248" s="58" t="s">
        <v>588</v>
      </c>
      <c r="B248" s="58" t="s">
        <v>589</v>
      </c>
      <c r="C248" s="58" t="s">
        <v>2645</v>
      </c>
      <c r="D248" s="2" t="s">
        <v>174</v>
      </c>
      <c r="E248" t="e">
        <v>#N/A</v>
      </c>
      <c r="F248" t="e">
        <v>#N/A</v>
      </c>
      <c r="G248" t="e">
        <v>#N/A</v>
      </c>
      <c r="H248" t="e">
        <v>#N/A</v>
      </c>
      <c r="I248" t="e">
        <v>#N/A</v>
      </c>
      <c r="J248" t="e">
        <v>#N/A</v>
      </c>
      <c r="K248" t="e">
        <v>#N/A</v>
      </c>
    </row>
    <row r="249" spans="1:11" ht="15.75" customHeight="1" x14ac:dyDescent="0.35">
      <c r="A249" s="59" t="s">
        <v>590</v>
      </c>
      <c r="B249" s="59" t="s">
        <v>591</v>
      </c>
      <c r="C249" s="58" t="s">
        <v>2646</v>
      </c>
      <c r="D249" s="2" t="s">
        <v>593</v>
      </c>
    </row>
    <row r="250" spans="1:11" ht="15.75" customHeight="1" x14ac:dyDescent="0.35">
      <c r="A250" s="58" t="s">
        <v>594</v>
      </c>
      <c r="B250" s="58" t="s">
        <v>595</v>
      </c>
      <c r="C250" s="58" t="s">
        <v>2645</v>
      </c>
      <c r="D250" s="2" t="s">
        <v>67</v>
      </c>
      <c r="E250" t="e">
        <v>#N/A</v>
      </c>
      <c r="F250" t="e">
        <v>#N/A</v>
      </c>
      <c r="G250" t="e">
        <v>#N/A</v>
      </c>
      <c r="H250" t="e">
        <v>#N/A</v>
      </c>
      <c r="I250" t="e">
        <v>#N/A</v>
      </c>
      <c r="J250" t="e">
        <v>#N/A</v>
      </c>
      <c r="K250" t="e">
        <v>#N/A</v>
      </c>
    </row>
    <row r="251" spans="1:11" ht="15.75" customHeight="1" x14ac:dyDescent="0.35">
      <c r="A251" s="58" t="s">
        <v>596</v>
      </c>
      <c r="B251" s="58" t="s">
        <v>597</v>
      </c>
      <c r="C251" s="58" t="s">
        <v>2645</v>
      </c>
      <c r="D251" s="2" t="s">
        <v>67</v>
      </c>
      <c r="E251" t="e">
        <v>#N/A</v>
      </c>
      <c r="F251" t="e">
        <v>#N/A</v>
      </c>
      <c r="G251" t="e">
        <v>#N/A</v>
      </c>
      <c r="H251" t="e">
        <v>#N/A</v>
      </c>
      <c r="I251" t="e">
        <v>#N/A</v>
      </c>
      <c r="J251" t="e">
        <v>#N/A</v>
      </c>
      <c r="K251" t="e">
        <v>#N/A</v>
      </c>
    </row>
    <row r="252" spans="1:11" ht="15.75" customHeight="1" x14ac:dyDescent="0.35">
      <c r="A252" s="58" t="s">
        <v>598</v>
      </c>
      <c r="B252" s="58" t="s">
        <v>599</v>
      </c>
      <c r="C252" s="58" t="s">
        <v>2645</v>
      </c>
      <c r="D252" s="2" t="s">
        <v>67</v>
      </c>
      <c r="E252" t="e">
        <v>#N/A</v>
      </c>
      <c r="F252" t="e">
        <v>#N/A</v>
      </c>
      <c r="G252" t="e">
        <v>#N/A</v>
      </c>
      <c r="H252" t="e">
        <v>#N/A</v>
      </c>
      <c r="I252" t="e">
        <v>#N/A</v>
      </c>
      <c r="J252" t="e">
        <v>#N/A</v>
      </c>
      <c r="K252" t="e">
        <v>#N/A</v>
      </c>
    </row>
    <row r="253" spans="1:11" ht="15.75" customHeight="1" x14ac:dyDescent="0.35">
      <c r="A253" s="58" t="s">
        <v>600</v>
      </c>
      <c r="B253" s="58" t="s">
        <v>601</v>
      </c>
      <c r="C253" s="58" t="s">
        <v>2645</v>
      </c>
      <c r="D253" s="2" t="s">
        <v>10</v>
      </c>
      <c r="E253" t="e">
        <v>#N/A</v>
      </c>
      <c r="F253" t="e">
        <v>#N/A</v>
      </c>
      <c r="G253" t="e">
        <v>#N/A</v>
      </c>
      <c r="H253" t="e">
        <v>#N/A</v>
      </c>
      <c r="I253" t="e">
        <v>#N/A</v>
      </c>
      <c r="J253" t="e">
        <v>#N/A</v>
      </c>
      <c r="K253" t="e">
        <v>#N/A</v>
      </c>
    </row>
    <row r="254" spans="1:11" ht="15.75" customHeight="1" x14ac:dyDescent="0.35">
      <c r="A254" s="58" t="s">
        <v>603</v>
      </c>
      <c r="B254" s="58" t="s">
        <v>604</v>
      </c>
      <c r="C254" s="58" t="s">
        <v>2645</v>
      </c>
      <c r="D254" s="2" t="s">
        <v>10</v>
      </c>
      <c r="E254" t="e">
        <v>#N/A</v>
      </c>
      <c r="F254" t="e">
        <v>#N/A</v>
      </c>
      <c r="G254" t="e">
        <v>#N/A</v>
      </c>
      <c r="H254" t="e">
        <v>#N/A</v>
      </c>
      <c r="I254" t="e">
        <v>#N/A</v>
      </c>
      <c r="J254" t="e">
        <v>#N/A</v>
      </c>
      <c r="K254" t="e">
        <v>#N/A</v>
      </c>
    </row>
    <row r="255" spans="1:11" ht="15.75" customHeight="1" x14ac:dyDescent="0.35">
      <c r="A255" s="58" t="s">
        <v>606</v>
      </c>
      <c r="B255" s="58" t="s">
        <v>607</v>
      </c>
      <c r="C255" s="58" t="s">
        <v>2645</v>
      </c>
      <c r="D255" s="2" t="s">
        <v>10</v>
      </c>
      <c r="E255" t="e">
        <v>#N/A</v>
      </c>
      <c r="F255" t="e">
        <v>#N/A</v>
      </c>
      <c r="G255" t="e">
        <v>#N/A</v>
      </c>
      <c r="H255" t="e">
        <v>#N/A</v>
      </c>
      <c r="I255" t="e">
        <v>#N/A</v>
      </c>
      <c r="J255" t="e">
        <v>#N/A</v>
      </c>
      <c r="K255" t="e">
        <v>#N/A</v>
      </c>
    </row>
    <row r="256" spans="1:11" ht="15.75" customHeight="1" x14ac:dyDescent="0.35">
      <c r="A256" s="58" t="s">
        <v>609</v>
      </c>
      <c r="B256" s="58" t="s">
        <v>540</v>
      </c>
      <c r="C256" s="58" t="s">
        <v>2645</v>
      </c>
      <c r="D256" s="2" t="s">
        <v>10</v>
      </c>
      <c r="E256" t="e">
        <v>#N/A</v>
      </c>
      <c r="F256" t="e">
        <v>#N/A</v>
      </c>
      <c r="G256" t="e">
        <v>#N/A</v>
      </c>
      <c r="H256" t="e">
        <v>#N/A</v>
      </c>
      <c r="I256" t="e">
        <v>#N/A</v>
      </c>
      <c r="J256" t="e">
        <v>#N/A</v>
      </c>
      <c r="K256" t="e">
        <v>#N/A</v>
      </c>
    </row>
    <row r="257" spans="1:4" ht="15.75" customHeight="1" x14ac:dyDescent="0.35">
      <c r="A257" s="58" t="s">
        <v>611</v>
      </c>
      <c r="B257" s="58" t="s">
        <v>612</v>
      </c>
      <c r="C257" s="58" t="s">
        <v>2647</v>
      </c>
      <c r="D257" s="2" t="s">
        <v>425</v>
      </c>
    </row>
    <row r="258" spans="1:4" ht="15.75" customHeight="1" x14ac:dyDescent="0.35">
      <c r="A258" s="58" t="s">
        <v>613</v>
      </c>
      <c r="B258" s="58" t="s">
        <v>614</v>
      </c>
      <c r="C258" s="58" t="s">
        <v>2649</v>
      </c>
      <c r="D258" s="2" t="s">
        <v>54</v>
      </c>
    </row>
    <row r="259" spans="1:4" ht="15.75" customHeight="1" x14ac:dyDescent="0.35">
      <c r="A259" s="59" t="s">
        <v>615</v>
      </c>
      <c r="B259" s="59" t="s">
        <v>616</v>
      </c>
      <c r="C259" s="58" t="s">
        <v>2645</v>
      </c>
      <c r="D259" s="2" t="s">
        <v>54</v>
      </c>
    </row>
    <row r="260" spans="1:4" ht="15.75" customHeight="1" x14ac:dyDescent="0.35">
      <c r="A260" s="1"/>
      <c r="B260" s="1"/>
      <c r="C260" s="1"/>
      <c r="D260" s="1"/>
    </row>
    <row r="261" spans="1:4" ht="15.75" customHeight="1" x14ac:dyDescent="0.35">
      <c r="A261" s="63"/>
      <c r="B261" s="1"/>
      <c r="C261" s="1"/>
      <c r="D261" s="1"/>
    </row>
    <row r="262" spans="1:4" ht="15.75" customHeight="1" x14ac:dyDescent="0.35">
      <c r="A262" s="63"/>
      <c r="B262" s="1"/>
      <c r="C262" s="1"/>
      <c r="D262" s="1"/>
    </row>
    <row r="263" spans="1:4" ht="15.75" customHeight="1" x14ac:dyDescent="0.35">
      <c r="A263" s="63"/>
      <c r="B263" s="1"/>
      <c r="C263" s="1"/>
      <c r="D263" s="1"/>
    </row>
    <row r="264" spans="1:4" ht="15.75" customHeight="1" x14ac:dyDescent="0.35">
      <c r="A264" s="63"/>
      <c r="B264" s="1"/>
      <c r="C264" s="1"/>
      <c r="D264" s="1"/>
    </row>
    <row r="265" spans="1:4" ht="15.75" customHeight="1" x14ac:dyDescent="0.35">
      <c r="A265" s="63"/>
      <c r="B265" s="1"/>
      <c r="C265" s="1"/>
      <c r="D265" s="1"/>
    </row>
    <row r="266" spans="1:4" ht="15.75" customHeight="1" x14ac:dyDescent="0.35">
      <c r="A266" s="63"/>
      <c r="B266" s="1"/>
      <c r="C266" s="1"/>
      <c r="D266" s="1"/>
    </row>
    <row r="267" spans="1:4" ht="15.75" customHeight="1" x14ac:dyDescent="0.35">
      <c r="A267" s="63"/>
      <c r="B267" s="1"/>
      <c r="C267" s="1"/>
      <c r="D267" s="1"/>
    </row>
    <row r="268" spans="1:4" ht="15.75" customHeight="1" x14ac:dyDescent="0.35">
      <c r="A268" s="1"/>
      <c r="B268" s="1"/>
      <c r="C268" s="1"/>
      <c r="D268" s="1"/>
    </row>
    <row r="269" spans="1:4" ht="15.75" customHeight="1" x14ac:dyDescent="0.35">
      <c r="A269" s="1"/>
      <c r="B269" s="1"/>
      <c r="C269" s="1"/>
      <c r="D269" s="1"/>
    </row>
    <row r="270" spans="1:4" ht="15.75" customHeight="1" x14ac:dyDescent="0.35">
      <c r="A270" s="1"/>
      <c r="B270" s="1"/>
      <c r="C270" s="1"/>
      <c r="D270" s="1"/>
    </row>
    <row r="271" spans="1:4" ht="15.75" customHeight="1" x14ac:dyDescent="0.35">
      <c r="A271" s="1"/>
      <c r="B271" s="1"/>
      <c r="C271" s="1"/>
      <c r="D271" s="1"/>
    </row>
    <row r="272" spans="1:4" ht="15.75" customHeight="1" x14ac:dyDescent="0.35">
      <c r="A272" s="1"/>
      <c r="B272" s="1"/>
      <c r="C272" s="1"/>
      <c r="D272" s="1"/>
    </row>
    <row r="273" spans="1:4" ht="15.75" customHeight="1" x14ac:dyDescent="0.35">
      <c r="A273" s="1"/>
      <c r="B273" s="1"/>
      <c r="C273" s="1"/>
      <c r="D273" s="1"/>
    </row>
    <row r="274" spans="1:4" ht="15.75" customHeight="1" x14ac:dyDescent="0.35">
      <c r="A274" s="1"/>
      <c r="B274" s="1"/>
      <c r="C274" s="1"/>
      <c r="D274" s="1"/>
    </row>
    <row r="275" spans="1:4" ht="15.75" customHeight="1" x14ac:dyDescent="0.35">
      <c r="A275" s="1"/>
      <c r="B275" s="1"/>
      <c r="C275" s="1"/>
      <c r="D275" s="1"/>
    </row>
    <row r="276" spans="1:4" ht="15.75" customHeight="1" x14ac:dyDescent="0.35">
      <c r="A276" s="1"/>
      <c r="B276" s="1"/>
      <c r="C276" s="1"/>
      <c r="D276" s="1"/>
    </row>
    <row r="277" spans="1:4" ht="15.75" customHeight="1" x14ac:dyDescent="0.35">
      <c r="A277" s="1"/>
      <c r="B277" s="1"/>
      <c r="C277" s="1"/>
      <c r="D277" s="1"/>
    </row>
    <row r="278" spans="1:4" ht="15.75" customHeight="1" x14ac:dyDescent="0.35">
      <c r="A278" s="1"/>
      <c r="B278" s="1"/>
      <c r="C278" s="1"/>
      <c r="D278" s="1"/>
    </row>
    <row r="279" spans="1:4" ht="15.75" customHeight="1" x14ac:dyDescent="0.35">
      <c r="A279" s="1"/>
      <c r="B279" s="1"/>
      <c r="C279" s="1"/>
      <c r="D279" s="1"/>
    </row>
    <row r="280" spans="1:4" ht="15.75" customHeight="1" x14ac:dyDescent="0.35">
      <c r="A280" s="1"/>
      <c r="B280" s="1"/>
      <c r="C280" s="1"/>
      <c r="D280" s="1"/>
    </row>
    <row r="281" spans="1:4" ht="15.75" customHeight="1" x14ac:dyDescent="0.35">
      <c r="A281" s="1"/>
      <c r="B281" s="1"/>
      <c r="C281" s="1"/>
      <c r="D281" s="1"/>
    </row>
    <row r="282" spans="1:4" ht="15.75" customHeight="1" x14ac:dyDescent="0.35">
      <c r="A282" s="1"/>
      <c r="B282" s="1"/>
      <c r="C282" s="1"/>
      <c r="D282" s="1"/>
    </row>
    <row r="283" spans="1:4" ht="15.75" customHeight="1" x14ac:dyDescent="0.35">
      <c r="A283" s="1"/>
      <c r="B283" s="1"/>
      <c r="C283" s="1"/>
      <c r="D283" s="1"/>
    </row>
    <row r="284" spans="1:4" ht="15.75" customHeight="1" x14ac:dyDescent="0.35">
      <c r="A284" s="1"/>
      <c r="B284" s="1"/>
      <c r="C284" s="1"/>
      <c r="D284" s="1"/>
    </row>
    <row r="285" spans="1:4" ht="15.75" customHeight="1" x14ac:dyDescent="0.35">
      <c r="A285" s="1"/>
      <c r="B285" s="1"/>
      <c r="C285" s="1"/>
      <c r="D285" s="1"/>
    </row>
    <row r="286" spans="1:4" ht="15.75" customHeight="1" x14ac:dyDescent="0.35">
      <c r="A286" s="1"/>
      <c r="B286" s="1"/>
      <c r="C286" s="1"/>
      <c r="D286" s="1"/>
    </row>
    <row r="287" spans="1:4" ht="15.75" customHeight="1" x14ac:dyDescent="0.35">
      <c r="A287" s="1"/>
      <c r="B287" s="1"/>
      <c r="C287" s="1"/>
      <c r="D287" s="1"/>
    </row>
    <row r="288" spans="1:4" ht="15.75" customHeight="1" x14ac:dyDescent="0.35">
      <c r="A288" s="1"/>
      <c r="B288" s="1"/>
      <c r="C288" s="1"/>
      <c r="D288" s="1"/>
    </row>
    <row r="289" spans="1:4" ht="15.75" customHeight="1" x14ac:dyDescent="0.35">
      <c r="A289" s="1"/>
      <c r="B289" s="1"/>
      <c r="C289" s="1"/>
      <c r="D289" s="1"/>
    </row>
    <row r="290" spans="1:4" ht="15.75" customHeight="1" x14ac:dyDescent="0.35">
      <c r="A290" s="1"/>
      <c r="B290" s="1"/>
      <c r="C290" s="1"/>
      <c r="D290" s="1"/>
    </row>
    <row r="291" spans="1:4" ht="15.75" customHeight="1" x14ac:dyDescent="0.35">
      <c r="A291" s="1"/>
      <c r="B291" s="1"/>
      <c r="C291" s="1"/>
      <c r="D291" s="1"/>
    </row>
    <row r="292" spans="1:4" ht="15.75" customHeight="1" x14ac:dyDescent="0.35">
      <c r="A292" s="1"/>
      <c r="B292" s="1"/>
      <c r="C292" s="1"/>
      <c r="D292" s="1"/>
    </row>
    <row r="293" spans="1:4" ht="15.75" customHeight="1" x14ac:dyDescent="0.35">
      <c r="A293" s="1"/>
      <c r="B293" s="1"/>
      <c r="C293" s="1"/>
      <c r="D293" s="1"/>
    </row>
    <row r="294" spans="1:4" ht="15.75" customHeight="1" x14ac:dyDescent="0.35">
      <c r="A294" s="1"/>
      <c r="B294" s="1"/>
      <c r="C294" s="1"/>
      <c r="D294" s="1"/>
    </row>
    <row r="295" spans="1:4" ht="15.75" customHeight="1" x14ac:dyDescent="0.35">
      <c r="A295" s="1"/>
      <c r="B295" s="1"/>
      <c r="C295" s="1"/>
      <c r="D295" s="1"/>
    </row>
    <row r="296" spans="1:4" ht="15.75" customHeight="1" x14ac:dyDescent="0.35">
      <c r="A296" s="1"/>
      <c r="B296" s="1"/>
      <c r="C296" s="1"/>
      <c r="D296" s="1"/>
    </row>
    <row r="297" spans="1:4" ht="15.75" customHeight="1" x14ac:dyDescent="0.35">
      <c r="A297" s="1"/>
      <c r="B297" s="1"/>
      <c r="C297" s="1"/>
      <c r="D297" s="1"/>
    </row>
    <row r="298" spans="1:4" ht="15.75" customHeight="1" x14ac:dyDescent="0.35">
      <c r="A298" s="1"/>
      <c r="B298" s="1"/>
      <c r="C298" s="1"/>
      <c r="D298" s="1"/>
    </row>
    <row r="299" spans="1:4" ht="15.75" customHeight="1" x14ac:dyDescent="0.35">
      <c r="A299" s="1"/>
      <c r="B299" s="1"/>
      <c r="C299" s="1"/>
      <c r="D299" s="1"/>
    </row>
    <row r="300" spans="1:4" ht="15.75" customHeight="1" x14ac:dyDescent="0.35">
      <c r="A300" s="1"/>
      <c r="B300" s="1"/>
      <c r="C300" s="1"/>
      <c r="D300" s="1"/>
    </row>
    <row r="301" spans="1:4" ht="15.75" customHeight="1" x14ac:dyDescent="0.35">
      <c r="A301" s="1"/>
      <c r="B301" s="1"/>
      <c r="C301" s="1"/>
      <c r="D301" s="1"/>
    </row>
    <row r="302" spans="1:4" ht="15.75" customHeight="1" x14ac:dyDescent="0.35">
      <c r="A302" s="1"/>
      <c r="B302" s="1"/>
      <c r="C302" s="1"/>
      <c r="D302" s="1"/>
    </row>
    <row r="303" spans="1:4" ht="15.75" customHeight="1" x14ac:dyDescent="0.35">
      <c r="A303" s="1"/>
      <c r="B303" s="1"/>
      <c r="C303" s="1"/>
      <c r="D303" s="1"/>
    </row>
    <row r="304" spans="1:4" ht="15.75" customHeight="1" x14ac:dyDescent="0.35">
      <c r="A304" s="1"/>
      <c r="B304" s="1"/>
      <c r="C304" s="1"/>
      <c r="D304" s="1"/>
    </row>
    <row r="305" spans="1:4" ht="15.75" customHeight="1" x14ac:dyDescent="0.35">
      <c r="A305" s="1"/>
      <c r="B305" s="1"/>
      <c r="C305" s="1"/>
      <c r="D305" s="1"/>
    </row>
    <row r="306" spans="1:4" ht="15.75" customHeight="1" x14ac:dyDescent="0.35">
      <c r="A306" s="1"/>
      <c r="B306" s="1"/>
      <c r="C306" s="1"/>
      <c r="D306" s="1"/>
    </row>
    <row r="307" spans="1:4" ht="15.75" customHeight="1" x14ac:dyDescent="0.35">
      <c r="A307" s="1"/>
      <c r="B307" s="1"/>
      <c r="C307" s="1"/>
      <c r="D307" s="1"/>
    </row>
    <row r="308" spans="1:4" ht="15.75" customHeight="1" x14ac:dyDescent="0.35">
      <c r="A308" s="1"/>
      <c r="B308" s="1"/>
      <c r="C308" s="1"/>
      <c r="D308" s="1"/>
    </row>
    <row r="309" spans="1:4" ht="15.75" customHeight="1" x14ac:dyDescent="0.35">
      <c r="A309" s="1"/>
      <c r="B309" s="1"/>
      <c r="C309" s="1"/>
      <c r="D309" s="1"/>
    </row>
    <row r="310" spans="1:4" ht="15.75" customHeight="1" x14ac:dyDescent="0.35">
      <c r="A310" s="1"/>
      <c r="B310" s="1"/>
      <c r="C310" s="1"/>
      <c r="D310" s="1"/>
    </row>
    <row r="311" spans="1:4" ht="15.75" customHeight="1" x14ac:dyDescent="0.35">
      <c r="A311" s="1"/>
      <c r="B311" s="1"/>
      <c r="C311" s="1"/>
      <c r="D311" s="1"/>
    </row>
    <row r="312" spans="1:4" ht="15.75" customHeight="1" x14ac:dyDescent="0.35">
      <c r="A312" s="1"/>
      <c r="B312" s="1"/>
      <c r="C312" s="1"/>
      <c r="D312" s="1"/>
    </row>
    <row r="313" spans="1:4" ht="15.75" customHeight="1" x14ac:dyDescent="0.35">
      <c r="A313" s="1"/>
      <c r="B313" s="1"/>
      <c r="C313" s="1"/>
      <c r="D313" s="1"/>
    </row>
    <row r="314" spans="1:4" ht="15.75" customHeight="1" x14ac:dyDescent="0.35">
      <c r="A314" s="1"/>
      <c r="B314" s="1"/>
      <c r="C314" s="1"/>
      <c r="D314" s="1"/>
    </row>
    <row r="315" spans="1:4" ht="15.75" customHeight="1" x14ac:dyDescent="0.35">
      <c r="A315" s="1"/>
      <c r="B315" s="1"/>
      <c r="C315" s="1"/>
      <c r="D315" s="1"/>
    </row>
    <row r="316" spans="1:4" ht="15.75" customHeight="1" x14ac:dyDescent="0.35">
      <c r="A316" s="1"/>
      <c r="B316" s="1"/>
      <c r="C316" s="1"/>
      <c r="D316" s="1"/>
    </row>
    <row r="317" spans="1:4" ht="15.75" customHeight="1" x14ac:dyDescent="0.35">
      <c r="A317" s="1"/>
      <c r="B317" s="1"/>
      <c r="C317" s="1"/>
      <c r="D317" s="1"/>
    </row>
    <row r="318" spans="1:4" ht="15.75" customHeight="1" x14ac:dyDescent="0.35">
      <c r="A318" s="1"/>
      <c r="B318" s="1"/>
      <c r="C318" s="1"/>
      <c r="D318" s="1"/>
    </row>
    <row r="319" spans="1:4" ht="15.75" customHeight="1" x14ac:dyDescent="0.35">
      <c r="A319" s="1"/>
      <c r="B319" s="1"/>
      <c r="C319" s="1"/>
      <c r="D319" s="1"/>
    </row>
    <row r="320" spans="1:4" ht="15.75" customHeight="1" x14ac:dyDescent="0.35">
      <c r="A320" s="1"/>
      <c r="B320" s="1"/>
      <c r="C320" s="1"/>
      <c r="D320" s="1"/>
    </row>
    <row r="321" spans="1:4" ht="15.75" customHeight="1" x14ac:dyDescent="0.35">
      <c r="A321" s="1"/>
      <c r="B321" s="1"/>
      <c r="C321" s="1"/>
      <c r="D321" s="1"/>
    </row>
    <row r="322" spans="1:4" ht="15.75" customHeight="1" x14ac:dyDescent="0.35">
      <c r="A322" s="1"/>
      <c r="B322" s="1"/>
      <c r="C322" s="1"/>
      <c r="D322" s="1"/>
    </row>
    <row r="323" spans="1:4" ht="15.75" customHeight="1" x14ac:dyDescent="0.35">
      <c r="A323" s="1"/>
      <c r="B323" s="1"/>
      <c r="C323" s="1"/>
      <c r="D323" s="1"/>
    </row>
    <row r="324" spans="1:4" ht="15.75" customHeight="1" x14ac:dyDescent="0.35">
      <c r="A324" s="1"/>
      <c r="B324" s="1"/>
      <c r="C324" s="1"/>
      <c r="D324" s="1"/>
    </row>
    <row r="325" spans="1:4" ht="15.75" customHeight="1" x14ac:dyDescent="0.35">
      <c r="A325" s="1"/>
      <c r="B325" s="1"/>
      <c r="C325" s="1"/>
      <c r="D325" s="1"/>
    </row>
    <row r="326" spans="1:4" ht="15.75" customHeight="1" x14ac:dyDescent="0.35">
      <c r="A326" s="1"/>
      <c r="B326" s="1"/>
      <c r="C326" s="1"/>
      <c r="D326" s="1"/>
    </row>
    <row r="327" spans="1:4" ht="15.75" customHeight="1" x14ac:dyDescent="0.35">
      <c r="A327" s="1"/>
      <c r="B327" s="1"/>
      <c r="C327" s="1"/>
      <c r="D327" s="1"/>
    </row>
    <row r="328" spans="1:4" ht="15.75" customHeight="1" x14ac:dyDescent="0.35">
      <c r="A328" s="1"/>
      <c r="B328" s="1"/>
      <c r="C328" s="1"/>
      <c r="D328" s="1"/>
    </row>
    <row r="329" spans="1:4" ht="15.75" customHeight="1" x14ac:dyDescent="0.35">
      <c r="A329" s="1"/>
      <c r="B329" s="1"/>
      <c r="C329" s="1"/>
      <c r="D329" s="1"/>
    </row>
    <row r="330" spans="1:4" ht="15.75" customHeight="1" x14ac:dyDescent="0.35">
      <c r="A330" s="1"/>
      <c r="B330" s="1"/>
      <c r="C330" s="1"/>
      <c r="D330" s="1"/>
    </row>
    <row r="331" spans="1:4" ht="15.75" customHeight="1" x14ac:dyDescent="0.35">
      <c r="A331" s="1"/>
      <c r="B331" s="1"/>
      <c r="C331" s="1"/>
      <c r="D331" s="1"/>
    </row>
    <row r="332" spans="1:4" ht="15.75" customHeight="1" x14ac:dyDescent="0.35">
      <c r="A332" s="1"/>
      <c r="B332" s="1"/>
      <c r="C332" s="1"/>
      <c r="D332" s="1"/>
    </row>
    <row r="333" spans="1:4" ht="15.75" customHeight="1" x14ac:dyDescent="0.35">
      <c r="A333" s="1"/>
      <c r="B333" s="1"/>
      <c r="C333" s="1"/>
      <c r="D333" s="1"/>
    </row>
    <row r="334" spans="1:4" ht="15.75" customHeight="1" x14ac:dyDescent="0.35">
      <c r="A334" s="1"/>
      <c r="B334" s="1"/>
      <c r="C334" s="1"/>
      <c r="D334" s="1"/>
    </row>
    <row r="335" spans="1:4" ht="15.75" customHeight="1" x14ac:dyDescent="0.35">
      <c r="A335" s="1"/>
      <c r="B335" s="1"/>
      <c r="C335" s="1"/>
      <c r="D335" s="1"/>
    </row>
    <row r="336" spans="1:4" ht="15.75" customHeight="1" x14ac:dyDescent="0.35">
      <c r="A336" s="1"/>
      <c r="B336" s="1"/>
      <c r="C336" s="1"/>
      <c r="D336" s="1"/>
    </row>
    <row r="337" spans="1:4" ht="15.75" customHeight="1" x14ac:dyDescent="0.35">
      <c r="A337" s="1"/>
      <c r="B337" s="1"/>
      <c r="C337" s="1"/>
      <c r="D337" s="1"/>
    </row>
    <row r="338" spans="1:4" ht="15.75" customHeight="1" x14ac:dyDescent="0.35">
      <c r="A338" s="1"/>
      <c r="B338" s="1"/>
      <c r="C338" s="1"/>
      <c r="D338" s="1"/>
    </row>
    <row r="339" spans="1:4" ht="15.75" customHeight="1" x14ac:dyDescent="0.35">
      <c r="A339" s="1"/>
      <c r="B339" s="1"/>
      <c r="C339" s="1"/>
      <c r="D339" s="1"/>
    </row>
    <row r="340" spans="1:4" ht="15.75" customHeight="1" x14ac:dyDescent="0.35">
      <c r="A340" s="1"/>
      <c r="B340" s="1"/>
      <c r="C340" s="1"/>
      <c r="D340" s="1"/>
    </row>
    <row r="341" spans="1:4" ht="15.75" customHeight="1" x14ac:dyDescent="0.35">
      <c r="A341" s="1"/>
      <c r="B341" s="1"/>
      <c r="C341" s="1"/>
      <c r="D341" s="1"/>
    </row>
    <row r="342" spans="1:4" ht="15.75" customHeight="1" x14ac:dyDescent="0.35">
      <c r="A342" s="1"/>
      <c r="B342" s="1"/>
      <c r="C342" s="1"/>
      <c r="D342" s="1"/>
    </row>
    <row r="343" spans="1:4" ht="15.75" customHeight="1" x14ac:dyDescent="0.35">
      <c r="A343" s="1"/>
      <c r="B343" s="1"/>
      <c r="C343" s="1"/>
      <c r="D343" s="1"/>
    </row>
    <row r="344" spans="1:4" ht="15.75" customHeight="1" x14ac:dyDescent="0.35">
      <c r="A344" s="1"/>
      <c r="B344" s="1"/>
      <c r="C344" s="1"/>
      <c r="D344" s="1"/>
    </row>
    <row r="345" spans="1:4" ht="15.75" customHeight="1" x14ac:dyDescent="0.35">
      <c r="A345" s="1"/>
      <c r="B345" s="1"/>
      <c r="C345" s="1"/>
      <c r="D345" s="1"/>
    </row>
    <row r="346" spans="1:4" ht="15.75" customHeight="1" x14ac:dyDescent="0.35">
      <c r="A346" s="1"/>
      <c r="B346" s="1"/>
      <c r="C346" s="1"/>
      <c r="D346" s="1"/>
    </row>
    <row r="347" spans="1:4" ht="15.75" customHeight="1" x14ac:dyDescent="0.35">
      <c r="A347" s="1"/>
      <c r="B347" s="1"/>
      <c r="C347" s="1"/>
      <c r="D347" s="1"/>
    </row>
    <row r="348" spans="1:4" ht="15.75" customHeight="1" x14ac:dyDescent="0.35">
      <c r="A348" s="1"/>
      <c r="B348" s="1"/>
      <c r="C348" s="1"/>
      <c r="D348" s="1"/>
    </row>
    <row r="349" spans="1:4" ht="15.75" customHeight="1" x14ac:dyDescent="0.35">
      <c r="A349" s="1"/>
      <c r="B349" s="1"/>
      <c r="C349" s="1"/>
      <c r="D349" s="1"/>
    </row>
    <row r="350" spans="1:4" ht="15.75" customHeight="1" x14ac:dyDescent="0.35">
      <c r="A350" s="1"/>
      <c r="B350" s="1"/>
      <c r="C350" s="1"/>
      <c r="D350" s="1"/>
    </row>
    <row r="351" spans="1:4" ht="15.75" customHeight="1" x14ac:dyDescent="0.35">
      <c r="A351" s="1"/>
      <c r="B351" s="1"/>
      <c r="C351" s="1"/>
      <c r="D351" s="1"/>
    </row>
    <row r="352" spans="1:4" ht="15.75" customHeight="1" x14ac:dyDescent="0.35">
      <c r="A352" s="1"/>
      <c r="B352" s="1"/>
      <c r="C352" s="1"/>
      <c r="D352" s="1"/>
    </row>
    <row r="353" spans="1:4" ht="15.75" customHeight="1" x14ac:dyDescent="0.35">
      <c r="A353" s="1"/>
      <c r="B353" s="1"/>
      <c r="C353" s="1"/>
      <c r="D353" s="1"/>
    </row>
    <row r="354" spans="1:4" ht="15.75" customHeight="1" x14ac:dyDescent="0.35">
      <c r="A354" s="1"/>
      <c r="B354" s="1"/>
      <c r="C354" s="1"/>
      <c r="D354" s="1"/>
    </row>
    <row r="355" spans="1:4" ht="15.75" customHeight="1" x14ac:dyDescent="0.35">
      <c r="A355" s="1"/>
      <c r="B355" s="1"/>
      <c r="C355" s="1"/>
      <c r="D355" s="1"/>
    </row>
    <row r="356" spans="1:4" ht="15.75" customHeight="1" x14ac:dyDescent="0.35">
      <c r="A356" s="1"/>
      <c r="B356" s="1"/>
      <c r="C356" s="1"/>
      <c r="D356" s="1"/>
    </row>
    <row r="357" spans="1:4" ht="15.75" customHeight="1" x14ac:dyDescent="0.35">
      <c r="A357" s="1"/>
      <c r="B357" s="1"/>
      <c r="C357" s="1"/>
      <c r="D357" s="1"/>
    </row>
    <row r="358" spans="1:4" ht="15.75" customHeight="1" x14ac:dyDescent="0.35">
      <c r="A358" s="1"/>
      <c r="B358" s="1"/>
      <c r="C358" s="1"/>
      <c r="D358" s="1"/>
    </row>
    <row r="359" spans="1:4" ht="15.75" customHeight="1" x14ac:dyDescent="0.35">
      <c r="A359" s="1"/>
      <c r="B359" s="1"/>
      <c r="C359" s="1"/>
      <c r="D359" s="1"/>
    </row>
    <row r="360" spans="1:4" ht="15.75" customHeight="1" x14ac:dyDescent="0.35">
      <c r="A360" s="1"/>
      <c r="B360" s="1"/>
      <c r="C360" s="1"/>
      <c r="D360" s="1"/>
    </row>
    <row r="361" spans="1:4" ht="15.75" customHeight="1" x14ac:dyDescent="0.35">
      <c r="A361" s="1"/>
      <c r="B361" s="1"/>
      <c r="C361" s="1"/>
      <c r="D361" s="1"/>
    </row>
    <row r="362" spans="1:4" ht="15.75" customHeight="1" x14ac:dyDescent="0.35">
      <c r="A362" s="1"/>
      <c r="B362" s="1"/>
      <c r="C362" s="1"/>
      <c r="D362" s="1"/>
    </row>
    <row r="363" spans="1:4" ht="15.75" customHeight="1" x14ac:dyDescent="0.35">
      <c r="A363" s="1"/>
      <c r="B363" s="1"/>
      <c r="C363" s="1"/>
      <c r="D363" s="1"/>
    </row>
    <row r="364" spans="1:4" ht="15.75" customHeight="1" x14ac:dyDescent="0.35">
      <c r="A364" s="1"/>
      <c r="B364" s="1"/>
      <c r="C364" s="1"/>
      <c r="D364" s="1"/>
    </row>
    <row r="365" spans="1:4" ht="15.75" customHeight="1" x14ac:dyDescent="0.35">
      <c r="A365" s="1"/>
      <c r="B365" s="1"/>
      <c r="C365" s="1"/>
      <c r="D365" s="1"/>
    </row>
    <row r="366" spans="1:4" ht="15.75" customHeight="1" x14ac:dyDescent="0.35">
      <c r="A366" s="1"/>
      <c r="B366" s="1"/>
      <c r="C366" s="1"/>
      <c r="D366" s="1"/>
    </row>
    <row r="367" spans="1:4" ht="15.75" customHeight="1" x14ac:dyDescent="0.35">
      <c r="A367" s="1"/>
      <c r="B367" s="1"/>
      <c r="C367" s="1"/>
      <c r="D367" s="1"/>
    </row>
    <row r="368" spans="1:4" ht="15.75" customHeight="1" x14ac:dyDescent="0.35">
      <c r="A368" s="1"/>
      <c r="B368" s="1"/>
      <c r="C368" s="1"/>
      <c r="D368" s="1"/>
    </row>
    <row r="369" spans="1:4" ht="15.75" customHeight="1" x14ac:dyDescent="0.35">
      <c r="A369" s="1"/>
      <c r="B369" s="1"/>
      <c r="C369" s="1"/>
      <c r="D369" s="1"/>
    </row>
    <row r="370" spans="1:4" ht="15.75" customHeight="1" x14ac:dyDescent="0.35">
      <c r="A370" s="1"/>
      <c r="B370" s="1"/>
      <c r="C370" s="1"/>
      <c r="D370" s="1"/>
    </row>
    <row r="371" spans="1:4" ht="15.75" customHeight="1" x14ac:dyDescent="0.35">
      <c r="A371" s="1"/>
      <c r="B371" s="1"/>
      <c r="C371" s="1"/>
      <c r="D371" s="1"/>
    </row>
    <row r="372" spans="1:4" ht="15.75" customHeight="1" x14ac:dyDescent="0.35">
      <c r="A372" s="1"/>
      <c r="B372" s="1"/>
      <c r="C372" s="1"/>
      <c r="D372" s="1"/>
    </row>
    <row r="373" spans="1:4" ht="15.75" customHeight="1" x14ac:dyDescent="0.35">
      <c r="A373" s="1"/>
      <c r="B373" s="1"/>
      <c r="C373" s="1"/>
      <c r="D373" s="1"/>
    </row>
    <row r="374" spans="1:4" ht="15.75" customHeight="1" x14ac:dyDescent="0.35">
      <c r="A374" s="1"/>
      <c r="B374" s="1"/>
      <c r="C374" s="1"/>
      <c r="D374" s="1"/>
    </row>
    <row r="375" spans="1:4" ht="15.75" customHeight="1" x14ac:dyDescent="0.35">
      <c r="A375" s="1"/>
      <c r="B375" s="1"/>
      <c r="C375" s="1"/>
      <c r="D375" s="1"/>
    </row>
    <row r="376" spans="1:4" ht="15.75" customHeight="1" x14ac:dyDescent="0.35">
      <c r="A376" s="1"/>
      <c r="B376" s="1"/>
      <c r="C376" s="1"/>
      <c r="D376" s="1"/>
    </row>
    <row r="377" spans="1:4" ht="15.75" customHeight="1" x14ac:dyDescent="0.35">
      <c r="A377" s="1"/>
      <c r="B377" s="1"/>
      <c r="C377" s="1"/>
      <c r="D377" s="1"/>
    </row>
    <row r="378" spans="1:4" ht="15.75" customHeight="1" x14ac:dyDescent="0.35">
      <c r="A378" s="1"/>
      <c r="B378" s="1"/>
      <c r="C378" s="1"/>
      <c r="D378" s="1"/>
    </row>
    <row r="379" spans="1:4" ht="15.75" customHeight="1" x14ac:dyDescent="0.35">
      <c r="A379" s="1"/>
      <c r="B379" s="1"/>
      <c r="C379" s="1"/>
      <c r="D379" s="1"/>
    </row>
    <row r="380" spans="1:4" ht="15.75" customHeight="1" x14ac:dyDescent="0.35">
      <c r="A380" s="1"/>
      <c r="B380" s="1"/>
      <c r="C380" s="1"/>
      <c r="D380" s="1"/>
    </row>
    <row r="381" spans="1:4" ht="15.75" customHeight="1" x14ac:dyDescent="0.35">
      <c r="A381" s="1"/>
      <c r="B381" s="1"/>
      <c r="C381" s="1"/>
      <c r="D381" s="1"/>
    </row>
    <row r="382" spans="1:4" ht="15.75" customHeight="1" x14ac:dyDescent="0.35">
      <c r="A382" s="1"/>
      <c r="B382" s="1"/>
      <c r="C382" s="1"/>
      <c r="D382" s="1"/>
    </row>
    <row r="383" spans="1:4" ht="15.75" customHeight="1" x14ac:dyDescent="0.35">
      <c r="A383" s="1"/>
      <c r="B383" s="1"/>
      <c r="C383" s="1"/>
      <c r="D383" s="1"/>
    </row>
    <row r="384" spans="1:4" ht="15.75" customHeight="1" x14ac:dyDescent="0.35">
      <c r="A384" s="1"/>
      <c r="B384" s="1"/>
      <c r="C384" s="1"/>
      <c r="D384" s="1"/>
    </row>
    <row r="385" spans="1:4" ht="15.75" customHeight="1" x14ac:dyDescent="0.35">
      <c r="A385" s="1"/>
      <c r="B385" s="1"/>
      <c r="C385" s="1"/>
      <c r="D385" s="1"/>
    </row>
    <row r="386" spans="1:4" ht="15.75" customHeight="1" x14ac:dyDescent="0.35">
      <c r="A386" s="1"/>
      <c r="B386" s="1"/>
      <c r="C386" s="1"/>
      <c r="D386" s="1"/>
    </row>
    <row r="387" spans="1:4" ht="15.75" customHeight="1" x14ac:dyDescent="0.35">
      <c r="A387" s="1"/>
      <c r="B387" s="1"/>
      <c r="C387" s="1"/>
      <c r="D387" s="1"/>
    </row>
    <row r="388" spans="1:4" ht="15.75" customHeight="1" x14ac:dyDescent="0.35">
      <c r="A388" s="1"/>
      <c r="B388" s="1"/>
      <c r="C388" s="1"/>
      <c r="D388" s="1"/>
    </row>
    <row r="389" spans="1:4" ht="15.75" customHeight="1" x14ac:dyDescent="0.35">
      <c r="A389" s="1"/>
      <c r="B389" s="1"/>
      <c r="C389" s="1"/>
      <c r="D389" s="1"/>
    </row>
    <row r="390" spans="1:4" ht="15.75" customHeight="1" x14ac:dyDescent="0.35">
      <c r="A390" s="1"/>
      <c r="B390" s="1"/>
      <c r="C390" s="1"/>
      <c r="D390" s="1"/>
    </row>
    <row r="391" spans="1:4" ht="15.75" customHeight="1" x14ac:dyDescent="0.35">
      <c r="A391" s="1"/>
      <c r="B391" s="1"/>
      <c r="C391" s="1"/>
      <c r="D391" s="1"/>
    </row>
    <row r="392" spans="1:4" ht="15.75" customHeight="1" x14ac:dyDescent="0.35">
      <c r="A392" s="1"/>
      <c r="B392" s="1"/>
      <c r="C392" s="1"/>
      <c r="D392" s="1"/>
    </row>
    <row r="393" spans="1:4" ht="15.75" customHeight="1" x14ac:dyDescent="0.35">
      <c r="A393" s="1"/>
      <c r="B393" s="1"/>
      <c r="C393" s="1"/>
      <c r="D393" s="1"/>
    </row>
    <row r="394" spans="1:4" ht="15.75" customHeight="1" x14ac:dyDescent="0.35">
      <c r="A394" s="1"/>
      <c r="B394" s="1"/>
      <c r="C394" s="1"/>
      <c r="D394" s="1"/>
    </row>
    <row r="395" spans="1:4" ht="15.75" customHeight="1" x14ac:dyDescent="0.35">
      <c r="A395" s="1"/>
      <c r="B395" s="1"/>
      <c r="C395" s="1"/>
      <c r="D395" s="1"/>
    </row>
    <row r="396" spans="1:4" ht="15.75" customHeight="1" x14ac:dyDescent="0.35">
      <c r="A396" s="1"/>
      <c r="B396" s="1"/>
      <c r="C396" s="1"/>
      <c r="D396" s="1"/>
    </row>
    <row r="397" spans="1:4" ht="15.75" customHeight="1" x14ac:dyDescent="0.35">
      <c r="A397" s="1"/>
      <c r="B397" s="1"/>
      <c r="C397" s="1"/>
      <c r="D397" s="1"/>
    </row>
    <row r="398" spans="1:4" ht="15.75" customHeight="1" x14ac:dyDescent="0.35">
      <c r="A398" s="1"/>
      <c r="B398" s="1"/>
      <c r="C398" s="1"/>
      <c r="D398" s="1"/>
    </row>
    <row r="399" spans="1:4" ht="15.75" customHeight="1" x14ac:dyDescent="0.35">
      <c r="A399" s="1"/>
      <c r="B399" s="1"/>
      <c r="C399" s="1"/>
      <c r="D399" s="1"/>
    </row>
    <row r="400" spans="1:4" ht="15.75" customHeight="1" x14ac:dyDescent="0.35">
      <c r="A400" s="1"/>
      <c r="B400" s="1"/>
      <c r="C400" s="1"/>
      <c r="D400" s="1"/>
    </row>
    <row r="401" spans="1:4" ht="15.75" customHeight="1" x14ac:dyDescent="0.35">
      <c r="A401" s="1"/>
      <c r="B401" s="1"/>
      <c r="C401" s="1"/>
      <c r="D401" s="1"/>
    </row>
    <row r="402" spans="1:4" ht="15.75" customHeight="1" x14ac:dyDescent="0.35">
      <c r="A402" s="1"/>
      <c r="B402" s="1"/>
      <c r="C402" s="1"/>
      <c r="D402" s="1"/>
    </row>
    <row r="403" spans="1:4" ht="15.75" customHeight="1" x14ac:dyDescent="0.35">
      <c r="A403" s="1"/>
      <c r="B403" s="1"/>
      <c r="C403" s="1"/>
      <c r="D403" s="1"/>
    </row>
    <row r="404" spans="1:4" ht="15.75" customHeight="1" x14ac:dyDescent="0.35">
      <c r="A404" s="1"/>
      <c r="B404" s="1"/>
      <c r="C404" s="1"/>
      <c r="D404" s="1"/>
    </row>
    <row r="405" spans="1:4" ht="15.75" customHeight="1" x14ac:dyDescent="0.35">
      <c r="A405" s="1"/>
      <c r="B405" s="1"/>
      <c r="C405" s="1"/>
      <c r="D405" s="1"/>
    </row>
    <row r="406" spans="1:4" ht="15.75" customHeight="1" x14ac:dyDescent="0.35">
      <c r="A406" s="1"/>
      <c r="B406" s="1"/>
      <c r="C406" s="1"/>
      <c r="D406" s="1"/>
    </row>
    <row r="407" spans="1:4" ht="15.75" customHeight="1" x14ac:dyDescent="0.35">
      <c r="A407" s="1"/>
      <c r="B407" s="1"/>
      <c r="C407" s="1"/>
      <c r="D407" s="1"/>
    </row>
    <row r="408" spans="1:4" ht="15.75" customHeight="1" x14ac:dyDescent="0.35">
      <c r="A408" s="1"/>
      <c r="B408" s="1"/>
      <c r="C408" s="1"/>
      <c r="D408" s="1"/>
    </row>
    <row r="409" spans="1:4" ht="15.75" customHeight="1" x14ac:dyDescent="0.35">
      <c r="A409" s="1"/>
      <c r="B409" s="1"/>
      <c r="C409" s="1"/>
      <c r="D409" s="1"/>
    </row>
    <row r="410" spans="1:4" ht="15.75" customHeight="1" x14ac:dyDescent="0.35">
      <c r="A410" s="1"/>
      <c r="B410" s="1"/>
      <c r="C410" s="1"/>
      <c r="D410" s="1"/>
    </row>
    <row r="411" spans="1:4" ht="15.75" customHeight="1" x14ac:dyDescent="0.35">
      <c r="A411" s="1"/>
      <c r="B411" s="1"/>
      <c r="C411" s="1"/>
      <c r="D411" s="1"/>
    </row>
    <row r="412" spans="1:4" ht="15.75" customHeight="1" x14ac:dyDescent="0.35">
      <c r="A412" s="1"/>
      <c r="B412" s="1"/>
      <c r="C412" s="1"/>
      <c r="D412" s="1"/>
    </row>
    <row r="413" spans="1:4" ht="15.75" customHeight="1" x14ac:dyDescent="0.35">
      <c r="A413" s="1"/>
      <c r="B413" s="1"/>
      <c r="C413" s="1"/>
      <c r="D413" s="1"/>
    </row>
    <row r="414" spans="1:4" ht="15.75" customHeight="1" x14ac:dyDescent="0.35">
      <c r="A414" s="1"/>
      <c r="B414" s="1"/>
      <c r="C414" s="1"/>
      <c r="D414" s="1"/>
    </row>
    <row r="415" spans="1:4" ht="15.75" customHeight="1" x14ac:dyDescent="0.35">
      <c r="A415" s="1"/>
      <c r="B415" s="1"/>
      <c r="C415" s="1"/>
      <c r="D415" s="1"/>
    </row>
    <row r="416" spans="1:4" ht="15.75" customHeight="1" x14ac:dyDescent="0.35">
      <c r="A416" s="1"/>
      <c r="B416" s="1"/>
      <c r="C416" s="1"/>
      <c r="D416" s="1"/>
    </row>
    <row r="417" spans="1:4" ht="15.75" customHeight="1" x14ac:dyDescent="0.35">
      <c r="A417" s="1"/>
      <c r="B417" s="1"/>
      <c r="C417" s="1"/>
      <c r="D417" s="1"/>
    </row>
    <row r="418" spans="1:4" ht="15.75" customHeight="1" x14ac:dyDescent="0.35">
      <c r="A418" s="1"/>
      <c r="B418" s="1"/>
      <c r="C418" s="1"/>
      <c r="D418" s="1"/>
    </row>
    <row r="419" spans="1:4" ht="15.75" customHeight="1" x14ac:dyDescent="0.35">
      <c r="A419" s="1"/>
      <c r="B419" s="1"/>
      <c r="C419" s="1"/>
      <c r="D419" s="1"/>
    </row>
    <row r="420" spans="1:4" ht="15.75" customHeight="1" x14ac:dyDescent="0.35">
      <c r="A420" s="1"/>
      <c r="B420" s="1"/>
      <c r="C420" s="1"/>
      <c r="D420" s="1"/>
    </row>
    <row r="421" spans="1:4" ht="15.75" customHeight="1" x14ac:dyDescent="0.35">
      <c r="A421" s="1"/>
      <c r="B421" s="1"/>
      <c r="C421" s="1"/>
      <c r="D421" s="1"/>
    </row>
    <row r="422" spans="1:4" ht="15.75" customHeight="1" x14ac:dyDescent="0.35">
      <c r="A422" s="1"/>
      <c r="B422" s="1"/>
      <c r="C422" s="1"/>
      <c r="D422" s="1"/>
    </row>
    <row r="423" spans="1:4" ht="15.75" customHeight="1" x14ac:dyDescent="0.35">
      <c r="A423" s="1"/>
      <c r="B423" s="1"/>
      <c r="C423" s="1"/>
      <c r="D423" s="1"/>
    </row>
    <row r="424" spans="1:4" ht="15.75" customHeight="1" x14ac:dyDescent="0.35">
      <c r="A424" s="1"/>
      <c r="B424" s="1"/>
      <c r="C424" s="1"/>
      <c r="D424" s="1"/>
    </row>
    <row r="425" spans="1:4" ht="15.75" customHeight="1" x14ac:dyDescent="0.35">
      <c r="A425" s="1"/>
      <c r="B425" s="1"/>
      <c r="C425" s="1"/>
      <c r="D425" s="1"/>
    </row>
    <row r="426" spans="1:4" ht="15.75" customHeight="1" x14ac:dyDescent="0.35">
      <c r="A426" s="1"/>
      <c r="B426" s="1"/>
      <c r="C426" s="1"/>
      <c r="D426" s="1"/>
    </row>
    <row r="427" spans="1:4" ht="15.75" customHeight="1" x14ac:dyDescent="0.35">
      <c r="A427" s="1"/>
      <c r="B427" s="1"/>
      <c r="C427" s="1"/>
      <c r="D427" s="1"/>
    </row>
    <row r="428" spans="1:4" ht="15.75" customHeight="1" x14ac:dyDescent="0.35">
      <c r="A428" s="1"/>
      <c r="B428" s="1"/>
      <c r="C428" s="1"/>
      <c r="D428" s="1"/>
    </row>
    <row r="429" spans="1:4" ht="15.75" customHeight="1" x14ac:dyDescent="0.35">
      <c r="A429" s="1"/>
      <c r="B429" s="1"/>
      <c r="C429" s="1"/>
      <c r="D429" s="1"/>
    </row>
    <row r="430" spans="1:4" ht="15.75" customHeight="1" x14ac:dyDescent="0.35">
      <c r="A430" s="1"/>
      <c r="B430" s="1"/>
      <c r="C430" s="1"/>
      <c r="D430" s="1"/>
    </row>
    <row r="431" spans="1:4" ht="15.75" customHeight="1" x14ac:dyDescent="0.35">
      <c r="A431" s="1"/>
      <c r="B431" s="1"/>
      <c r="C431" s="1"/>
      <c r="D431" s="1"/>
    </row>
    <row r="432" spans="1:4" ht="15.75" customHeight="1" x14ac:dyDescent="0.35">
      <c r="A432" s="1"/>
      <c r="B432" s="1"/>
      <c r="C432" s="1"/>
      <c r="D432" s="1"/>
    </row>
    <row r="433" spans="1:4" ht="15.75" customHeight="1" x14ac:dyDescent="0.35">
      <c r="A433" s="1"/>
      <c r="B433" s="1"/>
      <c r="C433" s="1"/>
      <c r="D433" s="1"/>
    </row>
    <row r="434" spans="1:4" ht="15.75" customHeight="1" x14ac:dyDescent="0.35">
      <c r="A434" s="1"/>
      <c r="B434" s="1"/>
      <c r="C434" s="1"/>
      <c r="D434" s="1"/>
    </row>
    <row r="435" spans="1:4" ht="15.75" customHeight="1" x14ac:dyDescent="0.35">
      <c r="A435" s="1"/>
      <c r="B435" s="1"/>
      <c r="C435" s="1"/>
      <c r="D435" s="1"/>
    </row>
    <row r="436" spans="1:4" ht="15.75" customHeight="1" x14ac:dyDescent="0.35">
      <c r="A436" s="1"/>
      <c r="B436" s="1"/>
      <c r="C436" s="1"/>
      <c r="D436" s="1"/>
    </row>
    <row r="437" spans="1:4" ht="15.75" customHeight="1" x14ac:dyDescent="0.35">
      <c r="A437" s="1"/>
      <c r="B437" s="1"/>
      <c r="C437" s="1"/>
      <c r="D437" s="1"/>
    </row>
    <row r="438" spans="1:4" ht="15.75" customHeight="1" x14ac:dyDescent="0.35">
      <c r="A438" s="1"/>
      <c r="B438" s="1"/>
      <c r="C438" s="1"/>
      <c r="D438" s="1"/>
    </row>
    <row r="439" spans="1:4" ht="15.75" customHeight="1" x14ac:dyDescent="0.35">
      <c r="A439" s="1"/>
      <c r="B439" s="1"/>
      <c r="C439" s="1"/>
      <c r="D439" s="1"/>
    </row>
    <row r="440" spans="1:4" ht="15.75" customHeight="1" x14ac:dyDescent="0.35">
      <c r="A440" s="1"/>
      <c r="B440" s="1"/>
      <c r="C440" s="1"/>
      <c r="D440" s="1"/>
    </row>
    <row r="441" spans="1:4" ht="15.75" customHeight="1" x14ac:dyDescent="0.35">
      <c r="A441" s="1"/>
      <c r="B441" s="1"/>
      <c r="C441" s="1"/>
      <c r="D441" s="1"/>
    </row>
    <row r="442" spans="1:4" ht="15.75" customHeight="1" x14ac:dyDescent="0.35">
      <c r="A442" s="1"/>
      <c r="B442" s="1"/>
      <c r="C442" s="1"/>
      <c r="D442" s="1"/>
    </row>
    <row r="443" spans="1:4" ht="15.75" customHeight="1" x14ac:dyDescent="0.35">
      <c r="A443" s="1"/>
      <c r="B443" s="1"/>
      <c r="C443" s="1"/>
      <c r="D443" s="1"/>
    </row>
    <row r="444" spans="1:4" ht="15.75" customHeight="1" x14ac:dyDescent="0.35">
      <c r="A444" s="1"/>
      <c r="B444" s="1"/>
      <c r="C444" s="1"/>
      <c r="D444" s="1"/>
    </row>
    <row r="445" spans="1:4" ht="15.75" customHeight="1" x14ac:dyDescent="0.35">
      <c r="A445" s="1"/>
      <c r="B445" s="1"/>
      <c r="C445" s="1"/>
      <c r="D445" s="1"/>
    </row>
    <row r="446" spans="1:4" ht="15.75" customHeight="1" x14ac:dyDescent="0.35">
      <c r="A446" s="1"/>
      <c r="B446" s="1"/>
      <c r="C446" s="1"/>
      <c r="D446" s="1"/>
    </row>
    <row r="447" spans="1:4" ht="15.75" customHeight="1" x14ac:dyDescent="0.35">
      <c r="A447" s="1"/>
      <c r="B447" s="1"/>
      <c r="C447" s="1"/>
      <c r="D447" s="1"/>
    </row>
    <row r="448" spans="1:4" ht="15.75" customHeight="1" x14ac:dyDescent="0.35">
      <c r="A448" s="1"/>
      <c r="B448" s="1"/>
      <c r="C448" s="1"/>
      <c r="D448" s="1"/>
    </row>
    <row r="449" spans="1:4" ht="15.75" customHeight="1" x14ac:dyDescent="0.35">
      <c r="A449" s="1"/>
      <c r="B449" s="1"/>
      <c r="C449" s="1"/>
      <c r="D449" s="1"/>
    </row>
    <row r="450" spans="1:4" ht="15.75" customHeight="1" x14ac:dyDescent="0.35">
      <c r="A450" s="1"/>
      <c r="B450" s="1"/>
      <c r="C450" s="1"/>
      <c r="D450" s="1"/>
    </row>
    <row r="451" spans="1:4" ht="15.75" customHeight="1" x14ac:dyDescent="0.35">
      <c r="A451" s="1"/>
      <c r="B451" s="1"/>
      <c r="C451" s="1"/>
      <c r="D451" s="1"/>
    </row>
    <row r="452" spans="1:4" ht="15.75" customHeight="1" x14ac:dyDescent="0.35">
      <c r="A452" s="1"/>
      <c r="B452" s="1"/>
      <c r="C452" s="1"/>
      <c r="D452" s="1"/>
    </row>
    <row r="453" spans="1:4" ht="15.75" customHeight="1" x14ac:dyDescent="0.35">
      <c r="A453" s="1"/>
      <c r="B453" s="1"/>
      <c r="C453" s="1"/>
      <c r="D453" s="1"/>
    </row>
    <row r="454" spans="1:4" ht="15.75" customHeight="1" x14ac:dyDescent="0.35">
      <c r="A454" s="1"/>
      <c r="B454" s="1"/>
      <c r="C454" s="1"/>
      <c r="D454" s="1"/>
    </row>
    <row r="455" spans="1:4" ht="15.75" customHeight="1" x14ac:dyDescent="0.35">
      <c r="A455" s="1"/>
      <c r="B455" s="1"/>
      <c r="C455" s="1"/>
      <c r="D455" s="1"/>
    </row>
    <row r="456" spans="1:4" ht="15.75" customHeight="1" x14ac:dyDescent="0.35">
      <c r="A456" s="1"/>
      <c r="B456" s="1"/>
      <c r="C456" s="1"/>
      <c r="D456" s="1"/>
    </row>
    <row r="457" spans="1:4" ht="15.75" customHeight="1" x14ac:dyDescent="0.35">
      <c r="A457" s="1"/>
      <c r="B457" s="1"/>
      <c r="C457" s="1"/>
      <c r="D457" s="1"/>
    </row>
    <row r="458" spans="1:4" ht="15.75" customHeight="1" x14ac:dyDescent="0.35">
      <c r="A458" s="1"/>
      <c r="B458" s="1"/>
      <c r="C458" s="1"/>
      <c r="D458" s="1"/>
    </row>
    <row r="459" spans="1:4" ht="15.75" customHeight="1" x14ac:dyDescent="0.35">
      <c r="A459" s="1"/>
      <c r="B459" s="1"/>
      <c r="C459" s="1"/>
      <c r="D459" s="1"/>
    </row>
    <row r="460" spans="1:4" ht="15.75" customHeight="1" x14ac:dyDescent="0.35">
      <c r="A460" s="1"/>
      <c r="B460" s="1"/>
      <c r="C460" s="1"/>
      <c r="D460" s="1"/>
    </row>
    <row r="461" spans="1:4" ht="15.75" customHeight="1" x14ac:dyDescent="0.35">
      <c r="A461" s="1"/>
      <c r="B461" s="1"/>
      <c r="C461" s="1"/>
      <c r="D461" s="1"/>
    </row>
    <row r="462" spans="1:4" ht="15.75" customHeight="1" x14ac:dyDescent="0.35">
      <c r="A462" s="1"/>
      <c r="B462" s="1"/>
      <c r="C462" s="1"/>
      <c r="D462" s="1"/>
    </row>
    <row r="463" spans="1:4" ht="15.75" customHeight="1" x14ac:dyDescent="0.35">
      <c r="A463" s="1"/>
      <c r="B463" s="1"/>
      <c r="C463" s="1"/>
      <c r="D463" s="1"/>
    </row>
    <row r="464" spans="1:4" ht="15.75" customHeight="1" x14ac:dyDescent="0.35">
      <c r="A464" s="1"/>
      <c r="B464" s="1"/>
      <c r="C464" s="1"/>
      <c r="D464" s="1"/>
    </row>
    <row r="465" spans="1:4" ht="15.75" customHeight="1" x14ac:dyDescent="0.35">
      <c r="A465" s="1"/>
      <c r="B465" s="1"/>
      <c r="C465" s="1"/>
      <c r="D465" s="1"/>
    </row>
    <row r="466" spans="1:4" ht="15.75" customHeight="1" x14ac:dyDescent="0.35">
      <c r="A466" s="1"/>
      <c r="B466" s="1"/>
      <c r="C466" s="1"/>
      <c r="D466" s="1"/>
    </row>
    <row r="467" spans="1:4" ht="15.75" customHeight="1" x14ac:dyDescent="0.35">
      <c r="A467" s="1"/>
      <c r="B467" s="1"/>
      <c r="C467" s="1"/>
      <c r="D467" s="1"/>
    </row>
    <row r="468" spans="1:4" ht="15.75" customHeight="1" x14ac:dyDescent="0.35">
      <c r="A468" s="1"/>
      <c r="B468" s="1"/>
      <c r="C468" s="1"/>
      <c r="D468" s="1"/>
    </row>
    <row r="469" spans="1:4" ht="15.75" customHeight="1" x14ac:dyDescent="0.35">
      <c r="A469" s="1"/>
      <c r="B469" s="1"/>
      <c r="C469" s="1"/>
      <c r="D469" s="1"/>
    </row>
    <row r="470" spans="1:4" ht="15.75" customHeight="1" x14ac:dyDescent="0.35">
      <c r="A470" s="1"/>
      <c r="B470" s="1"/>
      <c r="C470" s="1"/>
      <c r="D470" s="1"/>
    </row>
    <row r="471" spans="1:4" ht="15.75" customHeight="1" x14ac:dyDescent="0.35">
      <c r="A471" s="1"/>
      <c r="B471" s="1"/>
      <c r="C471" s="1"/>
      <c r="D471" s="1"/>
    </row>
    <row r="472" spans="1:4" ht="15.75" customHeight="1" x14ac:dyDescent="0.35">
      <c r="A472" s="1"/>
      <c r="B472" s="1"/>
      <c r="C472" s="1"/>
      <c r="D472" s="1"/>
    </row>
    <row r="473" spans="1:4" ht="15.75" customHeight="1" x14ac:dyDescent="0.35">
      <c r="A473" s="1"/>
      <c r="B473" s="1"/>
      <c r="C473" s="1"/>
      <c r="D473" s="1"/>
    </row>
    <row r="474" spans="1:4" ht="15.75" customHeight="1" x14ac:dyDescent="0.35">
      <c r="A474" s="1"/>
      <c r="B474" s="1"/>
      <c r="C474" s="1"/>
      <c r="D474" s="1"/>
    </row>
    <row r="475" spans="1:4" ht="15.75" customHeight="1" x14ac:dyDescent="0.35">
      <c r="A475" s="1"/>
      <c r="B475" s="1"/>
      <c r="C475" s="1"/>
      <c r="D475" s="1"/>
    </row>
    <row r="476" spans="1:4" ht="15.75" customHeight="1" x14ac:dyDescent="0.35">
      <c r="A476" s="1"/>
      <c r="B476" s="1"/>
      <c r="C476" s="1"/>
      <c r="D476" s="1"/>
    </row>
    <row r="477" spans="1:4" ht="15.75" customHeight="1" x14ac:dyDescent="0.35">
      <c r="A477" s="1"/>
      <c r="B477" s="1"/>
      <c r="C477" s="1"/>
      <c r="D477" s="1"/>
    </row>
    <row r="478" spans="1:4" ht="15.75" customHeight="1" x14ac:dyDescent="0.35">
      <c r="A478" s="1"/>
      <c r="B478" s="1"/>
      <c r="C478" s="1"/>
      <c r="D478" s="1"/>
    </row>
    <row r="479" spans="1:4" ht="15.75" customHeight="1" x14ac:dyDescent="0.35">
      <c r="A479" s="1"/>
      <c r="B479" s="1"/>
      <c r="C479" s="1"/>
      <c r="D479" s="1"/>
    </row>
    <row r="480" spans="1:4" ht="15.75" customHeight="1" x14ac:dyDescent="0.35">
      <c r="A480" s="1"/>
      <c r="B480" s="1"/>
      <c r="C480" s="1"/>
      <c r="D480" s="1"/>
    </row>
    <row r="481" spans="1:4" ht="15.75" customHeight="1" x14ac:dyDescent="0.35">
      <c r="A481" s="1"/>
      <c r="B481" s="1"/>
      <c r="C481" s="1"/>
      <c r="D481" s="1"/>
    </row>
    <row r="482" spans="1:4" ht="15.75" customHeight="1" x14ac:dyDescent="0.35">
      <c r="A482" s="1"/>
      <c r="B482" s="1"/>
      <c r="C482" s="1"/>
      <c r="D482" s="1"/>
    </row>
    <row r="483" spans="1:4" ht="15.75" customHeight="1" x14ac:dyDescent="0.35">
      <c r="A483" s="1"/>
      <c r="B483" s="1"/>
      <c r="C483" s="1"/>
      <c r="D483" s="1"/>
    </row>
    <row r="484" spans="1:4" ht="15.75" customHeight="1" x14ac:dyDescent="0.35">
      <c r="A484" s="1"/>
      <c r="B484" s="1"/>
      <c r="C484" s="1"/>
      <c r="D484" s="1"/>
    </row>
    <row r="485" spans="1:4" ht="15.75" customHeight="1" x14ac:dyDescent="0.35">
      <c r="A485" s="1"/>
      <c r="B485" s="1"/>
      <c r="C485" s="1"/>
      <c r="D485" s="1"/>
    </row>
    <row r="486" spans="1:4" ht="15.75" customHeight="1" x14ac:dyDescent="0.35">
      <c r="A486" s="1"/>
      <c r="B486" s="1"/>
      <c r="C486" s="1"/>
      <c r="D486" s="1"/>
    </row>
    <row r="487" spans="1:4" ht="15.75" customHeight="1" x14ac:dyDescent="0.35">
      <c r="A487" s="1"/>
      <c r="B487" s="1"/>
      <c r="C487" s="1"/>
      <c r="D487" s="1"/>
    </row>
    <row r="488" spans="1:4" ht="15.75" customHeight="1" x14ac:dyDescent="0.35">
      <c r="A488" s="1"/>
      <c r="B488" s="1"/>
      <c r="C488" s="1"/>
      <c r="D488" s="1"/>
    </row>
    <row r="489" spans="1:4" ht="15.75" customHeight="1" x14ac:dyDescent="0.35">
      <c r="A489" s="1"/>
      <c r="B489" s="1"/>
      <c r="C489" s="1"/>
      <c r="D489" s="1"/>
    </row>
    <row r="490" spans="1:4" ht="15.75" customHeight="1" x14ac:dyDescent="0.35">
      <c r="A490" s="1"/>
      <c r="B490" s="1"/>
      <c r="C490" s="1"/>
      <c r="D490" s="1"/>
    </row>
    <row r="491" spans="1:4" ht="15.75" customHeight="1" x14ac:dyDescent="0.35">
      <c r="A491" s="1"/>
      <c r="B491" s="1"/>
      <c r="C491" s="1"/>
      <c r="D491" s="1"/>
    </row>
    <row r="492" spans="1:4" ht="15.75" customHeight="1" x14ac:dyDescent="0.35">
      <c r="A492" s="1"/>
      <c r="B492" s="1"/>
      <c r="C492" s="1"/>
      <c r="D492" s="1"/>
    </row>
    <row r="493" spans="1:4" ht="15.75" customHeight="1" x14ac:dyDescent="0.35">
      <c r="A493" s="1"/>
      <c r="B493" s="1"/>
      <c r="C493" s="1"/>
      <c r="D493" s="1"/>
    </row>
    <row r="494" spans="1:4" ht="15.75" customHeight="1" x14ac:dyDescent="0.35">
      <c r="A494" s="1"/>
      <c r="B494" s="1"/>
      <c r="C494" s="1"/>
      <c r="D494" s="1"/>
    </row>
    <row r="495" spans="1:4" ht="15.75" customHeight="1" x14ac:dyDescent="0.35">
      <c r="A495" s="1"/>
      <c r="B495" s="1"/>
      <c r="C495" s="1"/>
      <c r="D495" s="1"/>
    </row>
    <row r="496" spans="1:4" ht="15.75" customHeight="1" x14ac:dyDescent="0.35">
      <c r="A496" s="1"/>
      <c r="B496" s="1"/>
      <c r="C496" s="1"/>
      <c r="D496" s="1"/>
    </row>
    <row r="497" spans="1:4" ht="15.75" customHeight="1" x14ac:dyDescent="0.35">
      <c r="A497" s="1"/>
      <c r="B497" s="1"/>
      <c r="C497" s="1"/>
      <c r="D497" s="1"/>
    </row>
    <row r="498" spans="1:4" ht="15.75" customHeight="1" x14ac:dyDescent="0.35">
      <c r="A498" s="1"/>
      <c r="B498" s="1"/>
      <c r="C498" s="1"/>
      <c r="D498" s="1"/>
    </row>
    <row r="499" spans="1:4" ht="15.75" customHeight="1" x14ac:dyDescent="0.35">
      <c r="A499" s="1"/>
      <c r="B499" s="1"/>
      <c r="C499" s="1"/>
      <c r="D499" s="1"/>
    </row>
    <row r="500" spans="1:4" ht="15.75" customHeight="1" x14ac:dyDescent="0.35">
      <c r="A500" s="1"/>
      <c r="B500" s="1"/>
      <c r="C500" s="1"/>
      <c r="D500" s="1"/>
    </row>
    <row r="501" spans="1:4" ht="15.75" customHeight="1" x14ac:dyDescent="0.35">
      <c r="A501" s="1"/>
      <c r="B501" s="1"/>
      <c r="C501" s="1"/>
      <c r="D501" s="1"/>
    </row>
    <row r="502" spans="1:4" ht="15.75" customHeight="1" x14ac:dyDescent="0.35">
      <c r="A502" s="1"/>
      <c r="B502" s="1"/>
      <c r="C502" s="1"/>
      <c r="D502" s="1"/>
    </row>
    <row r="503" spans="1:4" ht="15.75" customHeight="1" x14ac:dyDescent="0.35">
      <c r="A503" s="1"/>
      <c r="B503" s="1"/>
      <c r="C503" s="1"/>
      <c r="D503" s="1"/>
    </row>
    <row r="504" spans="1:4" ht="15.75" customHeight="1" x14ac:dyDescent="0.35">
      <c r="A504" s="1"/>
      <c r="B504" s="1"/>
      <c r="C504" s="1"/>
      <c r="D504" s="1"/>
    </row>
    <row r="505" spans="1:4" ht="15.75" customHeight="1" x14ac:dyDescent="0.35">
      <c r="A505" s="1"/>
      <c r="B505" s="1"/>
      <c r="C505" s="1"/>
      <c r="D505" s="1"/>
    </row>
    <row r="506" spans="1:4" ht="15.75" customHeight="1" x14ac:dyDescent="0.35">
      <c r="A506" s="1"/>
      <c r="B506" s="1"/>
      <c r="C506" s="1"/>
      <c r="D506" s="1"/>
    </row>
    <row r="507" spans="1:4" ht="15.75" customHeight="1" x14ac:dyDescent="0.35">
      <c r="A507" s="1"/>
      <c r="B507" s="1"/>
      <c r="C507" s="1"/>
      <c r="D507" s="1"/>
    </row>
    <row r="508" spans="1:4" ht="15.75" customHeight="1" x14ac:dyDescent="0.35">
      <c r="A508" s="1"/>
      <c r="B508" s="1"/>
      <c r="C508" s="1"/>
      <c r="D508" s="1"/>
    </row>
    <row r="509" spans="1:4" ht="15.75" customHeight="1" x14ac:dyDescent="0.35">
      <c r="A509" s="1"/>
      <c r="B509" s="1"/>
      <c r="C509" s="1"/>
      <c r="D509" s="1"/>
    </row>
    <row r="510" spans="1:4" ht="15.75" customHeight="1" x14ac:dyDescent="0.35">
      <c r="A510" s="1"/>
      <c r="B510" s="1"/>
      <c r="C510" s="1"/>
      <c r="D510" s="1"/>
    </row>
    <row r="511" spans="1:4" ht="15.75" customHeight="1" x14ac:dyDescent="0.35">
      <c r="A511" s="1"/>
      <c r="B511" s="1"/>
      <c r="C511" s="1"/>
      <c r="D511" s="1"/>
    </row>
    <row r="512" spans="1:4" ht="15.75" customHeight="1" x14ac:dyDescent="0.35">
      <c r="A512" s="1"/>
      <c r="B512" s="1"/>
      <c r="C512" s="1"/>
      <c r="D512" s="1"/>
    </row>
    <row r="513" spans="1:4" ht="15.75" customHeight="1" x14ac:dyDescent="0.35">
      <c r="A513" s="1"/>
      <c r="B513" s="1"/>
      <c r="C513" s="1"/>
      <c r="D513" s="1"/>
    </row>
    <row r="514" spans="1:4" ht="15.75" customHeight="1" x14ac:dyDescent="0.35">
      <c r="A514" s="1"/>
      <c r="B514" s="1"/>
      <c r="C514" s="1"/>
      <c r="D514" s="1"/>
    </row>
    <row r="515" spans="1:4" ht="15.75" customHeight="1" x14ac:dyDescent="0.35">
      <c r="A515" s="1"/>
      <c r="B515" s="1"/>
      <c r="C515" s="1"/>
      <c r="D515" s="1"/>
    </row>
    <row r="516" spans="1:4" ht="15.75" customHeight="1" x14ac:dyDescent="0.35">
      <c r="A516" s="1"/>
      <c r="B516" s="1"/>
      <c r="C516" s="1"/>
      <c r="D516" s="1"/>
    </row>
    <row r="517" spans="1:4" ht="15.75" customHeight="1" x14ac:dyDescent="0.35">
      <c r="A517" s="1"/>
      <c r="B517" s="1"/>
      <c r="C517" s="1"/>
      <c r="D517" s="1"/>
    </row>
    <row r="518" spans="1:4" ht="15.75" customHeight="1" x14ac:dyDescent="0.35">
      <c r="A518" s="1"/>
      <c r="B518" s="1"/>
      <c r="C518" s="1"/>
      <c r="D518" s="1"/>
    </row>
    <row r="519" spans="1:4" ht="15.75" customHeight="1" x14ac:dyDescent="0.35">
      <c r="A519" s="1"/>
      <c r="B519" s="1"/>
      <c r="C519" s="1"/>
      <c r="D519" s="1"/>
    </row>
    <row r="520" spans="1:4" ht="15.75" customHeight="1" x14ac:dyDescent="0.35">
      <c r="A520" s="1"/>
      <c r="B520" s="1"/>
      <c r="C520" s="1"/>
      <c r="D520" s="1"/>
    </row>
    <row r="521" spans="1:4" ht="15.75" customHeight="1" x14ac:dyDescent="0.35">
      <c r="A521" s="1"/>
      <c r="B521" s="1"/>
      <c r="C521" s="1"/>
      <c r="D521" s="1"/>
    </row>
    <row r="522" spans="1:4" ht="15.75" customHeight="1" x14ac:dyDescent="0.35">
      <c r="A522" s="1"/>
      <c r="B522" s="1"/>
      <c r="C522" s="1"/>
      <c r="D522" s="1"/>
    </row>
    <row r="523" spans="1:4" ht="15.75" customHeight="1" x14ac:dyDescent="0.35">
      <c r="A523" s="1"/>
      <c r="B523" s="1"/>
      <c r="C523" s="1"/>
      <c r="D523" s="1"/>
    </row>
    <row r="524" spans="1:4" ht="15.75" customHeight="1" x14ac:dyDescent="0.35">
      <c r="A524" s="1"/>
      <c r="B524" s="1"/>
      <c r="C524" s="1"/>
      <c r="D524" s="1"/>
    </row>
    <row r="525" spans="1:4" ht="15.75" customHeight="1" x14ac:dyDescent="0.35">
      <c r="A525" s="1"/>
      <c r="B525" s="1"/>
      <c r="C525" s="1"/>
      <c r="D525" s="1"/>
    </row>
    <row r="526" spans="1:4" ht="15.75" customHeight="1" x14ac:dyDescent="0.35">
      <c r="A526" s="1"/>
      <c r="B526" s="1"/>
      <c r="C526" s="1"/>
      <c r="D526" s="1"/>
    </row>
    <row r="527" spans="1:4" ht="15.75" customHeight="1" x14ac:dyDescent="0.35">
      <c r="A527" s="1"/>
      <c r="B527" s="1"/>
      <c r="C527" s="1"/>
      <c r="D527" s="1"/>
    </row>
    <row r="528" spans="1:4" ht="15.75" customHeight="1" x14ac:dyDescent="0.35">
      <c r="A528" s="1"/>
      <c r="B528" s="1"/>
      <c r="C528" s="1"/>
      <c r="D528" s="1"/>
    </row>
    <row r="529" spans="1:4" ht="15.75" customHeight="1" x14ac:dyDescent="0.35">
      <c r="A529" s="1"/>
      <c r="B529" s="1"/>
      <c r="C529" s="1"/>
      <c r="D529" s="1"/>
    </row>
    <row r="530" spans="1:4" ht="15.75" customHeight="1" x14ac:dyDescent="0.35">
      <c r="A530" s="1"/>
      <c r="B530" s="1"/>
      <c r="C530" s="1"/>
      <c r="D530" s="1"/>
    </row>
    <row r="531" spans="1:4" ht="15.75" customHeight="1" x14ac:dyDescent="0.35">
      <c r="A531" s="1"/>
      <c r="B531" s="1"/>
      <c r="C531" s="1"/>
      <c r="D531" s="1"/>
    </row>
    <row r="532" spans="1:4" ht="15.75" customHeight="1" x14ac:dyDescent="0.35">
      <c r="A532" s="1"/>
      <c r="B532" s="1"/>
      <c r="C532" s="1"/>
      <c r="D532" s="1"/>
    </row>
    <row r="533" spans="1:4" ht="15.75" customHeight="1" x14ac:dyDescent="0.35">
      <c r="A533" s="1"/>
      <c r="B533" s="1"/>
      <c r="C533" s="1"/>
      <c r="D533" s="1"/>
    </row>
    <row r="534" spans="1:4" ht="15.75" customHeight="1" x14ac:dyDescent="0.35">
      <c r="A534" s="1"/>
      <c r="B534" s="1"/>
      <c r="C534" s="1"/>
      <c r="D534" s="1"/>
    </row>
    <row r="535" spans="1:4" ht="15.75" customHeight="1" x14ac:dyDescent="0.35">
      <c r="A535" s="1"/>
      <c r="B535" s="1"/>
      <c r="C535" s="1"/>
      <c r="D535" s="1"/>
    </row>
    <row r="536" spans="1:4" ht="15.75" customHeight="1" x14ac:dyDescent="0.35">
      <c r="A536" s="1"/>
      <c r="B536" s="1"/>
      <c r="C536" s="1"/>
      <c r="D536" s="1"/>
    </row>
    <row r="537" spans="1:4" ht="15.75" customHeight="1" x14ac:dyDescent="0.35">
      <c r="A537" s="1"/>
      <c r="B537" s="1"/>
      <c r="C537" s="1"/>
      <c r="D537" s="1"/>
    </row>
    <row r="538" spans="1:4" ht="15.75" customHeight="1" x14ac:dyDescent="0.35">
      <c r="A538" s="1"/>
      <c r="B538" s="1"/>
      <c r="C538" s="1"/>
      <c r="D538" s="1"/>
    </row>
    <row r="539" spans="1:4" ht="15.75" customHeight="1" x14ac:dyDescent="0.35">
      <c r="A539" s="1"/>
      <c r="B539" s="1"/>
      <c r="C539" s="1"/>
      <c r="D539" s="1"/>
    </row>
    <row r="540" spans="1:4" ht="15.75" customHeight="1" x14ac:dyDescent="0.35">
      <c r="A540" s="1"/>
      <c r="B540" s="1"/>
      <c r="C540" s="1"/>
      <c r="D540" s="1"/>
    </row>
    <row r="541" spans="1:4" ht="15.75" customHeight="1" x14ac:dyDescent="0.35">
      <c r="A541" s="1"/>
      <c r="B541" s="1"/>
      <c r="C541" s="1"/>
      <c r="D541" s="1"/>
    </row>
    <row r="542" spans="1:4" ht="15.75" customHeight="1" x14ac:dyDescent="0.35">
      <c r="A542" s="1"/>
      <c r="B542" s="1"/>
      <c r="C542" s="1"/>
      <c r="D542" s="1"/>
    </row>
    <row r="543" spans="1:4" ht="15.75" customHeight="1" x14ac:dyDescent="0.35">
      <c r="A543" s="1"/>
      <c r="B543" s="1"/>
      <c r="C543" s="1"/>
      <c r="D543" s="1"/>
    </row>
    <row r="544" spans="1:4" ht="15.75" customHeight="1" x14ac:dyDescent="0.35">
      <c r="A544" s="1"/>
      <c r="B544" s="1"/>
      <c r="C544" s="1"/>
      <c r="D544" s="1"/>
    </row>
    <row r="545" spans="1:4" ht="15.75" customHeight="1" x14ac:dyDescent="0.35">
      <c r="A545" s="1"/>
      <c r="B545" s="1"/>
      <c r="C545" s="1"/>
      <c r="D545" s="1"/>
    </row>
    <row r="546" spans="1:4" ht="15.75" customHeight="1" x14ac:dyDescent="0.35">
      <c r="A546" s="1"/>
      <c r="B546" s="1"/>
      <c r="C546" s="1"/>
      <c r="D546" s="1"/>
    </row>
    <row r="547" spans="1:4" ht="15.75" customHeight="1" x14ac:dyDescent="0.35">
      <c r="A547" s="1"/>
      <c r="B547" s="1"/>
      <c r="C547" s="1"/>
      <c r="D547" s="1"/>
    </row>
    <row r="548" spans="1:4" ht="15.75" customHeight="1" x14ac:dyDescent="0.35">
      <c r="A548" s="1"/>
      <c r="B548" s="1"/>
      <c r="C548" s="1"/>
      <c r="D548" s="1"/>
    </row>
    <row r="549" spans="1:4" ht="15.75" customHeight="1" x14ac:dyDescent="0.35">
      <c r="A549" s="1"/>
      <c r="B549" s="1"/>
      <c r="C549" s="1"/>
      <c r="D549" s="1"/>
    </row>
    <row r="550" spans="1:4" ht="15.75" customHeight="1" x14ac:dyDescent="0.35">
      <c r="A550" s="1"/>
      <c r="B550" s="1"/>
      <c r="C550" s="1"/>
      <c r="D550" s="1"/>
    </row>
    <row r="551" spans="1:4" ht="15.75" customHeight="1" x14ac:dyDescent="0.35">
      <c r="A551" s="1"/>
      <c r="B551" s="1"/>
      <c r="C551" s="1"/>
      <c r="D551" s="1"/>
    </row>
    <row r="552" spans="1:4" ht="15.75" customHeight="1" x14ac:dyDescent="0.35">
      <c r="A552" s="1"/>
      <c r="B552" s="1"/>
      <c r="C552" s="1"/>
      <c r="D552" s="1"/>
    </row>
    <row r="553" spans="1:4" ht="15.75" customHeight="1" x14ac:dyDescent="0.35">
      <c r="A553" s="1"/>
      <c r="B553" s="1"/>
      <c r="C553" s="1"/>
      <c r="D553" s="1"/>
    </row>
    <row r="554" spans="1:4" ht="15.75" customHeight="1" x14ac:dyDescent="0.35">
      <c r="A554" s="1"/>
      <c r="B554" s="1"/>
      <c r="C554" s="1"/>
      <c r="D554" s="1"/>
    </row>
    <row r="555" spans="1:4" ht="15.75" customHeight="1" x14ac:dyDescent="0.35">
      <c r="A555" s="1"/>
      <c r="B555" s="1"/>
      <c r="C555" s="1"/>
      <c r="D555" s="1"/>
    </row>
    <row r="556" spans="1:4" ht="15.75" customHeight="1" x14ac:dyDescent="0.35">
      <c r="A556" s="1"/>
      <c r="B556" s="1"/>
      <c r="C556" s="1"/>
      <c r="D556" s="1"/>
    </row>
    <row r="557" spans="1:4" ht="15.75" customHeight="1" x14ac:dyDescent="0.35">
      <c r="A557" s="1"/>
      <c r="B557" s="1"/>
      <c r="C557" s="1"/>
      <c r="D557" s="1"/>
    </row>
    <row r="558" spans="1:4" ht="15.75" customHeight="1" x14ac:dyDescent="0.35">
      <c r="A558" s="1"/>
      <c r="B558" s="1"/>
      <c r="C558" s="1"/>
      <c r="D558" s="1"/>
    </row>
    <row r="559" spans="1:4" ht="15.75" customHeight="1" x14ac:dyDescent="0.35">
      <c r="A559" s="1"/>
      <c r="B559" s="1"/>
      <c r="C559" s="1"/>
      <c r="D559" s="1"/>
    </row>
    <row r="560" spans="1:4" ht="15.75" customHeight="1" x14ac:dyDescent="0.35">
      <c r="A560" s="1"/>
      <c r="B560" s="1"/>
      <c r="C560" s="1"/>
      <c r="D560" s="1"/>
    </row>
    <row r="561" spans="1:4" ht="15.75" customHeight="1" x14ac:dyDescent="0.35">
      <c r="A561" s="1"/>
      <c r="B561" s="1"/>
      <c r="C561" s="1"/>
      <c r="D561" s="1"/>
    </row>
    <row r="562" spans="1:4" ht="15.75" customHeight="1" x14ac:dyDescent="0.35">
      <c r="A562" s="1"/>
      <c r="B562" s="1"/>
      <c r="C562" s="1"/>
      <c r="D562" s="1"/>
    </row>
    <row r="563" spans="1:4" ht="15.75" customHeight="1" x14ac:dyDescent="0.35">
      <c r="A563" s="1"/>
      <c r="B563" s="1"/>
      <c r="C563" s="1"/>
      <c r="D563" s="1"/>
    </row>
    <row r="564" spans="1:4" ht="15.75" customHeight="1" x14ac:dyDescent="0.35">
      <c r="A564" s="1"/>
      <c r="B564" s="1"/>
      <c r="C564" s="1"/>
      <c r="D564" s="1"/>
    </row>
    <row r="565" spans="1:4" ht="15.75" customHeight="1" x14ac:dyDescent="0.35">
      <c r="A565" s="1"/>
      <c r="B565" s="1"/>
      <c r="C565" s="1"/>
      <c r="D565" s="1"/>
    </row>
    <row r="566" spans="1:4" ht="15.75" customHeight="1" x14ac:dyDescent="0.35">
      <c r="A566" s="1"/>
      <c r="B566" s="1"/>
      <c r="C566" s="1"/>
      <c r="D566" s="1"/>
    </row>
    <row r="567" spans="1:4" ht="15.75" customHeight="1" x14ac:dyDescent="0.35">
      <c r="A567" s="1"/>
      <c r="B567" s="1"/>
      <c r="C567" s="1"/>
      <c r="D567" s="1"/>
    </row>
    <row r="568" spans="1:4" ht="15.75" customHeight="1" x14ac:dyDescent="0.35">
      <c r="A568" s="1"/>
      <c r="B568" s="1"/>
      <c r="C568" s="1"/>
      <c r="D568" s="1"/>
    </row>
    <row r="569" spans="1:4" ht="15.75" customHeight="1" x14ac:dyDescent="0.35">
      <c r="A569" s="1"/>
      <c r="B569" s="1"/>
      <c r="C569" s="1"/>
      <c r="D569" s="1"/>
    </row>
    <row r="570" spans="1:4" ht="15.75" customHeight="1" x14ac:dyDescent="0.35">
      <c r="A570" s="1"/>
      <c r="B570" s="1"/>
      <c r="C570" s="1"/>
      <c r="D570" s="1"/>
    </row>
    <row r="571" spans="1:4" ht="15.75" customHeight="1" x14ac:dyDescent="0.35">
      <c r="A571" s="1"/>
      <c r="B571" s="1"/>
      <c r="C571" s="1"/>
      <c r="D571" s="1"/>
    </row>
    <row r="572" spans="1:4" ht="15.75" customHeight="1" x14ac:dyDescent="0.35">
      <c r="A572" s="1"/>
      <c r="B572" s="1"/>
      <c r="C572" s="1"/>
      <c r="D572" s="1"/>
    </row>
    <row r="573" spans="1:4" ht="15.75" customHeight="1" x14ac:dyDescent="0.35">
      <c r="A573" s="1"/>
      <c r="B573" s="1"/>
      <c r="C573" s="1"/>
      <c r="D573" s="1"/>
    </row>
    <row r="574" spans="1:4" ht="15.75" customHeight="1" x14ac:dyDescent="0.35">
      <c r="A574" s="1"/>
      <c r="B574" s="1"/>
      <c r="C574" s="1"/>
      <c r="D574" s="1"/>
    </row>
    <row r="575" spans="1:4" ht="15.75" customHeight="1" x14ac:dyDescent="0.35">
      <c r="A575" s="1"/>
      <c r="B575" s="1"/>
      <c r="C575" s="1"/>
      <c r="D575" s="1"/>
    </row>
    <row r="576" spans="1:4" ht="15.75" customHeight="1" x14ac:dyDescent="0.35">
      <c r="A576" s="1"/>
      <c r="B576" s="1"/>
      <c r="C576" s="1"/>
      <c r="D576" s="1"/>
    </row>
    <row r="577" spans="1:4" ht="15.75" customHeight="1" x14ac:dyDescent="0.35">
      <c r="A577" s="1"/>
      <c r="B577" s="1"/>
      <c r="C577" s="1"/>
      <c r="D577" s="1"/>
    </row>
    <row r="578" spans="1:4" ht="15.75" customHeight="1" x14ac:dyDescent="0.35">
      <c r="A578" s="1"/>
      <c r="B578" s="1"/>
      <c r="C578" s="1"/>
      <c r="D578" s="1"/>
    </row>
    <row r="579" spans="1:4" ht="15.75" customHeight="1" x14ac:dyDescent="0.35">
      <c r="A579" s="1"/>
      <c r="B579" s="1"/>
      <c r="C579" s="1"/>
      <c r="D579" s="1"/>
    </row>
    <row r="580" spans="1:4" ht="15.75" customHeight="1" x14ac:dyDescent="0.35">
      <c r="A580" s="1"/>
      <c r="B580" s="1"/>
      <c r="C580" s="1"/>
      <c r="D580" s="1"/>
    </row>
    <row r="581" spans="1:4" ht="15.75" customHeight="1" x14ac:dyDescent="0.35">
      <c r="A581" s="1"/>
      <c r="B581" s="1"/>
      <c r="C581" s="1"/>
      <c r="D581" s="1"/>
    </row>
    <row r="582" spans="1:4" ht="15.75" customHeight="1" x14ac:dyDescent="0.35">
      <c r="A582" s="1"/>
      <c r="B582" s="1"/>
      <c r="C582" s="1"/>
      <c r="D582" s="1"/>
    </row>
    <row r="583" spans="1:4" ht="15.75" customHeight="1" x14ac:dyDescent="0.35">
      <c r="A583" s="1"/>
      <c r="B583" s="1"/>
      <c r="C583" s="1"/>
      <c r="D583" s="1"/>
    </row>
    <row r="584" spans="1:4" ht="15.75" customHeight="1" x14ac:dyDescent="0.35">
      <c r="A584" s="1"/>
      <c r="B584" s="1"/>
      <c r="C584" s="1"/>
      <c r="D584" s="1"/>
    </row>
    <row r="585" spans="1:4" ht="15.75" customHeight="1" x14ac:dyDescent="0.35">
      <c r="A585" s="1"/>
      <c r="B585" s="1"/>
      <c r="C585" s="1"/>
      <c r="D585" s="1"/>
    </row>
    <row r="586" spans="1:4" ht="15.75" customHeight="1" x14ac:dyDescent="0.35">
      <c r="A586" s="1"/>
      <c r="B586" s="1"/>
      <c r="C586" s="1"/>
      <c r="D586" s="1"/>
    </row>
    <row r="587" spans="1:4" ht="15.75" customHeight="1" x14ac:dyDescent="0.35">
      <c r="A587" s="1"/>
      <c r="B587" s="1"/>
      <c r="C587" s="1"/>
      <c r="D587" s="1"/>
    </row>
    <row r="588" spans="1:4" ht="15.75" customHeight="1" x14ac:dyDescent="0.35">
      <c r="A588" s="1"/>
      <c r="B588" s="1"/>
      <c r="C588" s="1"/>
      <c r="D588" s="1"/>
    </row>
    <row r="589" spans="1:4" ht="15.75" customHeight="1" x14ac:dyDescent="0.35">
      <c r="A589" s="1"/>
      <c r="B589" s="1"/>
      <c r="C589" s="1"/>
      <c r="D589" s="1"/>
    </row>
    <row r="590" spans="1:4" ht="15.75" customHeight="1" x14ac:dyDescent="0.35">
      <c r="A590" s="1"/>
      <c r="B590" s="1"/>
      <c r="C590" s="1"/>
      <c r="D590" s="1"/>
    </row>
    <row r="591" spans="1:4" ht="15.75" customHeight="1" x14ac:dyDescent="0.35">
      <c r="A591" s="1"/>
      <c r="B591" s="1"/>
      <c r="C591" s="1"/>
      <c r="D591" s="1"/>
    </row>
    <row r="592" spans="1:4" ht="15.75" customHeight="1" x14ac:dyDescent="0.35">
      <c r="A592" s="1"/>
      <c r="B592" s="1"/>
      <c r="C592" s="1"/>
      <c r="D592" s="1"/>
    </row>
    <row r="593" spans="1:4" ht="15.75" customHeight="1" x14ac:dyDescent="0.35">
      <c r="A593" s="1"/>
      <c r="B593" s="1"/>
      <c r="C593" s="1"/>
      <c r="D593" s="1"/>
    </row>
    <row r="594" spans="1:4" ht="15.75" customHeight="1" x14ac:dyDescent="0.35">
      <c r="A594" s="1"/>
      <c r="B594" s="1"/>
      <c r="C594" s="1"/>
      <c r="D594" s="1"/>
    </row>
    <row r="595" spans="1:4" ht="15.75" customHeight="1" x14ac:dyDescent="0.35">
      <c r="A595" s="1"/>
      <c r="B595" s="1"/>
      <c r="C595" s="1"/>
      <c r="D595" s="1"/>
    </row>
    <row r="596" spans="1:4" ht="15.75" customHeight="1" x14ac:dyDescent="0.35">
      <c r="A596" s="1"/>
      <c r="B596" s="1"/>
      <c r="C596" s="1"/>
      <c r="D596" s="1"/>
    </row>
    <row r="597" spans="1:4" ht="15.75" customHeight="1" x14ac:dyDescent="0.35">
      <c r="A597" s="1"/>
      <c r="B597" s="1"/>
      <c r="C597" s="1"/>
      <c r="D597" s="1"/>
    </row>
    <row r="598" spans="1:4" ht="15.75" customHeight="1" x14ac:dyDescent="0.35">
      <c r="A598" s="1"/>
      <c r="B598" s="1"/>
      <c r="C598" s="1"/>
      <c r="D598" s="1"/>
    </row>
    <row r="599" spans="1:4" ht="15.75" customHeight="1" x14ac:dyDescent="0.35">
      <c r="A599" s="1"/>
      <c r="B599" s="1"/>
      <c r="C599" s="1"/>
      <c r="D599" s="1"/>
    </row>
    <row r="600" spans="1:4" ht="15.75" customHeight="1" x14ac:dyDescent="0.35">
      <c r="A600" s="1"/>
      <c r="B600" s="1"/>
      <c r="C600" s="1"/>
      <c r="D600" s="1"/>
    </row>
    <row r="601" spans="1:4" ht="15.75" customHeight="1" x14ac:dyDescent="0.35">
      <c r="A601" s="1"/>
      <c r="B601" s="1"/>
      <c r="C601" s="1"/>
      <c r="D601" s="1"/>
    </row>
    <row r="602" spans="1:4" ht="15.75" customHeight="1" x14ac:dyDescent="0.35">
      <c r="A602" s="1"/>
      <c r="B602" s="1"/>
      <c r="C602" s="1"/>
      <c r="D602" s="1"/>
    </row>
    <row r="603" spans="1:4" ht="15.75" customHeight="1" x14ac:dyDescent="0.35">
      <c r="A603" s="1"/>
      <c r="B603" s="1"/>
      <c r="C603" s="1"/>
      <c r="D603" s="1"/>
    </row>
    <row r="604" spans="1:4" ht="15.75" customHeight="1" x14ac:dyDescent="0.35">
      <c r="A604" s="1"/>
      <c r="B604" s="1"/>
      <c r="C604" s="1"/>
      <c r="D604" s="1"/>
    </row>
    <row r="605" spans="1:4" ht="15.75" customHeight="1" x14ac:dyDescent="0.35">
      <c r="A605" s="1"/>
      <c r="B605" s="1"/>
      <c r="C605" s="1"/>
      <c r="D605" s="1"/>
    </row>
    <row r="606" spans="1:4" ht="15.75" customHeight="1" x14ac:dyDescent="0.35">
      <c r="A606" s="1"/>
      <c r="B606" s="1"/>
      <c r="C606" s="1"/>
      <c r="D606" s="1"/>
    </row>
    <row r="607" spans="1:4" ht="15.75" customHeight="1" x14ac:dyDescent="0.35">
      <c r="A607" s="1"/>
      <c r="B607" s="1"/>
      <c r="C607" s="1"/>
      <c r="D607" s="1"/>
    </row>
    <row r="608" spans="1:4" ht="15.75" customHeight="1" x14ac:dyDescent="0.35">
      <c r="A608" s="1"/>
      <c r="B608" s="1"/>
      <c r="C608" s="1"/>
      <c r="D608" s="1"/>
    </row>
    <row r="609" spans="1:4" ht="15.75" customHeight="1" x14ac:dyDescent="0.35">
      <c r="A609" s="1"/>
      <c r="B609" s="1"/>
      <c r="C609" s="1"/>
      <c r="D609" s="1"/>
    </row>
    <row r="610" spans="1:4" ht="15.75" customHeight="1" x14ac:dyDescent="0.35">
      <c r="A610" s="1"/>
      <c r="B610" s="1"/>
      <c r="C610" s="1"/>
      <c r="D610" s="1"/>
    </row>
    <row r="611" spans="1:4" ht="15.75" customHeight="1" x14ac:dyDescent="0.35">
      <c r="A611" s="1"/>
      <c r="B611" s="1"/>
      <c r="C611" s="1"/>
      <c r="D611" s="1"/>
    </row>
    <row r="612" spans="1:4" ht="15.75" customHeight="1" x14ac:dyDescent="0.35">
      <c r="A612" s="1"/>
      <c r="B612" s="1"/>
      <c r="C612" s="1"/>
      <c r="D612" s="1"/>
    </row>
    <row r="613" spans="1:4" ht="15.75" customHeight="1" x14ac:dyDescent="0.35">
      <c r="A613" s="1"/>
      <c r="B613" s="1"/>
      <c r="C613" s="1"/>
      <c r="D613" s="1"/>
    </row>
    <row r="614" spans="1:4" ht="15.75" customHeight="1" x14ac:dyDescent="0.35">
      <c r="A614" s="1"/>
      <c r="B614" s="1"/>
      <c r="C614" s="1"/>
      <c r="D614" s="1"/>
    </row>
    <row r="615" spans="1:4" ht="15.75" customHeight="1" x14ac:dyDescent="0.35">
      <c r="A615" s="1"/>
      <c r="B615" s="1"/>
      <c r="C615" s="1"/>
      <c r="D615" s="1"/>
    </row>
    <row r="616" spans="1:4" ht="15.75" customHeight="1" x14ac:dyDescent="0.35">
      <c r="A616" s="1"/>
      <c r="B616" s="1"/>
      <c r="C616" s="1"/>
      <c r="D616" s="1"/>
    </row>
    <row r="617" spans="1:4" ht="15.75" customHeight="1" x14ac:dyDescent="0.35">
      <c r="A617" s="1"/>
      <c r="B617" s="1"/>
      <c r="C617" s="1"/>
      <c r="D617" s="1"/>
    </row>
    <row r="618" spans="1:4" ht="15.75" customHeight="1" x14ac:dyDescent="0.35">
      <c r="A618" s="1"/>
      <c r="B618" s="1"/>
      <c r="C618" s="1"/>
      <c r="D618" s="1"/>
    </row>
    <row r="619" spans="1:4" ht="15.75" customHeight="1" x14ac:dyDescent="0.35">
      <c r="A619" s="1"/>
      <c r="B619" s="1"/>
      <c r="C619" s="1"/>
      <c r="D619" s="1"/>
    </row>
    <row r="620" spans="1:4" ht="15.75" customHeight="1" x14ac:dyDescent="0.35">
      <c r="A620" s="1"/>
      <c r="B620" s="1"/>
      <c r="C620" s="1"/>
      <c r="D620" s="1"/>
    </row>
    <row r="621" spans="1:4" ht="15.75" customHeight="1" x14ac:dyDescent="0.35">
      <c r="A621" s="1"/>
      <c r="B621" s="1"/>
      <c r="C621" s="1"/>
      <c r="D621" s="1"/>
    </row>
    <row r="622" spans="1:4" ht="15.75" customHeight="1" x14ac:dyDescent="0.35">
      <c r="A622" s="1"/>
      <c r="B622" s="1"/>
      <c r="C622" s="1"/>
      <c r="D622" s="1"/>
    </row>
    <row r="623" spans="1:4" ht="15.75" customHeight="1" x14ac:dyDescent="0.35">
      <c r="A623" s="1"/>
      <c r="B623" s="1"/>
      <c r="C623" s="1"/>
      <c r="D623" s="1"/>
    </row>
    <row r="624" spans="1:4" ht="15.75" customHeight="1" x14ac:dyDescent="0.35">
      <c r="A624" s="1"/>
      <c r="B624" s="1"/>
      <c r="C624" s="1"/>
      <c r="D624" s="1"/>
    </row>
    <row r="625" spans="1:4" ht="15.75" customHeight="1" x14ac:dyDescent="0.35">
      <c r="A625" s="1"/>
      <c r="B625" s="1"/>
      <c r="C625" s="1"/>
      <c r="D625" s="1"/>
    </row>
    <row r="626" spans="1:4" ht="15.75" customHeight="1" x14ac:dyDescent="0.35">
      <c r="A626" s="1"/>
      <c r="B626" s="1"/>
      <c r="C626" s="1"/>
      <c r="D626" s="1"/>
    </row>
    <row r="627" spans="1:4" ht="15.75" customHeight="1" x14ac:dyDescent="0.35">
      <c r="A627" s="1"/>
      <c r="B627" s="1"/>
      <c r="C627" s="1"/>
      <c r="D627" s="1"/>
    </row>
    <row r="628" spans="1:4" ht="15.75" customHeight="1" x14ac:dyDescent="0.35">
      <c r="A628" s="1"/>
      <c r="B628" s="1"/>
      <c r="C628" s="1"/>
      <c r="D628" s="1"/>
    </row>
    <row r="629" spans="1:4" ht="15.75" customHeight="1" x14ac:dyDescent="0.35">
      <c r="A629" s="1"/>
      <c r="B629" s="1"/>
      <c r="C629" s="1"/>
      <c r="D629" s="1"/>
    </row>
    <row r="630" spans="1:4" ht="15.75" customHeight="1" x14ac:dyDescent="0.35">
      <c r="A630" s="1"/>
      <c r="B630" s="1"/>
      <c r="C630" s="1"/>
      <c r="D630" s="1"/>
    </row>
    <row r="631" spans="1:4" ht="15.75" customHeight="1" x14ac:dyDescent="0.35">
      <c r="A631" s="1"/>
      <c r="B631" s="1"/>
      <c r="C631" s="1"/>
      <c r="D631" s="1"/>
    </row>
    <row r="632" spans="1:4" ht="15.75" customHeight="1" x14ac:dyDescent="0.35">
      <c r="A632" s="1"/>
      <c r="B632" s="1"/>
      <c r="C632" s="1"/>
      <c r="D632" s="1"/>
    </row>
    <row r="633" spans="1:4" ht="15.75" customHeight="1" x14ac:dyDescent="0.35">
      <c r="A633" s="1"/>
      <c r="B633" s="1"/>
      <c r="C633" s="1"/>
      <c r="D633" s="1"/>
    </row>
    <row r="634" spans="1:4" ht="15.75" customHeight="1" x14ac:dyDescent="0.35">
      <c r="A634" s="1"/>
      <c r="B634" s="1"/>
      <c r="C634" s="1"/>
      <c r="D634" s="1"/>
    </row>
    <row r="635" spans="1:4" ht="15.75" customHeight="1" x14ac:dyDescent="0.35">
      <c r="A635" s="1"/>
      <c r="B635" s="1"/>
      <c r="C635" s="1"/>
      <c r="D635" s="1"/>
    </row>
    <row r="636" spans="1:4" ht="15.75" customHeight="1" x14ac:dyDescent="0.35">
      <c r="A636" s="1"/>
      <c r="B636" s="1"/>
      <c r="C636" s="1"/>
      <c r="D636" s="1"/>
    </row>
    <row r="637" spans="1:4" ht="15.75" customHeight="1" x14ac:dyDescent="0.35">
      <c r="A637" s="1"/>
      <c r="B637" s="1"/>
      <c r="C637" s="1"/>
      <c r="D637" s="1"/>
    </row>
    <row r="638" spans="1:4" ht="15.75" customHeight="1" x14ac:dyDescent="0.35">
      <c r="A638" s="1"/>
      <c r="B638" s="1"/>
      <c r="C638" s="1"/>
      <c r="D638" s="1"/>
    </row>
    <row r="639" spans="1:4" ht="15.75" customHeight="1" x14ac:dyDescent="0.35">
      <c r="A639" s="1"/>
      <c r="B639" s="1"/>
      <c r="C639" s="1"/>
      <c r="D639" s="1"/>
    </row>
    <row r="640" spans="1:4" ht="15.75" customHeight="1" x14ac:dyDescent="0.35">
      <c r="A640" s="1"/>
      <c r="B640" s="1"/>
      <c r="C640" s="1"/>
      <c r="D640" s="1"/>
    </row>
    <row r="641" spans="1:4" ht="15.75" customHeight="1" x14ac:dyDescent="0.35">
      <c r="A641" s="1"/>
      <c r="B641" s="1"/>
      <c r="C641" s="1"/>
      <c r="D641" s="1"/>
    </row>
    <row r="642" spans="1:4" ht="15.75" customHeight="1" x14ac:dyDescent="0.35">
      <c r="A642" s="1"/>
      <c r="B642" s="1"/>
      <c r="C642" s="1"/>
      <c r="D642" s="1"/>
    </row>
    <row r="643" spans="1:4" ht="15.75" customHeight="1" x14ac:dyDescent="0.35">
      <c r="A643" s="1"/>
      <c r="B643" s="1"/>
      <c r="C643" s="1"/>
      <c r="D643" s="1"/>
    </row>
    <row r="644" spans="1:4" ht="15.75" customHeight="1" x14ac:dyDescent="0.35">
      <c r="A644" s="1"/>
      <c r="B644" s="1"/>
      <c r="C644" s="1"/>
      <c r="D644" s="1"/>
    </row>
    <row r="645" spans="1:4" ht="15.75" customHeight="1" x14ac:dyDescent="0.35">
      <c r="A645" s="1"/>
      <c r="B645" s="1"/>
      <c r="C645" s="1"/>
      <c r="D645" s="1"/>
    </row>
    <row r="646" spans="1:4" ht="15.75" customHeight="1" x14ac:dyDescent="0.35">
      <c r="A646" s="1"/>
      <c r="B646" s="1"/>
      <c r="C646" s="1"/>
      <c r="D646" s="1"/>
    </row>
    <row r="647" spans="1:4" ht="15.75" customHeight="1" x14ac:dyDescent="0.35">
      <c r="A647" s="1"/>
      <c r="B647" s="1"/>
      <c r="C647" s="1"/>
      <c r="D647" s="1"/>
    </row>
    <row r="648" spans="1:4" ht="15.75" customHeight="1" x14ac:dyDescent="0.35">
      <c r="A648" s="1"/>
      <c r="B648" s="1"/>
      <c r="C648" s="1"/>
      <c r="D648" s="1"/>
    </row>
    <row r="649" spans="1:4" ht="15.75" customHeight="1" x14ac:dyDescent="0.35">
      <c r="A649" s="1"/>
      <c r="B649" s="1"/>
      <c r="C649" s="1"/>
      <c r="D649" s="1"/>
    </row>
    <row r="650" spans="1:4" ht="15.75" customHeight="1" x14ac:dyDescent="0.35">
      <c r="A650" s="1"/>
      <c r="B650" s="1"/>
      <c r="C650" s="1"/>
      <c r="D650" s="1"/>
    </row>
    <row r="651" spans="1:4" ht="15.75" customHeight="1" x14ac:dyDescent="0.35">
      <c r="A651" s="1"/>
      <c r="B651" s="1"/>
      <c r="C651" s="1"/>
      <c r="D651" s="1"/>
    </row>
    <row r="652" spans="1:4" ht="15.75" customHeight="1" x14ac:dyDescent="0.35">
      <c r="A652" s="1"/>
      <c r="B652" s="1"/>
      <c r="C652" s="1"/>
      <c r="D652" s="1"/>
    </row>
    <row r="653" spans="1:4" ht="15.75" customHeight="1" x14ac:dyDescent="0.35">
      <c r="A653" s="1"/>
      <c r="B653" s="1"/>
      <c r="C653" s="1"/>
      <c r="D653" s="1"/>
    </row>
    <row r="654" spans="1:4" ht="15.75" customHeight="1" x14ac:dyDescent="0.35">
      <c r="A654" s="1"/>
      <c r="B654" s="1"/>
      <c r="C654" s="1"/>
      <c r="D654" s="1"/>
    </row>
    <row r="655" spans="1:4" ht="15.75" customHeight="1" x14ac:dyDescent="0.35">
      <c r="A655" s="1"/>
      <c r="B655" s="1"/>
      <c r="C655" s="1"/>
      <c r="D655" s="1"/>
    </row>
    <row r="656" spans="1:4" ht="15.75" customHeight="1" x14ac:dyDescent="0.35">
      <c r="A656" s="1"/>
      <c r="B656" s="1"/>
      <c r="C656" s="1"/>
      <c r="D656" s="1"/>
    </row>
    <row r="657" spans="1:4" ht="15.75" customHeight="1" x14ac:dyDescent="0.35">
      <c r="A657" s="1"/>
      <c r="B657" s="1"/>
      <c r="C657" s="1"/>
      <c r="D657" s="1"/>
    </row>
    <row r="658" spans="1:4" ht="15.75" customHeight="1" x14ac:dyDescent="0.35">
      <c r="A658" s="1"/>
      <c r="B658" s="1"/>
      <c r="C658" s="1"/>
      <c r="D658" s="1"/>
    </row>
    <row r="659" spans="1:4" ht="15.75" customHeight="1" x14ac:dyDescent="0.35">
      <c r="A659" s="1"/>
      <c r="B659" s="1"/>
      <c r="C659" s="1"/>
      <c r="D659" s="1"/>
    </row>
    <row r="660" spans="1:4" ht="15.75" customHeight="1" x14ac:dyDescent="0.35">
      <c r="A660" s="1"/>
      <c r="B660" s="1"/>
      <c r="C660" s="1"/>
      <c r="D660" s="1"/>
    </row>
    <row r="661" spans="1:4" ht="15.75" customHeight="1" x14ac:dyDescent="0.35">
      <c r="A661" s="1"/>
      <c r="B661" s="1"/>
      <c r="C661" s="1"/>
      <c r="D661" s="1"/>
    </row>
    <row r="662" spans="1:4" ht="15.75" customHeight="1" x14ac:dyDescent="0.35">
      <c r="A662" s="1"/>
      <c r="B662" s="1"/>
      <c r="C662" s="1"/>
      <c r="D662" s="1"/>
    </row>
    <row r="663" spans="1:4" ht="15.75" customHeight="1" x14ac:dyDescent="0.35">
      <c r="A663" s="1"/>
      <c r="B663" s="1"/>
      <c r="C663" s="1"/>
      <c r="D663" s="1"/>
    </row>
    <row r="664" spans="1:4" ht="15.75" customHeight="1" x14ac:dyDescent="0.35">
      <c r="A664" s="1"/>
      <c r="B664" s="1"/>
      <c r="C664" s="1"/>
      <c r="D664" s="1"/>
    </row>
    <row r="665" spans="1:4" ht="15.75" customHeight="1" x14ac:dyDescent="0.35">
      <c r="A665" s="1"/>
      <c r="B665" s="1"/>
      <c r="C665" s="1"/>
      <c r="D665" s="1"/>
    </row>
    <row r="666" spans="1:4" ht="15.75" customHeight="1" x14ac:dyDescent="0.35">
      <c r="A666" s="1"/>
      <c r="B666" s="1"/>
      <c r="C666" s="1"/>
      <c r="D666" s="1"/>
    </row>
    <row r="667" spans="1:4" ht="15.75" customHeight="1" x14ac:dyDescent="0.35">
      <c r="A667" s="1"/>
      <c r="B667" s="1"/>
      <c r="C667" s="1"/>
      <c r="D667" s="1"/>
    </row>
    <row r="668" spans="1:4" ht="15.75" customHeight="1" x14ac:dyDescent="0.35">
      <c r="A668" s="1"/>
      <c r="B668" s="1"/>
      <c r="C668" s="1"/>
      <c r="D668" s="1"/>
    </row>
    <row r="669" spans="1:4" ht="15.75" customHeight="1" x14ac:dyDescent="0.35">
      <c r="A669" s="1"/>
      <c r="B669" s="1"/>
      <c r="C669" s="1"/>
      <c r="D669" s="1"/>
    </row>
    <row r="670" spans="1:4" ht="15.75" customHeight="1" x14ac:dyDescent="0.35">
      <c r="A670" s="1"/>
      <c r="B670" s="1"/>
      <c r="C670" s="1"/>
      <c r="D670" s="1"/>
    </row>
    <row r="671" spans="1:4" ht="15.75" customHeight="1" x14ac:dyDescent="0.35">
      <c r="A671" s="1"/>
      <c r="B671" s="1"/>
      <c r="C671" s="1"/>
      <c r="D671" s="1"/>
    </row>
    <row r="672" spans="1:4" ht="15.75" customHeight="1" x14ac:dyDescent="0.35">
      <c r="A672" s="1"/>
      <c r="B672" s="1"/>
      <c r="C672" s="1"/>
      <c r="D672" s="1"/>
    </row>
    <row r="673" spans="1:4" ht="15.75" customHeight="1" x14ac:dyDescent="0.35">
      <c r="A673" s="1"/>
      <c r="B673" s="1"/>
      <c r="C673" s="1"/>
      <c r="D673" s="1"/>
    </row>
    <row r="674" spans="1:4" ht="15.75" customHeight="1" x14ac:dyDescent="0.35">
      <c r="A674" s="1"/>
      <c r="B674" s="1"/>
      <c r="C674" s="1"/>
      <c r="D674" s="1"/>
    </row>
    <row r="675" spans="1:4" ht="15.75" customHeight="1" x14ac:dyDescent="0.35">
      <c r="A675" s="1"/>
      <c r="B675" s="1"/>
      <c r="C675" s="1"/>
      <c r="D675" s="1"/>
    </row>
    <row r="676" spans="1:4" ht="15.75" customHeight="1" x14ac:dyDescent="0.35">
      <c r="A676" s="1"/>
      <c r="B676" s="1"/>
      <c r="C676" s="1"/>
      <c r="D676" s="1"/>
    </row>
    <row r="677" spans="1:4" ht="15.75" customHeight="1" x14ac:dyDescent="0.35">
      <c r="A677" s="1"/>
      <c r="B677" s="1"/>
      <c r="C677" s="1"/>
      <c r="D677" s="1"/>
    </row>
    <row r="678" spans="1:4" ht="15.75" customHeight="1" x14ac:dyDescent="0.35">
      <c r="A678" s="1"/>
      <c r="B678" s="1"/>
      <c r="C678" s="1"/>
      <c r="D678" s="1"/>
    </row>
    <row r="679" spans="1:4" ht="15.75" customHeight="1" x14ac:dyDescent="0.35">
      <c r="A679" s="1"/>
      <c r="B679" s="1"/>
      <c r="C679" s="1"/>
      <c r="D679" s="1"/>
    </row>
    <row r="680" spans="1:4" ht="15.75" customHeight="1" x14ac:dyDescent="0.35">
      <c r="A680" s="1"/>
      <c r="B680" s="1"/>
      <c r="C680" s="1"/>
      <c r="D680" s="1"/>
    </row>
    <row r="681" spans="1:4" ht="15.75" customHeight="1" x14ac:dyDescent="0.35">
      <c r="A681" s="1"/>
      <c r="B681" s="1"/>
      <c r="C681" s="1"/>
      <c r="D681" s="1"/>
    </row>
    <row r="682" spans="1:4" ht="15.75" customHeight="1" x14ac:dyDescent="0.35">
      <c r="A682" s="1"/>
      <c r="B682" s="1"/>
      <c r="C682" s="1"/>
      <c r="D682" s="1"/>
    </row>
    <row r="683" spans="1:4" ht="15.75" customHeight="1" x14ac:dyDescent="0.35">
      <c r="A683" s="1"/>
      <c r="B683" s="1"/>
      <c r="C683" s="1"/>
      <c r="D683" s="1"/>
    </row>
    <row r="684" spans="1:4" ht="15.75" customHeight="1" x14ac:dyDescent="0.35">
      <c r="A684" s="1"/>
      <c r="B684" s="1"/>
      <c r="C684" s="1"/>
      <c r="D684" s="1"/>
    </row>
    <row r="685" spans="1:4" ht="15.75" customHeight="1" x14ac:dyDescent="0.35">
      <c r="A685" s="1"/>
      <c r="B685" s="1"/>
      <c r="C685" s="1"/>
      <c r="D685" s="1"/>
    </row>
    <row r="686" spans="1:4" ht="15.75" customHeight="1" x14ac:dyDescent="0.35">
      <c r="A686" s="1"/>
      <c r="B686" s="1"/>
      <c r="C686" s="1"/>
      <c r="D686" s="1"/>
    </row>
    <row r="687" spans="1:4" ht="15.75" customHeight="1" x14ac:dyDescent="0.35">
      <c r="A687" s="1"/>
      <c r="B687" s="1"/>
      <c r="C687" s="1"/>
      <c r="D687" s="1"/>
    </row>
    <row r="688" spans="1:4" ht="15.75" customHeight="1" x14ac:dyDescent="0.35">
      <c r="A688" s="1"/>
      <c r="B688" s="1"/>
      <c r="C688" s="1"/>
      <c r="D688" s="1"/>
    </row>
    <row r="689" spans="1:4" ht="15.75" customHeight="1" x14ac:dyDescent="0.35">
      <c r="A689" s="1"/>
      <c r="B689" s="1"/>
      <c r="C689" s="1"/>
      <c r="D689" s="1"/>
    </row>
    <row r="690" spans="1:4" ht="15.75" customHeight="1" x14ac:dyDescent="0.35">
      <c r="A690" s="1"/>
      <c r="B690" s="1"/>
      <c r="C690" s="1"/>
      <c r="D690" s="1"/>
    </row>
    <row r="691" spans="1:4" ht="15.75" customHeight="1" x14ac:dyDescent="0.35">
      <c r="A691" s="1"/>
      <c r="B691" s="1"/>
      <c r="C691" s="1"/>
      <c r="D691" s="1"/>
    </row>
    <row r="692" spans="1:4" ht="15.75" customHeight="1" x14ac:dyDescent="0.35">
      <c r="A692" s="1"/>
      <c r="B692" s="1"/>
      <c r="C692" s="1"/>
      <c r="D692" s="1"/>
    </row>
    <row r="693" spans="1:4" ht="15.75" customHeight="1" x14ac:dyDescent="0.35">
      <c r="A693" s="1"/>
      <c r="B693" s="1"/>
      <c r="C693" s="1"/>
      <c r="D693" s="1"/>
    </row>
    <row r="694" spans="1:4" ht="15.75" customHeight="1" x14ac:dyDescent="0.35">
      <c r="A694" s="1"/>
      <c r="B694" s="1"/>
      <c r="C694" s="1"/>
      <c r="D694" s="1"/>
    </row>
    <row r="695" spans="1:4" ht="15.75" customHeight="1" x14ac:dyDescent="0.35">
      <c r="A695" s="1"/>
      <c r="B695" s="1"/>
      <c r="C695" s="1"/>
      <c r="D695" s="1"/>
    </row>
    <row r="696" spans="1:4" ht="15.75" customHeight="1" x14ac:dyDescent="0.35">
      <c r="A696" s="1"/>
      <c r="B696" s="1"/>
      <c r="C696" s="1"/>
      <c r="D696" s="1"/>
    </row>
    <row r="697" spans="1:4" ht="15.75" customHeight="1" x14ac:dyDescent="0.35">
      <c r="A697" s="1"/>
      <c r="B697" s="1"/>
      <c r="C697" s="1"/>
      <c r="D697" s="1"/>
    </row>
    <row r="698" spans="1:4" ht="15.75" customHeight="1" x14ac:dyDescent="0.35">
      <c r="A698" s="1"/>
      <c r="B698" s="1"/>
      <c r="C698" s="1"/>
      <c r="D698" s="1"/>
    </row>
    <row r="699" spans="1:4" ht="15.75" customHeight="1" x14ac:dyDescent="0.35">
      <c r="A699" s="1"/>
      <c r="B699" s="1"/>
      <c r="C699" s="1"/>
      <c r="D699" s="1"/>
    </row>
    <row r="700" spans="1:4" ht="15.75" customHeight="1" x14ac:dyDescent="0.35">
      <c r="A700" s="1"/>
      <c r="B700" s="1"/>
      <c r="C700" s="1"/>
      <c r="D700" s="1"/>
    </row>
    <row r="701" spans="1:4" ht="15.75" customHeight="1" x14ac:dyDescent="0.35">
      <c r="A701" s="1"/>
      <c r="B701" s="1"/>
      <c r="C701" s="1"/>
      <c r="D701" s="1"/>
    </row>
    <row r="702" spans="1:4" ht="15.75" customHeight="1" x14ac:dyDescent="0.35">
      <c r="A702" s="1"/>
      <c r="B702" s="1"/>
      <c r="C702" s="1"/>
      <c r="D702" s="1"/>
    </row>
    <row r="703" spans="1:4" ht="15.75" customHeight="1" x14ac:dyDescent="0.35">
      <c r="A703" s="1"/>
      <c r="B703" s="1"/>
      <c r="C703" s="1"/>
      <c r="D703" s="1"/>
    </row>
    <row r="704" spans="1:4" ht="15.75" customHeight="1" x14ac:dyDescent="0.35">
      <c r="A704" s="1"/>
      <c r="B704" s="1"/>
      <c r="C704" s="1"/>
      <c r="D704" s="1"/>
    </row>
    <row r="705" spans="1:4" ht="15.75" customHeight="1" x14ac:dyDescent="0.35">
      <c r="A705" s="1"/>
      <c r="B705" s="1"/>
      <c r="C705" s="1"/>
      <c r="D705" s="1"/>
    </row>
    <row r="706" spans="1:4" ht="15.75" customHeight="1" x14ac:dyDescent="0.35">
      <c r="A706" s="1"/>
      <c r="B706" s="1"/>
      <c r="C706" s="1"/>
      <c r="D706" s="1"/>
    </row>
    <row r="707" spans="1:4" ht="15.75" customHeight="1" x14ac:dyDescent="0.35">
      <c r="A707" s="1"/>
      <c r="B707" s="1"/>
      <c r="C707" s="1"/>
      <c r="D707" s="1"/>
    </row>
    <row r="708" spans="1:4" ht="15.75" customHeight="1" x14ac:dyDescent="0.35">
      <c r="A708" s="1"/>
      <c r="B708" s="1"/>
      <c r="C708" s="1"/>
      <c r="D708" s="1"/>
    </row>
    <row r="709" spans="1:4" ht="15.75" customHeight="1" x14ac:dyDescent="0.35">
      <c r="A709" s="1"/>
      <c r="B709" s="1"/>
      <c r="C709" s="1"/>
      <c r="D709" s="1"/>
    </row>
    <row r="710" spans="1:4" ht="15.75" customHeight="1" x14ac:dyDescent="0.35">
      <c r="A710" s="1"/>
      <c r="B710" s="1"/>
      <c r="C710" s="1"/>
      <c r="D710" s="1"/>
    </row>
    <row r="711" spans="1:4" ht="15.75" customHeight="1" x14ac:dyDescent="0.35">
      <c r="A711" s="1"/>
      <c r="B711" s="1"/>
      <c r="C711" s="1"/>
      <c r="D711" s="1"/>
    </row>
    <row r="712" spans="1:4" ht="15.75" customHeight="1" x14ac:dyDescent="0.35">
      <c r="A712" s="1"/>
      <c r="B712" s="1"/>
      <c r="C712" s="1"/>
      <c r="D712" s="1"/>
    </row>
    <row r="713" spans="1:4" ht="15.75" customHeight="1" x14ac:dyDescent="0.35">
      <c r="A713" s="1"/>
      <c r="B713" s="1"/>
      <c r="C713" s="1"/>
      <c r="D713" s="1"/>
    </row>
    <row r="714" spans="1:4" ht="15.75" customHeight="1" x14ac:dyDescent="0.35">
      <c r="A714" s="1"/>
      <c r="B714" s="1"/>
      <c r="C714" s="1"/>
      <c r="D714" s="1"/>
    </row>
    <row r="715" spans="1:4" ht="15.75" customHeight="1" x14ac:dyDescent="0.35">
      <c r="A715" s="1"/>
      <c r="B715" s="1"/>
      <c r="C715" s="1"/>
      <c r="D715" s="1"/>
    </row>
    <row r="716" spans="1:4" ht="15.75" customHeight="1" x14ac:dyDescent="0.35">
      <c r="A716" s="1"/>
      <c r="B716" s="1"/>
      <c r="C716" s="1"/>
      <c r="D716" s="1"/>
    </row>
    <row r="717" spans="1:4" ht="15.75" customHeight="1" x14ac:dyDescent="0.35">
      <c r="A717" s="1"/>
      <c r="B717" s="1"/>
      <c r="C717" s="1"/>
      <c r="D717" s="1"/>
    </row>
    <row r="718" spans="1:4" ht="15.75" customHeight="1" x14ac:dyDescent="0.35">
      <c r="A718" s="1"/>
      <c r="B718" s="1"/>
      <c r="C718" s="1"/>
      <c r="D718" s="1"/>
    </row>
    <row r="719" spans="1:4" ht="15.75" customHeight="1" x14ac:dyDescent="0.35">
      <c r="A719" s="1"/>
      <c r="B719" s="1"/>
      <c r="C719" s="1"/>
      <c r="D719" s="1"/>
    </row>
    <row r="720" spans="1:4" ht="15.75" customHeight="1" x14ac:dyDescent="0.35">
      <c r="A720" s="1"/>
      <c r="B720" s="1"/>
      <c r="C720" s="1"/>
      <c r="D720" s="1"/>
    </row>
    <row r="721" spans="1:4" ht="15.75" customHeight="1" x14ac:dyDescent="0.35">
      <c r="A721" s="1"/>
      <c r="B721" s="1"/>
      <c r="C721" s="1"/>
      <c r="D721" s="1"/>
    </row>
    <row r="722" spans="1:4" ht="15.75" customHeight="1" x14ac:dyDescent="0.35">
      <c r="A722" s="1"/>
      <c r="B722" s="1"/>
      <c r="C722" s="1"/>
      <c r="D722" s="1"/>
    </row>
    <row r="723" spans="1:4" ht="15.75" customHeight="1" x14ac:dyDescent="0.35">
      <c r="A723" s="1"/>
      <c r="B723" s="1"/>
      <c r="C723" s="1"/>
      <c r="D723" s="1"/>
    </row>
    <row r="724" spans="1:4" ht="15.75" customHeight="1" x14ac:dyDescent="0.35">
      <c r="A724" s="1"/>
      <c r="B724" s="1"/>
      <c r="C724" s="1"/>
      <c r="D724" s="1"/>
    </row>
    <row r="725" spans="1:4" ht="15.75" customHeight="1" x14ac:dyDescent="0.35">
      <c r="A725" s="1"/>
      <c r="B725" s="1"/>
      <c r="C725" s="1"/>
      <c r="D725" s="1"/>
    </row>
    <row r="726" spans="1:4" ht="15.75" customHeight="1" x14ac:dyDescent="0.35">
      <c r="A726" s="1"/>
      <c r="B726" s="1"/>
      <c r="C726" s="1"/>
      <c r="D726" s="1"/>
    </row>
    <row r="727" spans="1:4" ht="15.75" customHeight="1" x14ac:dyDescent="0.35">
      <c r="A727" s="1"/>
      <c r="B727" s="1"/>
      <c r="C727" s="1"/>
      <c r="D727" s="1"/>
    </row>
    <row r="728" spans="1:4" ht="15.75" customHeight="1" x14ac:dyDescent="0.35">
      <c r="A728" s="1"/>
      <c r="B728" s="1"/>
      <c r="C728" s="1"/>
      <c r="D728" s="1"/>
    </row>
    <row r="729" spans="1:4" ht="15.75" customHeight="1" x14ac:dyDescent="0.35">
      <c r="A729" s="1"/>
      <c r="B729" s="1"/>
      <c r="C729" s="1"/>
      <c r="D729" s="1"/>
    </row>
    <row r="730" spans="1:4" ht="15.75" customHeight="1" x14ac:dyDescent="0.35">
      <c r="A730" s="1"/>
      <c r="B730" s="1"/>
      <c r="C730" s="1"/>
      <c r="D730" s="1"/>
    </row>
    <row r="731" spans="1:4" ht="15.75" customHeight="1" x14ac:dyDescent="0.35">
      <c r="A731" s="1"/>
      <c r="B731" s="1"/>
      <c r="C731" s="1"/>
      <c r="D731" s="1"/>
    </row>
    <row r="732" spans="1:4" ht="15.75" customHeight="1" x14ac:dyDescent="0.35">
      <c r="A732" s="1"/>
      <c r="B732" s="1"/>
      <c r="C732" s="1"/>
      <c r="D732" s="1"/>
    </row>
    <row r="733" spans="1:4" ht="15.75" customHeight="1" x14ac:dyDescent="0.35">
      <c r="A733" s="1"/>
      <c r="B733" s="1"/>
      <c r="C733" s="1"/>
      <c r="D733" s="1"/>
    </row>
    <row r="734" spans="1:4" ht="15.75" customHeight="1" x14ac:dyDescent="0.35">
      <c r="A734" s="1"/>
      <c r="B734" s="1"/>
      <c r="C734" s="1"/>
      <c r="D734" s="1"/>
    </row>
    <row r="735" spans="1:4" ht="15.75" customHeight="1" x14ac:dyDescent="0.35">
      <c r="A735" s="1"/>
      <c r="B735" s="1"/>
      <c r="C735" s="1"/>
      <c r="D735" s="1"/>
    </row>
    <row r="736" spans="1:4" ht="15.75" customHeight="1" x14ac:dyDescent="0.35">
      <c r="A736" s="1"/>
      <c r="B736" s="1"/>
      <c r="C736" s="1"/>
      <c r="D736" s="1"/>
    </row>
    <row r="737" spans="1:4" ht="15.75" customHeight="1" x14ac:dyDescent="0.35">
      <c r="A737" s="1"/>
      <c r="B737" s="1"/>
      <c r="C737" s="1"/>
      <c r="D737" s="1"/>
    </row>
    <row r="738" spans="1:4" ht="15.75" customHeight="1" x14ac:dyDescent="0.35">
      <c r="A738" s="1"/>
      <c r="B738" s="1"/>
      <c r="C738" s="1"/>
      <c r="D738" s="1"/>
    </row>
    <row r="739" spans="1:4" ht="15.75" customHeight="1" x14ac:dyDescent="0.35">
      <c r="A739" s="1"/>
      <c r="B739" s="1"/>
      <c r="C739" s="1"/>
      <c r="D739" s="1"/>
    </row>
    <row r="740" spans="1:4" ht="15.75" customHeight="1" x14ac:dyDescent="0.35">
      <c r="A740" s="1"/>
      <c r="B740" s="1"/>
      <c r="C740" s="1"/>
      <c r="D740" s="1"/>
    </row>
    <row r="741" spans="1:4" ht="15.75" customHeight="1" x14ac:dyDescent="0.35">
      <c r="A741" s="1"/>
      <c r="B741" s="1"/>
      <c r="C741" s="1"/>
      <c r="D741" s="1"/>
    </row>
    <row r="742" spans="1:4" ht="15.75" customHeight="1" x14ac:dyDescent="0.35">
      <c r="A742" s="1"/>
      <c r="B742" s="1"/>
      <c r="C742" s="1"/>
      <c r="D742" s="1"/>
    </row>
    <row r="743" spans="1:4" ht="15.75" customHeight="1" x14ac:dyDescent="0.35">
      <c r="A743" s="1"/>
      <c r="B743" s="1"/>
      <c r="C743" s="1"/>
      <c r="D743" s="1"/>
    </row>
    <row r="744" spans="1:4" ht="15.75" customHeight="1" x14ac:dyDescent="0.35">
      <c r="A744" s="1"/>
      <c r="B744" s="1"/>
      <c r="C744" s="1"/>
      <c r="D744" s="1"/>
    </row>
    <row r="745" spans="1:4" ht="15.75" customHeight="1" x14ac:dyDescent="0.35">
      <c r="A745" s="1"/>
      <c r="B745" s="1"/>
      <c r="C745" s="1"/>
      <c r="D745" s="1"/>
    </row>
    <row r="746" spans="1:4" ht="15.75" customHeight="1" x14ac:dyDescent="0.35">
      <c r="A746" s="1"/>
      <c r="B746" s="1"/>
      <c r="C746" s="1"/>
      <c r="D746" s="1"/>
    </row>
    <row r="747" spans="1:4" ht="15.75" customHeight="1" x14ac:dyDescent="0.35">
      <c r="A747" s="1"/>
      <c r="B747" s="1"/>
      <c r="C747" s="1"/>
      <c r="D747" s="1"/>
    </row>
    <row r="748" spans="1:4" ht="15.75" customHeight="1" x14ac:dyDescent="0.35">
      <c r="A748" s="1"/>
      <c r="B748" s="1"/>
      <c r="C748" s="1"/>
      <c r="D748" s="1"/>
    </row>
    <row r="749" spans="1:4" ht="15.75" customHeight="1" x14ac:dyDescent="0.35">
      <c r="A749" s="1"/>
      <c r="B749" s="1"/>
      <c r="C749" s="1"/>
      <c r="D749" s="1"/>
    </row>
    <row r="750" spans="1:4" ht="15.75" customHeight="1" x14ac:dyDescent="0.35">
      <c r="A750" s="1"/>
      <c r="B750" s="1"/>
      <c r="C750" s="1"/>
      <c r="D750" s="1"/>
    </row>
    <row r="751" spans="1:4" ht="15.75" customHeight="1" x14ac:dyDescent="0.35">
      <c r="A751" s="1"/>
      <c r="B751" s="1"/>
      <c r="C751" s="1"/>
      <c r="D751" s="1"/>
    </row>
    <row r="752" spans="1:4" ht="15.75" customHeight="1" x14ac:dyDescent="0.35">
      <c r="A752" s="1"/>
      <c r="B752" s="1"/>
      <c r="C752" s="1"/>
      <c r="D752" s="1"/>
    </row>
    <row r="753" spans="1:4" ht="15.75" customHeight="1" x14ac:dyDescent="0.35">
      <c r="A753" s="1"/>
      <c r="B753" s="1"/>
      <c r="C753" s="1"/>
      <c r="D753" s="1"/>
    </row>
    <row r="754" spans="1:4" ht="15.75" customHeight="1" x14ac:dyDescent="0.35">
      <c r="A754" s="1"/>
      <c r="B754" s="1"/>
      <c r="C754" s="1"/>
      <c r="D754" s="1"/>
    </row>
    <row r="755" spans="1:4" ht="15.75" customHeight="1" x14ac:dyDescent="0.35">
      <c r="A755" s="1"/>
      <c r="B755" s="1"/>
      <c r="C755" s="1"/>
      <c r="D755" s="1"/>
    </row>
    <row r="756" spans="1:4" ht="15.75" customHeight="1" x14ac:dyDescent="0.35">
      <c r="A756" s="1"/>
      <c r="B756" s="1"/>
      <c r="C756" s="1"/>
      <c r="D756" s="1"/>
    </row>
    <row r="757" spans="1:4" ht="15.75" customHeight="1" x14ac:dyDescent="0.35">
      <c r="A757" s="1"/>
      <c r="B757" s="1"/>
      <c r="C757" s="1"/>
      <c r="D757" s="1"/>
    </row>
    <row r="758" spans="1:4" ht="15.75" customHeight="1" x14ac:dyDescent="0.35">
      <c r="A758" s="1"/>
      <c r="B758" s="1"/>
      <c r="C758" s="1"/>
      <c r="D758" s="1"/>
    </row>
    <row r="759" spans="1:4" ht="15.75" customHeight="1" x14ac:dyDescent="0.35">
      <c r="A759" s="1"/>
      <c r="B759" s="1"/>
      <c r="C759" s="1"/>
      <c r="D759" s="1"/>
    </row>
    <row r="760" spans="1:4" ht="15.75" customHeight="1" x14ac:dyDescent="0.35">
      <c r="A760" s="1"/>
      <c r="B760" s="1"/>
      <c r="C760" s="1"/>
      <c r="D760" s="1"/>
    </row>
    <row r="761" spans="1:4" ht="15.75" customHeight="1" x14ac:dyDescent="0.35">
      <c r="A761" s="1"/>
      <c r="B761" s="1"/>
      <c r="C761" s="1"/>
      <c r="D761" s="1"/>
    </row>
    <row r="762" spans="1:4" ht="15.75" customHeight="1" x14ac:dyDescent="0.35">
      <c r="A762" s="1"/>
      <c r="B762" s="1"/>
      <c r="C762" s="1"/>
      <c r="D762" s="1"/>
    </row>
    <row r="763" spans="1:4" ht="15.75" customHeight="1" x14ac:dyDescent="0.35">
      <c r="A763" s="1"/>
      <c r="B763" s="1"/>
      <c r="C763" s="1"/>
      <c r="D763" s="1"/>
    </row>
    <row r="764" spans="1:4" ht="15.75" customHeight="1" x14ac:dyDescent="0.35">
      <c r="A764" s="1"/>
      <c r="B764" s="1"/>
      <c r="C764" s="1"/>
      <c r="D764" s="1"/>
    </row>
    <row r="765" spans="1:4" ht="15.75" customHeight="1" x14ac:dyDescent="0.35">
      <c r="A765" s="1"/>
      <c r="B765" s="1"/>
      <c r="C765" s="1"/>
      <c r="D765" s="1"/>
    </row>
    <row r="766" spans="1:4" ht="15.75" customHeight="1" x14ac:dyDescent="0.35">
      <c r="A766" s="1"/>
      <c r="B766" s="1"/>
      <c r="C766" s="1"/>
      <c r="D766" s="1"/>
    </row>
    <row r="767" spans="1:4" ht="15.75" customHeight="1" x14ac:dyDescent="0.35">
      <c r="A767" s="1"/>
      <c r="B767" s="1"/>
      <c r="C767" s="1"/>
      <c r="D767" s="1"/>
    </row>
    <row r="768" spans="1:4" ht="15.75" customHeight="1" x14ac:dyDescent="0.35">
      <c r="A768" s="1"/>
      <c r="B768" s="1"/>
      <c r="C768" s="1"/>
      <c r="D768" s="1"/>
    </row>
    <row r="769" spans="1:4" ht="15.75" customHeight="1" x14ac:dyDescent="0.35">
      <c r="A769" s="1"/>
      <c r="B769" s="1"/>
      <c r="C769" s="1"/>
      <c r="D769" s="1"/>
    </row>
    <row r="770" spans="1:4" ht="15.75" customHeight="1" x14ac:dyDescent="0.35">
      <c r="A770" s="1"/>
      <c r="B770" s="1"/>
      <c r="C770" s="1"/>
      <c r="D770" s="1"/>
    </row>
    <row r="771" spans="1:4" ht="15.75" customHeight="1" x14ac:dyDescent="0.35">
      <c r="A771" s="1"/>
      <c r="B771" s="1"/>
      <c r="C771" s="1"/>
      <c r="D771" s="1"/>
    </row>
    <row r="772" spans="1:4" ht="15.75" customHeight="1" x14ac:dyDescent="0.35">
      <c r="A772" s="1"/>
      <c r="B772" s="1"/>
      <c r="C772" s="1"/>
      <c r="D772" s="1"/>
    </row>
    <row r="773" spans="1:4" ht="15.75" customHeight="1" x14ac:dyDescent="0.35">
      <c r="A773" s="1"/>
      <c r="B773" s="1"/>
      <c r="C773" s="1"/>
      <c r="D773" s="1"/>
    </row>
    <row r="774" spans="1:4" ht="15.75" customHeight="1" x14ac:dyDescent="0.35">
      <c r="A774" s="1"/>
      <c r="B774" s="1"/>
      <c r="C774" s="1"/>
      <c r="D774" s="1"/>
    </row>
    <row r="775" spans="1:4" ht="15.75" customHeight="1" x14ac:dyDescent="0.35">
      <c r="A775" s="1"/>
      <c r="B775" s="1"/>
      <c r="C775" s="1"/>
      <c r="D775" s="1"/>
    </row>
    <row r="776" spans="1:4" ht="15.75" customHeight="1" x14ac:dyDescent="0.35">
      <c r="A776" s="1"/>
      <c r="B776" s="1"/>
      <c r="C776" s="1"/>
      <c r="D776" s="1"/>
    </row>
    <row r="777" spans="1:4" ht="15.75" customHeight="1" x14ac:dyDescent="0.35">
      <c r="A777" s="1"/>
      <c r="B777" s="1"/>
      <c r="C777" s="1"/>
      <c r="D777" s="1"/>
    </row>
    <row r="778" spans="1:4" ht="15.75" customHeight="1" x14ac:dyDescent="0.35">
      <c r="A778" s="1"/>
      <c r="B778" s="1"/>
      <c r="C778" s="1"/>
      <c r="D778" s="1"/>
    </row>
    <row r="779" spans="1:4" ht="15.75" customHeight="1" x14ac:dyDescent="0.35">
      <c r="A779" s="1"/>
      <c r="B779" s="1"/>
      <c r="C779" s="1"/>
      <c r="D779" s="1"/>
    </row>
    <row r="780" spans="1:4" ht="15.75" customHeight="1" x14ac:dyDescent="0.35">
      <c r="A780" s="1"/>
      <c r="B780" s="1"/>
      <c r="C780" s="1"/>
      <c r="D780" s="1"/>
    </row>
    <row r="781" spans="1:4" ht="15.75" customHeight="1" x14ac:dyDescent="0.35">
      <c r="A781" s="1"/>
      <c r="B781" s="1"/>
      <c r="C781" s="1"/>
      <c r="D781" s="1"/>
    </row>
    <row r="782" spans="1:4" ht="15.75" customHeight="1" x14ac:dyDescent="0.35">
      <c r="A782" s="1"/>
      <c r="B782" s="1"/>
      <c r="C782" s="1"/>
      <c r="D782" s="1"/>
    </row>
    <row r="783" spans="1:4" ht="15.75" customHeight="1" x14ac:dyDescent="0.35">
      <c r="A783" s="1"/>
      <c r="B783" s="1"/>
      <c r="C783" s="1"/>
      <c r="D783" s="1"/>
    </row>
    <row r="784" spans="1:4" ht="15.75" customHeight="1" x14ac:dyDescent="0.35">
      <c r="A784" s="1"/>
      <c r="B784" s="1"/>
      <c r="C784" s="1"/>
      <c r="D784" s="1"/>
    </row>
    <row r="785" spans="1:4" ht="15.75" customHeight="1" x14ac:dyDescent="0.35">
      <c r="A785" s="1"/>
      <c r="B785" s="1"/>
      <c r="C785" s="1"/>
      <c r="D785" s="1"/>
    </row>
    <row r="786" spans="1:4" ht="15.75" customHeight="1" x14ac:dyDescent="0.35">
      <c r="A786" s="1"/>
      <c r="B786" s="1"/>
      <c r="C786" s="1"/>
      <c r="D786" s="1"/>
    </row>
    <row r="787" spans="1:4" ht="15.75" customHeight="1" x14ac:dyDescent="0.35">
      <c r="A787" s="1"/>
      <c r="B787" s="1"/>
      <c r="C787" s="1"/>
      <c r="D787" s="1"/>
    </row>
    <row r="788" spans="1:4" ht="15.75" customHeight="1" x14ac:dyDescent="0.35">
      <c r="A788" s="1"/>
      <c r="B788" s="1"/>
      <c r="C788" s="1"/>
      <c r="D788" s="1"/>
    </row>
    <row r="789" spans="1:4" ht="15.75" customHeight="1" x14ac:dyDescent="0.35">
      <c r="A789" s="1"/>
      <c r="B789" s="1"/>
      <c r="C789" s="1"/>
      <c r="D789" s="1"/>
    </row>
    <row r="790" spans="1:4" ht="15.75" customHeight="1" x14ac:dyDescent="0.35">
      <c r="A790" s="1"/>
      <c r="B790" s="1"/>
      <c r="C790" s="1"/>
      <c r="D790" s="1"/>
    </row>
    <row r="791" spans="1:4" ht="15.75" customHeight="1" x14ac:dyDescent="0.35">
      <c r="A791" s="1"/>
      <c r="B791" s="1"/>
      <c r="C791" s="1"/>
      <c r="D791" s="1"/>
    </row>
    <row r="792" spans="1:4" ht="15.75" customHeight="1" x14ac:dyDescent="0.35">
      <c r="A792" s="1"/>
      <c r="B792" s="1"/>
      <c r="C792" s="1"/>
      <c r="D792" s="1"/>
    </row>
    <row r="793" spans="1:4" ht="15.75" customHeight="1" x14ac:dyDescent="0.35">
      <c r="A793" s="1"/>
      <c r="B793" s="1"/>
      <c r="C793" s="1"/>
      <c r="D793" s="1"/>
    </row>
    <row r="794" spans="1:4" ht="15.75" customHeight="1" x14ac:dyDescent="0.35">
      <c r="A794" s="1"/>
      <c r="B794" s="1"/>
      <c r="C794" s="1"/>
      <c r="D794" s="1"/>
    </row>
    <row r="795" spans="1:4" ht="15.75" customHeight="1" x14ac:dyDescent="0.35">
      <c r="A795" s="1"/>
      <c r="B795" s="1"/>
      <c r="C795" s="1"/>
      <c r="D795" s="1"/>
    </row>
    <row r="796" spans="1:4" ht="15.75" customHeight="1" x14ac:dyDescent="0.35">
      <c r="A796" s="1"/>
      <c r="B796" s="1"/>
      <c r="C796" s="1"/>
      <c r="D796" s="1"/>
    </row>
    <row r="797" spans="1:4" ht="15.75" customHeight="1" x14ac:dyDescent="0.35">
      <c r="A797" s="1"/>
      <c r="B797" s="1"/>
      <c r="C797" s="1"/>
      <c r="D797" s="1"/>
    </row>
    <row r="798" spans="1:4" ht="15.75" customHeight="1" x14ac:dyDescent="0.35">
      <c r="A798" s="1"/>
      <c r="B798" s="1"/>
      <c r="C798" s="1"/>
      <c r="D798" s="1"/>
    </row>
    <row r="799" spans="1:4" ht="15.75" customHeight="1" x14ac:dyDescent="0.35">
      <c r="A799" s="1"/>
      <c r="B799" s="1"/>
      <c r="C799" s="1"/>
      <c r="D799" s="1"/>
    </row>
    <row r="800" spans="1:4" ht="15.75" customHeight="1" x14ac:dyDescent="0.35">
      <c r="A800" s="1"/>
      <c r="B800" s="1"/>
      <c r="C800" s="1"/>
      <c r="D800" s="1"/>
    </row>
    <row r="801" spans="1:4" ht="15.75" customHeight="1" x14ac:dyDescent="0.35">
      <c r="A801" s="1"/>
      <c r="B801" s="1"/>
      <c r="C801" s="1"/>
      <c r="D801" s="1"/>
    </row>
    <row r="802" spans="1:4" ht="15.75" customHeight="1" x14ac:dyDescent="0.35">
      <c r="A802" s="1"/>
      <c r="B802" s="1"/>
      <c r="C802" s="1"/>
      <c r="D802" s="1"/>
    </row>
    <row r="803" spans="1:4" ht="15.75" customHeight="1" x14ac:dyDescent="0.35">
      <c r="A803" s="1"/>
      <c r="B803" s="1"/>
      <c r="C803" s="1"/>
      <c r="D803" s="1"/>
    </row>
    <row r="804" spans="1:4" ht="15.75" customHeight="1" x14ac:dyDescent="0.35">
      <c r="A804" s="1"/>
      <c r="B804" s="1"/>
      <c r="C804" s="1"/>
      <c r="D804" s="1"/>
    </row>
    <row r="805" spans="1:4" ht="15.75" customHeight="1" x14ac:dyDescent="0.35">
      <c r="A805" s="1"/>
      <c r="B805" s="1"/>
      <c r="C805" s="1"/>
      <c r="D805" s="1"/>
    </row>
    <row r="806" spans="1:4" ht="15.75" customHeight="1" x14ac:dyDescent="0.35">
      <c r="A806" s="1"/>
      <c r="B806" s="1"/>
      <c r="C806" s="1"/>
      <c r="D806" s="1"/>
    </row>
    <row r="807" spans="1:4" ht="15.75" customHeight="1" x14ac:dyDescent="0.35">
      <c r="A807" s="1"/>
      <c r="B807" s="1"/>
      <c r="C807" s="1"/>
      <c r="D807" s="1"/>
    </row>
    <row r="808" spans="1:4" ht="15.75" customHeight="1" x14ac:dyDescent="0.35">
      <c r="A808" s="1"/>
      <c r="B808" s="1"/>
      <c r="C808" s="1"/>
      <c r="D808" s="1"/>
    </row>
    <row r="809" spans="1:4" ht="15.75" customHeight="1" x14ac:dyDescent="0.35">
      <c r="A809" s="1"/>
      <c r="B809" s="1"/>
      <c r="C809" s="1"/>
      <c r="D809" s="1"/>
    </row>
    <row r="810" spans="1:4" ht="15.75" customHeight="1" x14ac:dyDescent="0.35">
      <c r="A810" s="1"/>
      <c r="B810" s="1"/>
      <c r="C810" s="1"/>
      <c r="D810" s="1"/>
    </row>
    <row r="811" spans="1:4" ht="15.75" customHeight="1" x14ac:dyDescent="0.35">
      <c r="A811" s="1"/>
      <c r="B811" s="1"/>
      <c r="C811" s="1"/>
      <c r="D811" s="1"/>
    </row>
    <row r="812" spans="1:4" ht="15.75" customHeight="1" x14ac:dyDescent="0.35">
      <c r="A812" s="1"/>
      <c r="B812" s="1"/>
      <c r="C812" s="1"/>
      <c r="D812" s="1"/>
    </row>
    <row r="813" spans="1:4" ht="15.75" customHeight="1" x14ac:dyDescent="0.35">
      <c r="A813" s="1"/>
      <c r="B813" s="1"/>
      <c r="C813" s="1"/>
      <c r="D813" s="1"/>
    </row>
    <row r="814" spans="1:4" ht="15.75" customHeight="1" x14ac:dyDescent="0.35">
      <c r="A814" s="1"/>
      <c r="B814" s="1"/>
      <c r="C814" s="1"/>
      <c r="D814" s="1"/>
    </row>
    <row r="815" spans="1:4" ht="15.75" customHeight="1" x14ac:dyDescent="0.35">
      <c r="A815" s="1"/>
      <c r="B815" s="1"/>
      <c r="C815" s="1"/>
      <c r="D815" s="1"/>
    </row>
    <row r="816" spans="1:4" ht="15.75" customHeight="1" x14ac:dyDescent="0.35">
      <c r="A816" s="1"/>
      <c r="B816" s="1"/>
      <c r="C816" s="1"/>
      <c r="D816" s="1"/>
    </row>
    <row r="817" spans="1:4" ht="15.75" customHeight="1" x14ac:dyDescent="0.35">
      <c r="A817" s="1"/>
      <c r="B817" s="1"/>
      <c r="C817" s="1"/>
      <c r="D817" s="1"/>
    </row>
    <row r="818" spans="1:4" ht="15.75" customHeight="1" x14ac:dyDescent="0.35">
      <c r="A818" s="1"/>
      <c r="B818" s="1"/>
      <c r="C818" s="1"/>
      <c r="D818" s="1"/>
    </row>
    <row r="819" spans="1:4" ht="15.75" customHeight="1" x14ac:dyDescent="0.35">
      <c r="A819" s="1"/>
      <c r="B819" s="1"/>
      <c r="C819" s="1"/>
      <c r="D819" s="1"/>
    </row>
    <row r="820" spans="1:4" ht="15.75" customHeight="1" x14ac:dyDescent="0.35">
      <c r="A820" s="1"/>
      <c r="B820" s="1"/>
      <c r="C820" s="1"/>
      <c r="D820" s="1"/>
    </row>
    <row r="821" spans="1:4" ht="15.75" customHeight="1" x14ac:dyDescent="0.35">
      <c r="A821" s="1"/>
      <c r="B821" s="1"/>
      <c r="C821" s="1"/>
      <c r="D821" s="1"/>
    </row>
    <row r="822" spans="1:4" ht="15.75" customHeight="1" x14ac:dyDescent="0.35">
      <c r="A822" s="1"/>
      <c r="B822" s="1"/>
      <c r="C822" s="1"/>
      <c r="D822" s="1"/>
    </row>
    <row r="823" spans="1:4" ht="15.75" customHeight="1" x14ac:dyDescent="0.35">
      <c r="A823" s="1"/>
      <c r="B823" s="1"/>
      <c r="C823" s="1"/>
      <c r="D823" s="1"/>
    </row>
    <row r="824" spans="1:4" ht="15.75" customHeight="1" x14ac:dyDescent="0.35">
      <c r="A824" s="1"/>
      <c r="B824" s="1"/>
      <c r="C824" s="1"/>
      <c r="D824" s="1"/>
    </row>
    <row r="825" spans="1:4" ht="15.75" customHeight="1" x14ac:dyDescent="0.35">
      <c r="A825" s="1"/>
      <c r="B825" s="1"/>
      <c r="C825" s="1"/>
      <c r="D825" s="1"/>
    </row>
    <row r="826" spans="1:4" ht="15.75" customHeight="1" x14ac:dyDescent="0.35">
      <c r="A826" s="1"/>
      <c r="B826" s="1"/>
      <c r="C826" s="1"/>
      <c r="D826" s="1"/>
    </row>
    <row r="827" spans="1:4" ht="15.75" customHeight="1" x14ac:dyDescent="0.35">
      <c r="A827" s="1"/>
      <c r="B827" s="1"/>
      <c r="C827" s="1"/>
      <c r="D827" s="1"/>
    </row>
    <row r="828" spans="1:4" ht="15.75" customHeight="1" x14ac:dyDescent="0.35">
      <c r="A828" s="1"/>
      <c r="B828" s="1"/>
      <c r="C828" s="1"/>
      <c r="D828" s="1"/>
    </row>
    <row r="829" spans="1:4" ht="15.75" customHeight="1" x14ac:dyDescent="0.35">
      <c r="A829" s="1"/>
      <c r="B829" s="1"/>
      <c r="C829" s="1"/>
      <c r="D829" s="1"/>
    </row>
    <row r="830" spans="1:4" ht="15.75" customHeight="1" x14ac:dyDescent="0.35">
      <c r="A830" s="1"/>
      <c r="B830" s="1"/>
      <c r="C830" s="1"/>
      <c r="D830" s="1"/>
    </row>
    <row r="831" spans="1:4" ht="15.75" customHeight="1" x14ac:dyDescent="0.35">
      <c r="A831" s="1"/>
      <c r="B831" s="1"/>
      <c r="C831" s="1"/>
      <c r="D831" s="1"/>
    </row>
    <row r="832" spans="1:4" ht="15.75" customHeight="1" x14ac:dyDescent="0.35">
      <c r="A832" s="1"/>
      <c r="B832" s="1"/>
      <c r="C832" s="1"/>
      <c r="D832" s="1"/>
    </row>
    <row r="833" spans="1:4" ht="15.75" customHeight="1" x14ac:dyDescent="0.35">
      <c r="A833" s="1"/>
      <c r="B833" s="1"/>
      <c r="C833" s="1"/>
      <c r="D833" s="1"/>
    </row>
    <row r="834" spans="1:4" ht="15.75" customHeight="1" x14ac:dyDescent="0.35">
      <c r="A834" s="1"/>
      <c r="B834" s="1"/>
      <c r="C834" s="1"/>
      <c r="D834" s="1"/>
    </row>
    <row r="835" spans="1:4" ht="15.75" customHeight="1" x14ac:dyDescent="0.35">
      <c r="A835" s="1"/>
      <c r="B835" s="1"/>
      <c r="C835" s="1"/>
      <c r="D835" s="1"/>
    </row>
    <row r="836" spans="1:4" ht="15.75" customHeight="1" x14ac:dyDescent="0.35">
      <c r="A836" s="1"/>
      <c r="B836" s="1"/>
      <c r="C836" s="1"/>
      <c r="D836" s="1"/>
    </row>
    <row r="837" spans="1:4" ht="15.75" customHeight="1" x14ac:dyDescent="0.35">
      <c r="A837" s="1"/>
      <c r="B837" s="1"/>
      <c r="C837" s="1"/>
      <c r="D837" s="1"/>
    </row>
    <row r="838" spans="1:4" ht="15.75" customHeight="1" x14ac:dyDescent="0.35">
      <c r="A838" s="1"/>
      <c r="B838" s="1"/>
      <c r="C838" s="1"/>
      <c r="D838" s="1"/>
    </row>
    <row r="839" spans="1:4" ht="15.75" customHeight="1" x14ac:dyDescent="0.35">
      <c r="A839" s="1"/>
      <c r="B839" s="1"/>
      <c r="C839" s="1"/>
      <c r="D839" s="1"/>
    </row>
    <row r="840" spans="1:4" ht="15.75" customHeight="1" x14ac:dyDescent="0.35">
      <c r="A840" s="1"/>
      <c r="B840" s="1"/>
      <c r="C840" s="1"/>
      <c r="D840" s="1"/>
    </row>
    <row r="841" spans="1:4" ht="15.75" customHeight="1" x14ac:dyDescent="0.35">
      <c r="A841" s="1"/>
      <c r="B841" s="1"/>
      <c r="C841" s="1"/>
      <c r="D841" s="1"/>
    </row>
    <row r="842" spans="1:4" ht="15.75" customHeight="1" x14ac:dyDescent="0.35">
      <c r="A842" s="1"/>
      <c r="B842" s="1"/>
      <c r="C842" s="1"/>
      <c r="D842" s="1"/>
    </row>
    <row r="843" spans="1:4" ht="15.75" customHeight="1" x14ac:dyDescent="0.35">
      <c r="A843" s="1"/>
      <c r="B843" s="1"/>
      <c r="C843" s="1"/>
      <c r="D843" s="1"/>
    </row>
    <row r="844" spans="1:4" ht="15.75" customHeight="1" x14ac:dyDescent="0.35">
      <c r="A844" s="1"/>
      <c r="B844" s="1"/>
      <c r="C844" s="1"/>
      <c r="D844" s="1"/>
    </row>
    <row r="845" spans="1:4" ht="15.75" customHeight="1" x14ac:dyDescent="0.35">
      <c r="A845" s="1"/>
      <c r="B845" s="1"/>
      <c r="C845" s="1"/>
      <c r="D845" s="1"/>
    </row>
    <row r="846" spans="1:4" ht="15.75" customHeight="1" x14ac:dyDescent="0.35">
      <c r="A846" s="1"/>
      <c r="B846" s="1"/>
      <c r="C846" s="1"/>
      <c r="D846" s="1"/>
    </row>
    <row r="847" spans="1:4" ht="15.75" customHeight="1" x14ac:dyDescent="0.35">
      <c r="A847" s="1"/>
      <c r="B847" s="1"/>
      <c r="C847" s="1"/>
      <c r="D847" s="1"/>
    </row>
    <row r="848" spans="1:4" ht="15.75" customHeight="1" x14ac:dyDescent="0.35">
      <c r="A848" s="1"/>
      <c r="B848" s="1"/>
      <c r="C848" s="1"/>
      <c r="D848" s="1"/>
    </row>
    <row r="849" spans="1:4" ht="15.75" customHeight="1" x14ac:dyDescent="0.35">
      <c r="A849" s="1"/>
      <c r="B849" s="1"/>
      <c r="C849" s="1"/>
      <c r="D849" s="1"/>
    </row>
    <row r="850" spans="1:4" ht="15.75" customHeight="1" x14ac:dyDescent="0.35">
      <c r="A850" s="1"/>
      <c r="B850" s="1"/>
      <c r="C850" s="1"/>
      <c r="D850" s="1"/>
    </row>
    <row r="851" spans="1:4" ht="15.75" customHeight="1" x14ac:dyDescent="0.35">
      <c r="A851" s="1"/>
      <c r="B851" s="1"/>
      <c r="C851" s="1"/>
      <c r="D851" s="1"/>
    </row>
    <row r="852" spans="1:4" ht="15.75" customHeight="1" x14ac:dyDescent="0.35">
      <c r="A852" s="1"/>
      <c r="B852" s="1"/>
      <c r="C852" s="1"/>
      <c r="D852" s="1"/>
    </row>
    <row r="853" spans="1:4" ht="15.75" customHeight="1" x14ac:dyDescent="0.35">
      <c r="A853" s="1"/>
      <c r="B853" s="1"/>
      <c r="C853" s="1"/>
      <c r="D853" s="1"/>
    </row>
    <row r="854" spans="1:4" ht="15.75" customHeight="1" x14ac:dyDescent="0.35">
      <c r="A854" s="1"/>
      <c r="B854" s="1"/>
      <c r="C854" s="1"/>
      <c r="D854" s="1"/>
    </row>
    <row r="855" spans="1:4" ht="15.75" customHeight="1" x14ac:dyDescent="0.35">
      <c r="A855" s="1"/>
      <c r="B855" s="1"/>
      <c r="C855" s="1"/>
      <c r="D855" s="1"/>
    </row>
    <row r="856" spans="1:4" ht="15.75" customHeight="1" x14ac:dyDescent="0.35">
      <c r="A856" s="1"/>
      <c r="B856" s="1"/>
      <c r="C856" s="1"/>
      <c r="D856" s="1"/>
    </row>
    <row r="857" spans="1:4" ht="15.75" customHeight="1" x14ac:dyDescent="0.35">
      <c r="A857" s="1"/>
      <c r="B857" s="1"/>
      <c r="C857" s="1"/>
      <c r="D857" s="1"/>
    </row>
    <row r="858" spans="1:4" ht="15.75" customHeight="1" x14ac:dyDescent="0.35">
      <c r="A858" s="1"/>
      <c r="B858" s="1"/>
      <c r="C858" s="1"/>
      <c r="D858" s="1"/>
    </row>
    <row r="859" spans="1:4" ht="15.75" customHeight="1" x14ac:dyDescent="0.35">
      <c r="A859" s="1"/>
      <c r="B859" s="1"/>
      <c r="C859" s="1"/>
      <c r="D859" s="1"/>
    </row>
    <row r="860" spans="1:4" ht="15.75" customHeight="1" x14ac:dyDescent="0.35">
      <c r="A860" s="1"/>
      <c r="B860" s="1"/>
      <c r="C860" s="1"/>
      <c r="D860" s="1"/>
    </row>
    <row r="861" spans="1:4" ht="15.75" customHeight="1" x14ac:dyDescent="0.35">
      <c r="A861" s="1"/>
      <c r="B861" s="1"/>
      <c r="C861" s="1"/>
      <c r="D861" s="1"/>
    </row>
    <row r="862" spans="1:4" ht="15.75" customHeight="1" x14ac:dyDescent="0.35">
      <c r="A862" s="1"/>
      <c r="B862" s="1"/>
      <c r="C862" s="1"/>
      <c r="D862" s="1"/>
    </row>
    <row r="863" spans="1:4" ht="15.75" customHeight="1" x14ac:dyDescent="0.35">
      <c r="A863" s="1"/>
      <c r="B863" s="1"/>
      <c r="C863" s="1"/>
      <c r="D863" s="1"/>
    </row>
    <row r="864" spans="1:4" ht="15.75" customHeight="1" x14ac:dyDescent="0.35">
      <c r="A864" s="1"/>
      <c r="B864" s="1"/>
      <c r="C864" s="1"/>
      <c r="D864" s="1"/>
    </row>
    <row r="865" spans="1:4" ht="15.75" customHeight="1" x14ac:dyDescent="0.35">
      <c r="A865" s="1"/>
      <c r="B865" s="1"/>
      <c r="C865" s="1"/>
      <c r="D865" s="1"/>
    </row>
    <row r="866" spans="1:4" ht="15.75" customHeight="1" x14ac:dyDescent="0.35">
      <c r="A866" s="1"/>
      <c r="B866" s="1"/>
      <c r="C866" s="1"/>
      <c r="D866" s="1"/>
    </row>
    <row r="867" spans="1:4" ht="15.75" customHeight="1" x14ac:dyDescent="0.35">
      <c r="A867" s="1"/>
      <c r="B867" s="1"/>
      <c r="C867" s="1"/>
      <c r="D867" s="1"/>
    </row>
    <row r="868" spans="1:4" ht="15.75" customHeight="1" x14ac:dyDescent="0.35">
      <c r="A868" s="1"/>
      <c r="B868" s="1"/>
      <c r="C868" s="1"/>
      <c r="D868" s="1"/>
    </row>
    <row r="869" spans="1:4" ht="15.75" customHeight="1" x14ac:dyDescent="0.35">
      <c r="A869" s="1"/>
      <c r="B869" s="1"/>
      <c r="C869" s="1"/>
      <c r="D869" s="1"/>
    </row>
    <row r="870" spans="1:4" ht="15.75" customHeight="1" x14ac:dyDescent="0.35">
      <c r="A870" s="1"/>
      <c r="B870" s="1"/>
      <c r="C870" s="1"/>
      <c r="D870" s="1"/>
    </row>
    <row r="871" spans="1:4" ht="15.75" customHeight="1" x14ac:dyDescent="0.35">
      <c r="A871" s="1"/>
      <c r="B871" s="1"/>
      <c r="C871" s="1"/>
      <c r="D871" s="1"/>
    </row>
    <row r="872" spans="1:4" ht="15.75" customHeight="1" x14ac:dyDescent="0.35">
      <c r="A872" s="1"/>
      <c r="B872" s="1"/>
      <c r="C872" s="1"/>
      <c r="D872" s="1"/>
    </row>
    <row r="873" spans="1:4" ht="15.75" customHeight="1" x14ac:dyDescent="0.35">
      <c r="A873" s="1"/>
      <c r="B873" s="1"/>
      <c r="C873" s="1"/>
      <c r="D873" s="1"/>
    </row>
    <row r="874" spans="1:4" ht="15.75" customHeight="1" x14ac:dyDescent="0.35">
      <c r="A874" s="1"/>
      <c r="B874" s="1"/>
      <c r="C874" s="1"/>
      <c r="D874" s="1"/>
    </row>
    <row r="875" spans="1:4" ht="15.75" customHeight="1" x14ac:dyDescent="0.35">
      <c r="A875" s="1"/>
      <c r="B875" s="1"/>
      <c r="C875" s="1"/>
      <c r="D875" s="1"/>
    </row>
    <row r="876" spans="1:4" ht="15.75" customHeight="1" x14ac:dyDescent="0.35">
      <c r="A876" s="1"/>
      <c r="B876" s="1"/>
      <c r="C876" s="1"/>
      <c r="D876" s="1"/>
    </row>
    <row r="877" spans="1:4" ht="15.75" customHeight="1" x14ac:dyDescent="0.35">
      <c r="A877" s="1"/>
      <c r="B877" s="1"/>
      <c r="C877" s="1"/>
      <c r="D877" s="1"/>
    </row>
    <row r="878" spans="1:4" ht="15.75" customHeight="1" x14ac:dyDescent="0.35">
      <c r="A878" s="1"/>
      <c r="B878" s="1"/>
      <c r="C878" s="1"/>
      <c r="D878" s="1"/>
    </row>
    <row r="879" spans="1:4" ht="15.75" customHeight="1" x14ac:dyDescent="0.35">
      <c r="A879" s="1"/>
      <c r="B879" s="1"/>
      <c r="C879" s="1"/>
      <c r="D879" s="1"/>
    </row>
    <row r="880" spans="1:4" ht="15.75" customHeight="1" x14ac:dyDescent="0.35">
      <c r="A880" s="1"/>
      <c r="B880" s="1"/>
      <c r="C880" s="1"/>
      <c r="D880" s="1"/>
    </row>
    <row r="881" spans="1:4" ht="15.75" customHeight="1" x14ac:dyDescent="0.35">
      <c r="A881" s="1"/>
      <c r="B881" s="1"/>
      <c r="C881" s="1"/>
      <c r="D881" s="1"/>
    </row>
    <row r="882" spans="1:4" ht="15.75" customHeight="1" x14ac:dyDescent="0.35">
      <c r="A882" s="1"/>
      <c r="B882" s="1"/>
      <c r="C882" s="1"/>
      <c r="D882" s="1"/>
    </row>
    <row r="883" spans="1:4" ht="15.75" customHeight="1" x14ac:dyDescent="0.35">
      <c r="A883" s="1"/>
      <c r="B883" s="1"/>
      <c r="C883" s="1"/>
      <c r="D883" s="1"/>
    </row>
    <row r="884" spans="1:4" ht="15.75" customHeight="1" x14ac:dyDescent="0.35">
      <c r="A884" s="1"/>
      <c r="B884" s="1"/>
      <c r="C884" s="1"/>
      <c r="D884" s="1"/>
    </row>
    <row r="885" spans="1:4" ht="15.75" customHeight="1" x14ac:dyDescent="0.35">
      <c r="A885" s="1"/>
      <c r="B885" s="1"/>
      <c r="C885" s="1"/>
      <c r="D885" s="1"/>
    </row>
    <row r="886" spans="1:4" ht="15.75" customHeight="1" x14ac:dyDescent="0.35">
      <c r="A886" s="1"/>
      <c r="B886" s="1"/>
      <c r="C886" s="1"/>
      <c r="D886" s="1"/>
    </row>
    <row r="887" spans="1:4" ht="15.75" customHeight="1" x14ac:dyDescent="0.35">
      <c r="A887" s="1"/>
      <c r="B887" s="1"/>
      <c r="C887" s="1"/>
      <c r="D887" s="1"/>
    </row>
    <row r="888" spans="1:4" ht="15.75" customHeight="1" x14ac:dyDescent="0.35">
      <c r="A888" s="1"/>
      <c r="B888" s="1"/>
      <c r="C888" s="1"/>
      <c r="D888" s="1"/>
    </row>
    <row r="889" spans="1:4" ht="15.75" customHeight="1" x14ac:dyDescent="0.35">
      <c r="A889" s="1"/>
      <c r="B889" s="1"/>
      <c r="C889" s="1"/>
      <c r="D889" s="1"/>
    </row>
    <row r="890" spans="1:4" ht="15.75" customHeight="1" x14ac:dyDescent="0.35">
      <c r="A890" s="1"/>
      <c r="B890" s="1"/>
      <c r="C890" s="1"/>
      <c r="D890" s="1"/>
    </row>
    <row r="891" spans="1:4" ht="15.75" customHeight="1" x14ac:dyDescent="0.35">
      <c r="A891" s="1"/>
      <c r="B891" s="1"/>
      <c r="C891" s="1"/>
      <c r="D891" s="1"/>
    </row>
    <row r="892" spans="1:4" ht="15.75" customHeight="1" x14ac:dyDescent="0.35">
      <c r="A892" s="1"/>
      <c r="B892" s="1"/>
      <c r="C892" s="1"/>
      <c r="D892" s="1"/>
    </row>
    <row r="893" spans="1:4" ht="15.75" customHeight="1" x14ac:dyDescent="0.35">
      <c r="A893" s="1"/>
      <c r="B893" s="1"/>
      <c r="C893" s="1"/>
      <c r="D893" s="1"/>
    </row>
    <row r="894" spans="1:4" ht="15.75" customHeight="1" x14ac:dyDescent="0.35">
      <c r="A894" s="1"/>
      <c r="B894" s="1"/>
      <c r="C894" s="1"/>
      <c r="D894" s="1"/>
    </row>
    <row r="895" spans="1:4" ht="15.75" customHeight="1" x14ac:dyDescent="0.35">
      <c r="A895" s="1"/>
      <c r="B895" s="1"/>
      <c r="C895" s="1"/>
      <c r="D895" s="1"/>
    </row>
    <row r="896" spans="1:4" ht="15.75" customHeight="1" x14ac:dyDescent="0.35">
      <c r="A896" s="1"/>
      <c r="B896" s="1"/>
      <c r="C896" s="1"/>
      <c r="D896" s="1"/>
    </row>
    <row r="897" spans="1:4" ht="15.75" customHeight="1" x14ac:dyDescent="0.35">
      <c r="A897" s="1"/>
      <c r="B897" s="1"/>
      <c r="C897" s="1"/>
      <c r="D897" s="1"/>
    </row>
    <row r="898" spans="1:4" ht="15.75" customHeight="1" x14ac:dyDescent="0.35">
      <c r="A898" s="1"/>
      <c r="B898" s="1"/>
      <c r="C898" s="1"/>
      <c r="D898" s="1"/>
    </row>
    <row r="899" spans="1:4" ht="15.75" customHeight="1" x14ac:dyDescent="0.35">
      <c r="A899" s="1"/>
      <c r="B899" s="1"/>
      <c r="C899" s="1"/>
      <c r="D899" s="1"/>
    </row>
    <row r="900" spans="1:4" ht="15.75" customHeight="1" x14ac:dyDescent="0.35">
      <c r="A900" s="1"/>
      <c r="B900" s="1"/>
      <c r="C900" s="1"/>
      <c r="D900" s="1"/>
    </row>
    <row r="901" spans="1:4" ht="15.75" customHeight="1" x14ac:dyDescent="0.35">
      <c r="A901" s="1"/>
      <c r="B901" s="1"/>
      <c r="C901" s="1"/>
      <c r="D901" s="1"/>
    </row>
    <row r="902" spans="1:4" ht="15.75" customHeight="1" x14ac:dyDescent="0.35">
      <c r="A902" s="1"/>
      <c r="B902" s="1"/>
      <c r="C902" s="1"/>
      <c r="D902" s="1"/>
    </row>
    <row r="903" spans="1:4" ht="15.75" customHeight="1" x14ac:dyDescent="0.35">
      <c r="A903" s="1"/>
      <c r="B903" s="1"/>
      <c r="C903" s="1"/>
      <c r="D903" s="1"/>
    </row>
    <row r="904" spans="1:4" ht="15.75" customHeight="1" x14ac:dyDescent="0.35">
      <c r="A904" s="1"/>
      <c r="B904" s="1"/>
      <c r="C904" s="1"/>
      <c r="D904" s="1"/>
    </row>
    <row r="905" spans="1:4" ht="15.75" customHeight="1" x14ac:dyDescent="0.35">
      <c r="A905" s="1"/>
      <c r="B905" s="1"/>
      <c r="C905" s="1"/>
      <c r="D905" s="1"/>
    </row>
    <row r="906" spans="1:4" ht="15.75" customHeight="1" x14ac:dyDescent="0.35">
      <c r="A906" s="1"/>
      <c r="B906" s="1"/>
      <c r="C906" s="1"/>
      <c r="D906" s="1"/>
    </row>
    <row r="907" spans="1:4" ht="15.75" customHeight="1" x14ac:dyDescent="0.35">
      <c r="A907" s="1"/>
      <c r="B907" s="1"/>
      <c r="C907" s="1"/>
      <c r="D907" s="1"/>
    </row>
    <row r="908" spans="1:4" ht="15.75" customHeight="1" x14ac:dyDescent="0.35">
      <c r="A908" s="1"/>
      <c r="B908" s="1"/>
      <c r="C908" s="1"/>
      <c r="D908" s="1"/>
    </row>
    <row r="909" spans="1:4" ht="15.75" customHeight="1" x14ac:dyDescent="0.35">
      <c r="A909" s="1"/>
      <c r="B909" s="1"/>
      <c r="C909" s="1"/>
      <c r="D909" s="1"/>
    </row>
    <row r="910" spans="1:4" ht="15.75" customHeight="1" x14ac:dyDescent="0.35">
      <c r="A910" s="1"/>
      <c r="B910" s="1"/>
      <c r="C910" s="1"/>
      <c r="D910" s="1"/>
    </row>
    <row r="911" spans="1:4" ht="15.75" customHeight="1" x14ac:dyDescent="0.35">
      <c r="A911" s="1"/>
      <c r="B911" s="1"/>
      <c r="C911" s="1"/>
      <c r="D911" s="1"/>
    </row>
    <row r="912" spans="1:4" ht="15.75" customHeight="1" x14ac:dyDescent="0.35">
      <c r="A912" s="1"/>
      <c r="B912" s="1"/>
      <c r="C912" s="1"/>
      <c r="D912" s="1"/>
    </row>
    <row r="913" spans="1:4" ht="15.75" customHeight="1" x14ac:dyDescent="0.35">
      <c r="A913" s="1"/>
      <c r="B913" s="1"/>
      <c r="C913" s="1"/>
      <c r="D913" s="1"/>
    </row>
    <row r="914" spans="1:4" ht="15.75" customHeight="1" x14ac:dyDescent="0.35">
      <c r="A914" s="1"/>
      <c r="B914" s="1"/>
      <c r="C914" s="1"/>
      <c r="D914" s="1"/>
    </row>
    <row r="915" spans="1:4" ht="15.75" customHeight="1" x14ac:dyDescent="0.35">
      <c r="A915" s="1"/>
      <c r="B915" s="1"/>
      <c r="C915" s="1"/>
      <c r="D915" s="1"/>
    </row>
    <row r="916" spans="1:4" ht="15.75" customHeight="1" x14ac:dyDescent="0.35">
      <c r="A916" s="1"/>
      <c r="B916" s="1"/>
      <c r="C916" s="1"/>
      <c r="D916" s="1"/>
    </row>
    <row r="917" spans="1:4" ht="15.75" customHeight="1" x14ac:dyDescent="0.35">
      <c r="A917" s="1"/>
      <c r="B917" s="1"/>
      <c r="C917" s="1"/>
      <c r="D917" s="1"/>
    </row>
    <row r="918" spans="1:4" ht="15.75" customHeight="1" x14ac:dyDescent="0.35">
      <c r="A918" s="1"/>
      <c r="B918" s="1"/>
      <c r="C918" s="1"/>
      <c r="D918" s="1"/>
    </row>
    <row r="919" spans="1:4" ht="15.75" customHeight="1" x14ac:dyDescent="0.35">
      <c r="A919" s="1"/>
      <c r="B919" s="1"/>
      <c r="C919" s="1"/>
      <c r="D919" s="1"/>
    </row>
    <row r="920" spans="1:4" ht="15.75" customHeight="1" x14ac:dyDescent="0.35">
      <c r="A920" s="1"/>
      <c r="B920" s="1"/>
      <c r="C920" s="1"/>
      <c r="D920" s="1"/>
    </row>
    <row r="921" spans="1:4" ht="15.75" customHeight="1" x14ac:dyDescent="0.35">
      <c r="A921" s="1"/>
      <c r="B921" s="1"/>
      <c r="C921" s="1"/>
      <c r="D921" s="1"/>
    </row>
    <row r="922" spans="1:4" ht="15.75" customHeight="1" x14ac:dyDescent="0.35">
      <c r="A922" s="1"/>
      <c r="B922" s="1"/>
      <c r="C922" s="1"/>
      <c r="D922" s="1"/>
    </row>
    <row r="923" spans="1:4" ht="15.75" customHeight="1" x14ac:dyDescent="0.35">
      <c r="A923" s="1"/>
      <c r="B923" s="1"/>
      <c r="C923" s="1"/>
      <c r="D923" s="1"/>
    </row>
    <row r="924" spans="1:4" ht="15.75" customHeight="1" x14ac:dyDescent="0.35">
      <c r="A924" s="1"/>
      <c r="B924" s="1"/>
      <c r="C924" s="1"/>
      <c r="D924" s="1"/>
    </row>
    <row r="925" spans="1:4" ht="15.75" customHeight="1" x14ac:dyDescent="0.35">
      <c r="A925" s="1"/>
      <c r="B925" s="1"/>
      <c r="C925" s="1"/>
      <c r="D925" s="1"/>
    </row>
    <row r="926" spans="1:4" ht="15.75" customHeight="1" x14ac:dyDescent="0.35">
      <c r="A926" s="1"/>
      <c r="B926" s="1"/>
      <c r="C926" s="1"/>
      <c r="D926" s="1"/>
    </row>
    <row r="927" spans="1:4" ht="15.75" customHeight="1" x14ac:dyDescent="0.35">
      <c r="A927" s="1"/>
      <c r="B927" s="1"/>
      <c r="C927" s="1"/>
      <c r="D927" s="1"/>
    </row>
    <row r="928" spans="1:4" ht="15.75" customHeight="1" x14ac:dyDescent="0.35">
      <c r="A928" s="1"/>
      <c r="B928" s="1"/>
      <c r="C928" s="1"/>
      <c r="D928" s="1"/>
    </row>
    <row r="929" spans="1:4" ht="15.75" customHeight="1" x14ac:dyDescent="0.35">
      <c r="A929" s="1"/>
      <c r="B929" s="1"/>
      <c r="C929" s="1"/>
      <c r="D929" s="1"/>
    </row>
    <row r="930" spans="1:4" ht="15.75" customHeight="1" x14ac:dyDescent="0.35">
      <c r="A930" s="1"/>
      <c r="B930" s="1"/>
      <c r="C930" s="1"/>
      <c r="D930" s="1"/>
    </row>
    <row r="931" spans="1:4" ht="15.75" customHeight="1" x14ac:dyDescent="0.35">
      <c r="A931" s="1"/>
      <c r="B931" s="1"/>
      <c r="C931" s="1"/>
      <c r="D931" s="1"/>
    </row>
    <row r="932" spans="1:4" ht="15.75" customHeight="1" x14ac:dyDescent="0.35">
      <c r="A932" s="1"/>
      <c r="B932" s="1"/>
      <c r="C932" s="1"/>
      <c r="D932" s="1"/>
    </row>
    <row r="933" spans="1:4" ht="15.75" customHeight="1" x14ac:dyDescent="0.35">
      <c r="A933" s="1"/>
      <c r="B933" s="1"/>
      <c r="C933" s="1"/>
      <c r="D933" s="1"/>
    </row>
    <row r="934" spans="1:4" ht="15.75" customHeight="1" x14ac:dyDescent="0.35">
      <c r="A934" s="1"/>
      <c r="B934" s="1"/>
      <c r="C934" s="1"/>
      <c r="D934" s="1"/>
    </row>
    <row r="935" spans="1:4" ht="15.75" customHeight="1" x14ac:dyDescent="0.35">
      <c r="A935" s="1"/>
      <c r="B935" s="1"/>
      <c r="C935" s="1"/>
      <c r="D935" s="1"/>
    </row>
    <row r="936" spans="1:4" ht="15.75" customHeight="1" x14ac:dyDescent="0.35">
      <c r="A936" s="1"/>
      <c r="B936" s="1"/>
      <c r="C936" s="1"/>
      <c r="D936" s="1"/>
    </row>
    <row r="937" spans="1:4" ht="15.75" customHeight="1" x14ac:dyDescent="0.35">
      <c r="A937" s="1"/>
      <c r="B937" s="1"/>
      <c r="C937" s="1"/>
      <c r="D937" s="1"/>
    </row>
    <row r="938" spans="1:4" ht="15.75" customHeight="1" x14ac:dyDescent="0.35">
      <c r="A938" s="1"/>
      <c r="B938" s="1"/>
      <c r="C938" s="1"/>
      <c r="D938" s="1"/>
    </row>
    <row r="939" spans="1:4" ht="15.75" customHeight="1" x14ac:dyDescent="0.35">
      <c r="A939" s="1"/>
      <c r="B939" s="1"/>
      <c r="C939" s="1"/>
      <c r="D939" s="1"/>
    </row>
    <row r="940" spans="1:4" ht="15.75" customHeight="1" x14ac:dyDescent="0.35">
      <c r="A940" s="1"/>
      <c r="B940" s="1"/>
      <c r="C940" s="1"/>
      <c r="D940" s="1"/>
    </row>
    <row r="941" spans="1:4" ht="15.75" customHeight="1" x14ac:dyDescent="0.35">
      <c r="A941" s="1"/>
      <c r="B941" s="1"/>
      <c r="C941" s="1"/>
      <c r="D941" s="1"/>
    </row>
    <row r="942" spans="1:4" ht="15.75" customHeight="1" x14ac:dyDescent="0.35">
      <c r="A942" s="1"/>
      <c r="B942" s="1"/>
      <c r="C942" s="1"/>
      <c r="D942" s="1"/>
    </row>
    <row r="943" spans="1:4" ht="15.75" customHeight="1" x14ac:dyDescent="0.35">
      <c r="A943" s="1"/>
      <c r="B943" s="1"/>
      <c r="C943" s="1"/>
      <c r="D943" s="1"/>
    </row>
    <row r="944" spans="1:4" ht="15.75" customHeight="1" x14ac:dyDescent="0.35">
      <c r="A944" s="1"/>
      <c r="B944" s="1"/>
      <c r="C944" s="1"/>
      <c r="D944" s="1"/>
    </row>
    <row r="945" spans="1:4" ht="15.75" customHeight="1" x14ac:dyDescent="0.35">
      <c r="A945" s="1"/>
      <c r="B945" s="1"/>
      <c r="C945" s="1"/>
      <c r="D945" s="1"/>
    </row>
    <row r="946" spans="1:4" ht="15.75" customHeight="1" x14ac:dyDescent="0.35">
      <c r="A946" s="1"/>
      <c r="B946" s="1"/>
      <c r="C946" s="1"/>
      <c r="D946" s="1"/>
    </row>
    <row r="947" spans="1:4" ht="15.75" customHeight="1" x14ac:dyDescent="0.35">
      <c r="A947" s="1"/>
      <c r="B947" s="1"/>
      <c r="C947" s="1"/>
      <c r="D947" s="1"/>
    </row>
    <row r="948" spans="1:4" ht="15.75" customHeight="1" x14ac:dyDescent="0.35">
      <c r="A948" s="1"/>
      <c r="B948" s="1"/>
      <c r="C948" s="1"/>
      <c r="D948" s="1"/>
    </row>
    <row r="949" spans="1:4" ht="15.75" customHeight="1" x14ac:dyDescent="0.35">
      <c r="A949" s="1"/>
      <c r="B949" s="1"/>
      <c r="C949" s="1"/>
      <c r="D949" s="1"/>
    </row>
    <row r="950" spans="1:4" ht="15.75" customHeight="1" x14ac:dyDescent="0.35">
      <c r="A950" s="1"/>
      <c r="B950" s="1"/>
      <c r="C950" s="1"/>
      <c r="D950" s="1"/>
    </row>
    <row r="951" spans="1:4" ht="15.75" customHeight="1" x14ac:dyDescent="0.35">
      <c r="A951" s="1"/>
      <c r="B951" s="1"/>
      <c r="C951" s="1"/>
      <c r="D951" s="1"/>
    </row>
    <row r="952" spans="1:4" ht="15.75" customHeight="1" x14ac:dyDescent="0.35">
      <c r="A952" s="1"/>
      <c r="B952" s="1"/>
      <c r="C952" s="1"/>
      <c r="D952" s="1"/>
    </row>
    <row r="953" spans="1:4" ht="15.75" customHeight="1" x14ac:dyDescent="0.35">
      <c r="A953" s="1"/>
      <c r="B953" s="1"/>
      <c r="C953" s="1"/>
      <c r="D953" s="1"/>
    </row>
    <row r="954" spans="1:4" ht="15.75" customHeight="1" x14ac:dyDescent="0.35">
      <c r="A954" s="1"/>
      <c r="B954" s="1"/>
      <c r="C954" s="1"/>
      <c r="D954" s="1"/>
    </row>
    <row r="955" spans="1:4" ht="15.75" customHeight="1" x14ac:dyDescent="0.35">
      <c r="A955" s="1"/>
      <c r="B955" s="1"/>
      <c r="C955" s="1"/>
      <c r="D955" s="1"/>
    </row>
    <row r="956" spans="1:4" ht="15.75" customHeight="1" x14ac:dyDescent="0.35">
      <c r="A956" s="1"/>
      <c r="B956" s="1"/>
      <c r="C956" s="1"/>
      <c r="D956" s="1"/>
    </row>
    <row r="957" spans="1:4" ht="15.75" customHeight="1" x14ac:dyDescent="0.35">
      <c r="A957" s="1"/>
      <c r="B957" s="1"/>
      <c r="C957" s="1"/>
      <c r="D957" s="1"/>
    </row>
    <row r="958" spans="1:4" ht="15.75" customHeight="1" x14ac:dyDescent="0.35">
      <c r="A958" s="1"/>
      <c r="B958" s="1"/>
      <c r="C958" s="1"/>
      <c r="D958" s="1"/>
    </row>
    <row r="959" spans="1:4" ht="15.75" customHeight="1" x14ac:dyDescent="0.35">
      <c r="A959" s="1"/>
      <c r="B959" s="1"/>
      <c r="C959" s="1"/>
      <c r="D959" s="1"/>
    </row>
    <row r="960" spans="1:4" ht="15.75" customHeight="1" x14ac:dyDescent="0.35">
      <c r="A960" s="1"/>
      <c r="B960" s="1"/>
      <c r="C960" s="1"/>
      <c r="D960" s="1"/>
    </row>
    <row r="961" spans="1:4" ht="15.75" customHeight="1" x14ac:dyDescent="0.35">
      <c r="A961" s="1"/>
      <c r="B961" s="1"/>
      <c r="C961" s="1"/>
      <c r="D961" s="1"/>
    </row>
    <row r="962" spans="1:4" ht="15.75" customHeight="1" x14ac:dyDescent="0.35">
      <c r="A962" s="1"/>
      <c r="B962" s="1"/>
      <c r="C962" s="1"/>
      <c r="D962" s="1"/>
    </row>
    <row r="963" spans="1:4" ht="15.75" customHeight="1" x14ac:dyDescent="0.35">
      <c r="A963" s="1"/>
      <c r="B963" s="1"/>
      <c r="C963" s="1"/>
      <c r="D963" s="1"/>
    </row>
    <row r="964" spans="1:4" ht="15.75" customHeight="1" x14ac:dyDescent="0.35">
      <c r="A964" s="1"/>
      <c r="B964" s="1"/>
      <c r="C964" s="1"/>
      <c r="D964" s="1"/>
    </row>
    <row r="965" spans="1:4" ht="15.75" customHeight="1" x14ac:dyDescent="0.35">
      <c r="A965" s="1"/>
      <c r="B965" s="1"/>
      <c r="C965" s="1"/>
      <c r="D965" s="1"/>
    </row>
    <row r="966" spans="1:4" ht="15.75" customHeight="1" x14ac:dyDescent="0.35">
      <c r="A966" s="1"/>
      <c r="B966" s="1"/>
      <c r="C966" s="1"/>
      <c r="D966" s="1"/>
    </row>
    <row r="967" spans="1:4" ht="15.75" customHeight="1" x14ac:dyDescent="0.35">
      <c r="A967" s="1"/>
      <c r="B967" s="1"/>
      <c r="C967" s="1"/>
      <c r="D967" s="1"/>
    </row>
    <row r="968" spans="1:4" ht="15.75" customHeight="1" x14ac:dyDescent="0.35">
      <c r="A968" s="1"/>
      <c r="B968" s="1"/>
      <c r="C968" s="1"/>
      <c r="D968" s="1"/>
    </row>
    <row r="969" spans="1:4" ht="15.75" customHeight="1" x14ac:dyDescent="0.35">
      <c r="A969" s="1"/>
      <c r="B969" s="1"/>
      <c r="C969" s="1"/>
      <c r="D969" s="1"/>
    </row>
    <row r="970" spans="1:4" ht="15.75" customHeight="1" x14ac:dyDescent="0.35">
      <c r="A970" s="1"/>
      <c r="B970" s="1"/>
      <c r="C970" s="1"/>
      <c r="D970" s="1"/>
    </row>
    <row r="971" spans="1:4" ht="15.75" customHeight="1" x14ac:dyDescent="0.35">
      <c r="A971" s="1"/>
      <c r="B971" s="1"/>
      <c r="C971" s="1"/>
      <c r="D971" s="1"/>
    </row>
    <row r="972" spans="1:4" ht="15.75" customHeight="1" x14ac:dyDescent="0.35">
      <c r="A972" s="1"/>
      <c r="B972" s="1"/>
      <c r="C972" s="1"/>
      <c r="D972" s="1"/>
    </row>
    <row r="973" spans="1:4" ht="15.75" customHeight="1" x14ac:dyDescent="0.35">
      <c r="A973" s="1"/>
      <c r="B973" s="1"/>
      <c r="C973" s="1"/>
      <c r="D973" s="1"/>
    </row>
    <row r="974" spans="1:4" ht="15.75" customHeight="1" x14ac:dyDescent="0.35">
      <c r="A974" s="1"/>
      <c r="B974" s="1"/>
      <c r="C974" s="1"/>
      <c r="D974" s="1"/>
    </row>
    <row r="975" spans="1:4" ht="15.75" customHeight="1" x14ac:dyDescent="0.35">
      <c r="A975" s="1"/>
      <c r="B975" s="1"/>
      <c r="C975" s="1"/>
      <c r="D975" s="1"/>
    </row>
    <row r="976" spans="1:4" ht="15.75" customHeight="1" x14ac:dyDescent="0.35">
      <c r="A976" s="1"/>
      <c r="B976" s="1"/>
      <c r="C976" s="1"/>
      <c r="D976" s="1"/>
    </row>
    <row r="977" spans="1:4" ht="15.75" customHeight="1" x14ac:dyDescent="0.35">
      <c r="A977" s="1"/>
      <c r="B977" s="1"/>
      <c r="C977" s="1"/>
      <c r="D977" s="1"/>
    </row>
    <row r="978" spans="1:4" ht="15.75" customHeight="1" x14ac:dyDescent="0.35">
      <c r="A978" s="1"/>
      <c r="B978" s="1"/>
      <c r="C978" s="1"/>
      <c r="D978" s="1"/>
    </row>
    <row r="979" spans="1:4" ht="15.75" customHeight="1" x14ac:dyDescent="0.35">
      <c r="A979" s="1"/>
      <c r="B979" s="1"/>
      <c r="C979" s="1"/>
      <c r="D979" s="1"/>
    </row>
    <row r="980" spans="1:4" ht="15.75" customHeight="1" x14ac:dyDescent="0.35">
      <c r="A980" s="1"/>
      <c r="B980" s="1"/>
      <c r="C980" s="1"/>
      <c r="D980" s="1"/>
    </row>
    <row r="981" spans="1:4" ht="15.75" customHeight="1" x14ac:dyDescent="0.35">
      <c r="A981" s="1"/>
      <c r="B981" s="1"/>
      <c r="C981" s="1"/>
      <c r="D981" s="1"/>
    </row>
    <row r="982" spans="1:4" ht="15.75" customHeight="1" x14ac:dyDescent="0.35">
      <c r="A982" s="1"/>
      <c r="B982" s="1"/>
      <c r="C982" s="1"/>
      <c r="D982" s="1"/>
    </row>
    <row r="983" spans="1:4" ht="15.75" customHeight="1" x14ac:dyDescent="0.35">
      <c r="A983" s="1"/>
      <c r="B983" s="1"/>
      <c r="C983" s="1"/>
      <c r="D983" s="1"/>
    </row>
    <row r="984" spans="1:4" ht="15.75" customHeight="1" x14ac:dyDescent="0.35">
      <c r="A984" s="1"/>
      <c r="B984" s="1"/>
      <c r="C984" s="1"/>
      <c r="D984" s="1"/>
    </row>
    <row r="985" spans="1:4" ht="16.5" x14ac:dyDescent="0.35">
      <c r="A985" s="1"/>
      <c r="B985" s="1"/>
      <c r="C985" s="1"/>
      <c r="D985" s="1"/>
    </row>
    <row r="986" spans="1:4" ht="16.5" x14ac:dyDescent="0.35">
      <c r="A986" s="1"/>
      <c r="B986" s="1"/>
      <c r="C986" s="1"/>
      <c r="D986" s="1"/>
    </row>
    <row r="987" spans="1:4" ht="16.5" x14ac:dyDescent="0.35">
      <c r="A987" s="1"/>
      <c r="B987" s="1"/>
      <c r="C987" s="1"/>
      <c r="D987" s="1"/>
    </row>
    <row r="988" spans="1:4" ht="16.5" x14ac:dyDescent="0.35">
      <c r="A988" s="1"/>
      <c r="B988" s="1"/>
      <c r="C988" s="1"/>
      <c r="D988" s="1"/>
    </row>
    <row r="989" spans="1:4" ht="16.5" x14ac:dyDescent="0.35">
      <c r="A989" s="1"/>
      <c r="B989" s="1"/>
      <c r="C989" s="1"/>
      <c r="D989" s="1"/>
    </row>
    <row r="990" spans="1:4" ht="16.5" x14ac:dyDescent="0.35">
      <c r="A990" s="1"/>
      <c r="B990" s="1"/>
      <c r="C990" s="1"/>
      <c r="D990" s="1"/>
    </row>
    <row r="991" spans="1:4" ht="16.5" x14ac:dyDescent="0.35">
      <c r="A991" s="1"/>
      <c r="B991" s="1"/>
      <c r="C991" s="1"/>
      <c r="D991" s="1"/>
    </row>
    <row r="992" spans="1:4" ht="16.5" x14ac:dyDescent="0.35">
      <c r="A992" s="1"/>
      <c r="B992" s="1"/>
      <c r="C992" s="1"/>
      <c r="D992" s="1"/>
    </row>
    <row r="993" spans="1:4" ht="16.5" x14ac:dyDescent="0.35">
      <c r="A993" s="1"/>
      <c r="B993" s="1"/>
      <c r="C993" s="1"/>
      <c r="D993" s="1"/>
    </row>
    <row r="994" spans="1:4" ht="16.5" x14ac:dyDescent="0.35">
      <c r="A994" s="1"/>
      <c r="B994" s="1"/>
      <c r="C994" s="1"/>
      <c r="D994" s="1"/>
    </row>
    <row r="995" spans="1:4" ht="16.5" x14ac:dyDescent="0.35">
      <c r="A995" s="1"/>
      <c r="B995" s="1"/>
      <c r="C995" s="1"/>
      <c r="D995" s="1"/>
    </row>
    <row r="996" spans="1:4" ht="16.5" x14ac:dyDescent="0.35">
      <c r="A996" s="1"/>
      <c r="B996" s="1"/>
      <c r="C996" s="1"/>
      <c r="D996" s="1"/>
    </row>
    <row r="997" spans="1:4" ht="16.5" x14ac:dyDescent="0.35">
      <c r="A997" s="1"/>
      <c r="B997" s="1"/>
      <c r="C997" s="1"/>
      <c r="D997" s="1"/>
    </row>
    <row r="998" spans="1:4" ht="16.5" x14ac:dyDescent="0.35">
      <c r="A998" s="1"/>
      <c r="B998" s="1"/>
      <c r="C998" s="1"/>
      <c r="D998" s="1"/>
    </row>
    <row r="999" spans="1:4" ht="16.5" x14ac:dyDescent="0.35">
      <c r="A999" s="1"/>
      <c r="B999" s="1"/>
      <c r="C999" s="1"/>
      <c r="D999" s="1"/>
    </row>
    <row r="1000" spans="1:4" ht="16.5" x14ac:dyDescent="0.35">
      <c r="A1000" s="1"/>
      <c r="B1000" s="1"/>
      <c r="C1000" s="1"/>
      <c r="D1000" s="1"/>
    </row>
    <row r="1001" spans="1:4" ht="16.5" x14ac:dyDescent="0.35">
      <c r="A1001" s="1" t="s">
        <v>509</v>
      </c>
      <c r="B1001" s="1" t="s">
        <v>510</v>
      </c>
      <c r="C1001" s="1" t="s">
        <v>2645</v>
      </c>
      <c r="D1001" s="1"/>
    </row>
  </sheetData>
  <autoFilter ref="A1:K259" xr:uid="{00000000-0001-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58"/>
  <sheetViews>
    <sheetView workbookViewId="0"/>
  </sheetViews>
  <sheetFormatPr defaultColWidth="12.54296875" defaultRowHeight="15" customHeight="1" x14ac:dyDescent="0.25"/>
  <sheetData>
    <row r="1" spans="1:12" ht="15" customHeight="1" x14ac:dyDescent="0.35">
      <c r="A1" s="3" t="s">
        <v>1</v>
      </c>
      <c r="B1" s="3" t="s">
        <v>618</v>
      </c>
      <c r="C1" s="3" t="s">
        <v>619</v>
      </c>
      <c r="D1" s="3" t="s">
        <v>620</v>
      </c>
      <c r="E1" s="3" t="s">
        <v>621</v>
      </c>
      <c r="F1" s="3" t="s">
        <v>622</v>
      </c>
      <c r="G1" s="3" t="s">
        <v>623</v>
      </c>
      <c r="H1" s="3" t="s">
        <v>624</v>
      </c>
      <c r="I1" s="3" t="s">
        <v>625</v>
      </c>
      <c r="J1" s="3" t="s">
        <v>626</v>
      </c>
      <c r="K1" s="3" t="s">
        <v>627</v>
      </c>
      <c r="L1" s="3" t="s">
        <v>628</v>
      </c>
    </row>
    <row r="2" spans="1:12" ht="15" customHeight="1" x14ac:dyDescent="0.35">
      <c r="A2" s="3" t="s">
        <v>461</v>
      </c>
      <c r="B2" s="3" t="s">
        <v>462</v>
      </c>
      <c r="C2" s="3" t="s">
        <v>629</v>
      </c>
      <c r="D2" s="3">
        <v>767551049</v>
      </c>
      <c r="E2" s="3" t="s">
        <v>630</v>
      </c>
      <c r="F2" s="3" t="s">
        <v>631</v>
      </c>
      <c r="G2" s="3" t="s">
        <v>632</v>
      </c>
      <c r="H2" s="3" t="s">
        <v>633</v>
      </c>
      <c r="I2" s="3" t="s">
        <v>634</v>
      </c>
      <c r="J2" s="3">
        <v>124</v>
      </c>
      <c r="K2" s="3">
        <v>8.6</v>
      </c>
      <c r="L2" s="3" t="s">
        <v>635</v>
      </c>
    </row>
    <row r="3" spans="1:12" ht="15" customHeight="1" x14ac:dyDescent="0.35">
      <c r="A3" s="3" t="s">
        <v>308</v>
      </c>
      <c r="B3" s="3" t="s">
        <v>309</v>
      </c>
      <c r="C3" s="4">
        <v>38175</v>
      </c>
      <c r="D3" s="3">
        <v>858485811</v>
      </c>
      <c r="E3" s="3" t="s">
        <v>636</v>
      </c>
      <c r="F3" s="3">
        <v>412</v>
      </c>
      <c r="G3" s="3" t="s">
        <v>637</v>
      </c>
      <c r="H3" s="3" t="s">
        <v>633</v>
      </c>
      <c r="I3" s="3" t="s">
        <v>634</v>
      </c>
      <c r="J3" s="3">
        <v>124</v>
      </c>
      <c r="K3" s="3">
        <v>8.51</v>
      </c>
      <c r="L3" s="3" t="s">
        <v>635</v>
      </c>
    </row>
    <row r="4" spans="1:12" ht="15" customHeight="1" x14ac:dyDescent="0.35">
      <c r="A4" s="3" t="s">
        <v>463</v>
      </c>
      <c r="B4" s="3" t="s">
        <v>464</v>
      </c>
      <c r="C4" s="3" t="s">
        <v>638</v>
      </c>
      <c r="D4" s="3">
        <v>943865399</v>
      </c>
      <c r="E4" s="3" t="s">
        <v>639</v>
      </c>
      <c r="F4" s="3">
        <v>404</v>
      </c>
      <c r="G4" s="3" t="s">
        <v>640</v>
      </c>
      <c r="H4" s="3" t="s">
        <v>633</v>
      </c>
      <c r="I4" s="3" t="s">
        <v>634</v>
      </c>
      <c r="J4" s="3">
        <v>128</v>
      </c>
      <c r="K4" s="3">
        <v>8.51</v>
      </c>
      <c r="L4" s="3" t="s">
        <v>635</v>
      </c>
    </row>
    <row r="5" spans="1:12" ht="15" customHeight="1" x14ac:dyDescent="0.35">
      <c r="A5" s="3" t="s">
        <v>261</v>
      </c>
      <c r="B5" s="3" t="s">
        <v>262</v>
      </c>
      <c r="C5" s="3" t="s">
        <v>641</v>
      </c>
      <c r="D5" s="3">
        <v>816109429</v>
      </c>
      <c r="E5" s="3" t="s">
        <v>642</v>
      </c>
      <c r="F5" s="3">
        <v>412</v>
      </c>
      <c r="G5" s="3" t="s">
        <v>637</v>
      </c>
      <c r="H5" s="3" t="s">
        <v>633</v>
      </c>
      <c r="I5" s="3" t="s">
        <v>634</v>
      </c>
      <c r="J5" s="3">
        <v>121</v>
      </c>
      <c r="K5" s="3">
        <v>7.4</v>
      </c>
      <c r="L5" s="3" t="s">
        <v>643</v>
      </c>
    </row>
    <row r="6" spans="1:12" ht="15" customHeight="1" x14ac:dyDescent="0.35">
      <c r="A6" s="3" t="s">
        <v>264</v>
      </c>
      <c r="B6" s="3" t="s">
        <v>265</v>
      </c>
      <c r="C6" s="5">
        <v>38332</v>
      </c>
      <c r="D6" s="3">
        <v>911789147</v>
      </c>
      <c r="E6" s="3" t="s">
        <v>644</v>
      </c>
      <c r="F6" s="3">
        <v>412</v>
      </c>
      <c r="G6" s="3" t="s">
        <v>637</v>
      </c>
      <c r="H6" s="3" t="s">
        <v>633</v>
      </c>
      <c r="I6" s="3" t="s">
        <v>634</v>
      </c>
      <c r="J6" s="3">
        <v>124</v>
      </c>
      <c r="K6" s="3">
        <v>7.24</v>
      </c>
      <c r="L6" s="3" t="s">
        <v>643</v>
      </c>
    </row>
    <row r="7" spans="1:12" ht="15" customHeight="1" x14ac:dyDescent="0.35">
      <c r="A7" s="3" t="s">
        <v>266</v>
      </c>
      <c r="B7" s="3" t="s">
        <v>267</v>
      </c>
      <c r="C7" s="4">
        <v>38201</v>
      </c>
      <c r="D7" s="3">
        <v>862209865</v>
      </c>
      <c r="E7" s="3" t="s">
        <v>645</v>
      </c>
      <c r="F7" s="3">
        <v>412</v>
      </c>
      <c r="G7" s="3" t="s">
        <v>637</v>
      </c>
      <c r="H7" s="3" t="s">
        <v>633</v>
      </c>
      <c r="I7" s="3" t="s">
        <v>634</v>
      </c>
      <c r="J7" s="3">
        <v>124</v>
      </c>
      <c r="K7" s="3">
        <v>7.36</v>
      </c>
      <c r="L7" s="3" t="s">
        <v>643</v>
      </c>
    </row>
    <row r="8" spans="1:12" ht="15" customHeight="1" x14ac:dyDescent="0.35">
      <c r="A8" s="3" t="s">
        <v>311</v>
      </c>
      <c r="B8" s="3" t="s">
        <v>312</v>
      </c>
      <c r="C8" s="3" t="s">
        <v>646</v>
      </c>
      <c r="D8" s="3">
        <v>949271804</v>
      </c>
      <c r="E8" s="3" t="s">
        <v>647</v>
      </c>
      <c r="F8" s="3">
        <v>412</v>
      </c>
      <c r="G8" s="3" t="s">
        <v>637</v>
      </c>
      <c r="H8" s="3" t="s">
        <v>633</v>
      </c>
      <c r="I8" s="3" t="s">
        <v>634</v>
      </c>
      <c r="J8" s="3">
        <v>124</v>
      </c>
      <c r="K8" s="3">
        <v>7.99</v>
      </c>
      <c r="L8" s="3" t="s">
        <v>643</v>
      </c>
    </row>
    <row r="9" spans="1:12" ht="15" customHeight="1" x14ac:dyDescent="0.35">
      <c r="A9" s="3" t="s">
        <v>498</v>
      </c>
      <c r="B9" s="3" t="s">
        <v>499</v>
      </c>
      <c r="C9" s="4">
        <v>38027</v>
      </c>
      <c r="D9" s="6"/>
      <c r="E9" s="3" t="s">
        <v>648</v>
      </c>
      <c r="F9" s="3">
        <v>404</v>
      </c>
      <c r="G9" s="3" t="s">
        <v>640</v>
      </c>
      <c r="H9" s="3" t="s">
        <v>633</v>
      </c>
      <c r="I9" s="3" t="s">
        <v>634</v>
      </c>
      <c r="J9" s="3">
        <v>122</v>
      </c>
      <c r="K9" s="3">
        <v>8.25</v>
      </c>
      <c r="L9" s="3" t="s">
        <v>635</v>
      </c>
    </row>
    <row r="10" spans="1:12" ht="15" customHeight="1" x14ac:dyDescent="0.35">
      <c r="A10" s="3" t="s">
        <v>465</v>
      </c>
      <c r="B10" s="3" t="s">
        <v>466</v>
      </c>
      <c r="C10" s="3" t="s">
        <v>649</v>
      </c>
      <c r="D10" s="3">
        <v>835484304</v>
      </c>
      <c r="E10" s="3" t="s">
        <v>650</v>
      </c>
      <c r="F10" s="3">
        <v>404</v>
      </c>
      <c r="G10" s="3" t="s">
        <v>640</v>
      </c>
      <c r="H10" s="3" t="s">
        <v>633</v>
      </c>
      <c r="I10" s="3" t="s">
        <v>634</v>
      </c>
      <c r="J10" s="3">
        <v>126</v>
      </c>
      <c r="K10" s="3">
        <v>8.4600000000000009</v>
      </c>
      <c r="L10" s="3" t="s">
        <v>635</v>
      </c>
    </row>
    <row r="11" spans="1:12" ht="15" customHeight="1" x14ac:dyDescent="0.35">
      <c r="A11" s="3" t="s">
        <v>467</v>
      </c>
      <c r="B11" s="3" t="s">
        <v>468</v>
      </c>
      <c r="C11" s="3" t="s">
        <v>651</v>
      </c>
      <c r="D11" s="3">
        <v>794563867</v>
      </c>
      <c r="E11" s="3" t="s">
        <v>652</v>
      </c>
      <c r="F11" s="3">
        <v>404</v>
      </c>
      <c r="G11" s="3" t="s">
        <v>640</v>
      </c>
      <c r="H11" s="3" t="s">
        <v>633</v>
      </c>
      <c r="I11" s="3" t="s">
        <v>634</v>
      </c>
      <c r="J11" s="3">
        <v>126</v>
      </c>
      <c r="K11" s="3">
        <v>8.09</v>
      </c>
      <c r="L11" s="3" t="s">
        <v>635</v>
      </c>
    </row>
    <row r="12" spans="1:12" ht="15" customHeight="1" x14ac:dyDescent="0.35">
      <c r="A12" s="3" t="s">
        <v>469</v>
      </c>
      <c r="B12" s="3" t="s">
        <v>470</v>
      </c>
      <c r="C12" s="4">
        <v>37842</v>
      </c>
      <c r="D12" s="3">
        <v>363954822</v>
      </c>
      <c r="E12" s="3" t="s">
        <v>653</v>
      </c>
      <c r="F12" s="3">
        <v>404</v>
      </c>
      <c r="G12" s="3" t="s">
        <v>640</v>
      </c>
      <c r="H12" s="3" t="s">
        <v>633</v>
      </c>
      <c r="I12" s="3" t="s">
        <v>634</v>
      </c>
      <c r="J12" s="3">
        <v>126</v>
      </c>
      <c r="K12" s="3">
        <v>8.0500000000000007</v>
      </c>
      <c r="L12" s="3" t="s">
        <v>635</v>
      </c>
    </row>
    <row r="13" spans="1:12" ht="15" customHeight="1" x14ac:dyDescent="0.35">
      <c r="A13" s="3" t="s">
        <v>471</v>
      </c>
      <c r="B13" s="3" t="s">
        <v>472</v>
      </c>
      <c r="C13" s="4">
        <v>38328</v>
      </c>
      <c r="D13" s="6"/>
      <c r="E13" s="3" t="s">
        <v>654</v>
      </c>
      <c r="F13" s="3">
        <v>404</v>
      </c>
      <c r="G13" s="3" t="s">
        <v>640</v>
      </c>
      <c r="H13" s="3" t="s">
        <v>633</v>
      </c>
      <c r="I13" s="3" t="s">
        <v>634</v>
      </c>
      <c r="J13" s="3">
        <v>126</v>
      </c>
      <c r="K13" s="3">
        <v>7.96</v>
      </c>
      <c r="L13" s="3" t="s">
        <v>643</v>
      </c>
    </row>
    <row r="14" spans="1:12" ht="15" customHeight="1" x14ac:dyDescent="0.35">
      <c r="A14" s="3" t="s">
        <v>473</v>
      </c>
      <c r="B14" s="3" t="s">
        <v>474</v>
      </c>
      <c r="C14" s="4">
        <v>36861</v>
      </c>
      <c r="D14" s="6"/>
      <c r="E14" s="3" t="s">
        <v>655</v>
      </c>
      <c r="F14" s="3">
        <v>404</v>
      </c>
      <c r="G14" s="3" t="s">
        <v>640</v>
      </c>
      <c r="H14" s="3" t="s">
        <v>633</v>
      </c>
      <c r="I14" s="3" t="s">
        <v>634</v>
      </c>
      <c r="J14" s="3">
        <v>126</v>
      </c>
      <c r="K14" s="3">
        <v>7.69</v>
      </c>
      <c r="L14" s="3" t="s">
        <v>643</v>
      </c>
    </row>
    <row r="15" spans="1:12" ht="15" customHeight="1" x14ac:dyDescent="0.35">
      <c r="A15" s="3" t="s">
        <v>475</v>
      </c>
      <c r="B15" s="3" t="s">
        <v>476</v>
      </c>
      <c r="C15" s="3" t="s">
        <v>656</v>
      </c>
      <c r="D15" s="3">
        <v>901669495</v>
      </c>
      <c r="E15" s="3" t="s">
        <v>657</v>
      </c>
      <c r="F15" s="3">
        <v>404</v>
      </c>
      <c r="G15" s="3" t="s">
        <v>640</v>
      </c>
      <c r="H15" s="3" t="s">
        <v>633</v>
      </c>
      <c r="I15" s="3" t="s">
        <v>634</v>
      </c>
      <c r="J15" s="3">
        <v>126</v>
      </c>
      <c r="K15" s="3">
        <v>8.2899999999999991</v>
      </c>
      <c r="L15" s="3" t="s">
        <v>635</v>
      </c>
    </row>
    <row r="16" spans="1:12" ht="15" customHeight="1" x14ac:dyDescent="0.35">
      <c r="A16" s="3" t="s">
        <v>511</v>
      </c>
      <c r="B16" s="3" t="s">
        <v>512</v>
      </c>
      <c r="C16" s="3" t="s">
        <v>658</v>
      </c>
      <c r="D16" s="3">
        <v>867050070</v>
      </c>
      <c r="E16" s="3" t="s">
        <v>659</v>
      </c>
      <c r="F16" s="3">
        <v>404</v>
      </c>
      <c r="G16" s="3" t="s">
        <v>640</v>
      </c>
      <c r="H16" s="3" t="s">
        <v>633</v>
      </c>
      <c r="I16" s="3" t="s">
        <v>634</v>
      </c>
      <c r="J16" s="3">
        <v>126</v>
      </c>
      <c r="K16" s="3">
        <v>8.49</v>
      </c>
      <c r="L16" s="3" t="s">
        <v>635</v>
      </c>
    </row>
    <row r="17" spans="1:12" ht="15" customHeight="1" x14ac:dyDescent="0.35">
      <c r="A17" s="3" t="s">
        <v>268</v>
      </c>
      <c r="B17" s="3" t="s">
        <v>269</v>
      </c>
      <c r="C17" s="4">
        <v>38267</v>
      </c>
      <c r="D17" s="3">
        <v>394377963</v>
      </c>
      <c r="E17" s="3" t="s">
        <v>660</v>
      </c>
      <c r="F17" s="3">
        <v>412</v>
      </c>
      <c r="G17" s="3" t="s">
        <v>637</v>
      </c>
      <c r="H17" s="3" t="s">
        <v>633</v>
      </c>
      <c r="I17" s="3" t="s">
        <v>634</v>
      </c>
      <c r="J17" s="3">
        <v>124</v>
      </c>
      <c r="K17" s="3">
        <v>7.06</v>
      </c>
      <c r="L17" s="3" t="s">
        <v>643</v>
      </c>
    </row>
    <row r="18" spans="1:12" ht="15" customHeight="1" x14ac:dyDescent="0.35">
      <c r="A18" s="3" t="s">
        <v>513</v>
      </c>
      <c r="B18" s="3" t="s">
        <v>514</v>
      </c>
      <c r="C18" s="3" t="s">
        <v>661</v>
      </c>
      <c r="D18" s="3">
        <v>787300568</v>
      </c>
      <c r="E18" s="3" t="s">
        <v>662</v>
      </c>
      <c r="F18" s="3">
        <v>404</v>
      </c>
      <c r="G18" s="3" t="s">
        <v>640</v>
      </c>
      <c r="H18" s="3" t="s">
        <v>633</v>
      </c>
      <c r="I18" s="3" t="s">
        <v>634</v>
      </c>
      <c r="J18" s="3">
        <v>126</v>
      </c>
      <c r="K18" s="3">
        <v>8.1199999999999992</v>
      </c>
      <c r="L18" s="3" t="s">
        <v>635</v>
      </c>
    </row>
    <row r="19" spans="1:12" ht="15" customHeight="1" x14ac:dyDescent="0.35">
      <c r="A19" s="3" t="s">
        <v>531</v>
      </c>
      <c r="B19" s="3" t="s">
        <v>532</v>
      </c>
      <c r="C19" s="3" t="s">
        <v>663</v>
      </c>
      <c r="D19" s="6"/>
      <c r="E19" s="3" t="s">
        <v>664</v>
      </c>
      <c r="F19" s="3">
        <v>404</v>
      </c>
      <c r="G19" s="3" t="s">
        <v>640</v>
      </c>
      <c r="H19" s="3" t="s">
        <v>633</v>
      </c>
      <c r="I19" s="3" t="s">
        <v>634</v>
      </c>
      <c r="J19" s="3">
        <v>124</v>
      </c>
      <c r="K19" s="3">
        <v>8.41</v>
      </c>
      <c r="L19" s="3" t="s">
        <v>635</v>
      </c>
    </row>
    <row r="20" spans="1:12" ht="15" customHeight="1" x14ac:dyDescent="0.35">
      <c r="A20" s="3" t="s">
        <v>406</v>
      </c>
      <c r="B20" s="3" t="s">
        <v>407</v>
      </c>
      <c r="C20" s="4">
        <v>38087</v>
      </c>
      <c r="D20" s="3">
        <v>768658405</v>
      </c>
      <c r="E20" s="3" t="s">
        <v>665</v>
      </c>
      <c r="F20" s="3">
        <v>404</v>
      </c>
      <c r="G20" s="3" t="s">
        <v>640</v>
      </c>
      <c r="H20" s="3" t="s">
        <v>633</v>
      </c>
      <c r="I20" s="3" t="s">
        <v>634</v>
      </c>
      <c r="J20" s="3">
        <v>122</v>
      </c>
      <c r="K20" s="3">
        <v>8.98</v>
      </c>
      <c r="L20" s="3" t="s">
        <v>635</v>
      </c>
    </row>
    <row r="21" spans="1:12" ht="15" customHeight="1" x14ac:dyDescent="0.35">
      <c r="A21" s="3" t="s">
        <v>313</v>
      </c>
      <c r="B21" s="3" t="s">
        <v>314</v>
      </c>
      <c r="C21" s="3" t="s">
        <v>666</v>
      </c>
      <c r="D21" s="3">
        <v>931969308</v>
      </c>
      <c r="E21" s="3" t="s">
        <v>667</v>
      </c>
      <c r="F21" s="3">
        <v>412</v>
      </c>
      <c r="G21" s="3" t="s">
        <v>637</v>
      </c>
      <c r="H21" s="3" t="s">
        <v>633</v>
      </c>
      <c r="I21" s="3" t="s">
        <v>634</v>
      </c>
      <c r="J21" s="3">
        <v>124</v>
      </c>
      <c r="K21" s="3">
        <v>7.41</v>
      </c>
      <c r="L21" s="3" t="s">
        <v>643</v>
      </c>
    </row>
    <row r="22" spans="1:12" ht="15" customHeight="1" x14ac:dyDescent="0.35">
      <c r="A22" s="3" t="s">
        <v>172</v>
      </c>
      <c r="B22" s="3" t="s">
        <v>173</v>
      </c>
      <c r="C22" s="4">
        <v>38111</v>
      </c>
      <c r="D22" s="3">
        <v>839257952</v>
      </c>
      <c r="E22" s="3" t="s">
        <v>668</v>
      </c>
      <c r="F22" s="3">
        <v>404</v>
      </c>
      <c r="G22" s="3" t="s">
        <v>640</v>
      </c>
      <c r="H22" s="3" t="s">
        <v>633</v>
      </c>
      <c r="I22" s="3" t="s">
        <v>634</v>
      </c>
      <c r="J22" s="3">
        <v>126</v>
      </c>
      <c r="K22" s="3">
        <v>8.39</v>
      </c>
      <c r="L22" s="3" t="s">
        <v>635</v>
      </c>
    </row>
    <row r="23" spans="1:12" ht="15" customHeight="1" x14ac:dyDescent="0.35">
      <c r="A23" s="3" t="s">
        <v>175</v>
      </c>
      <c r="B23" s="3" t="s">
        <v>176</v>
      </c>
      <c r="C23" s="3" t="s">
        <v>669</v>
      </c>
      <c r="D23" s="3">
        <v>918276265</v>
      </c>
      <c r="E23" s="3" t="s">
        <v>670</v>
      </c>
      <c r="F23" s="3">
        <v>404</v>
      </c>
      <c r="G23" s="3" t="s">
        <v>640</v>
      </c>
      <c r="H23" s="3" t="s">
        <v>633</v>
      </c>
      <c r="I23" s="3" t="s">
        <v>634</v>
      </c>
      <c r="J23" s="3">
        <v>126</v>
      </c>
      <c r="K23" s="3">
        <v>8.61</v>
      </c>
      <c r="L23" s="3" t="s">
        <v>635</v>
      </c>
    </row>
    <row r="24" spans="1:12" ht="15" customHeight="1" x14ac:dyDescent="0.35">
      <c r="A24" s="3" t="s">
        <v>315</v>
      </c>
      <c r="B24" s="3" t="s">
        <v>316</v>
      </c>
      <c r="C24" s="3" t="s">
        <v>671</v>
      </c>
      <c r="D24" s="3">
        <v>589103713</v>
      </c>
      <c r="E24" s="3" t="s">
        <v>672</v>
      </c>
      <c r="F24" s="3">
        <v>412</v>
      </c>
      <c r="G24" s="3" t="s">
        <v>637</v>
      </c>
      <c r="H24" s="3" t="s">
        <v>633</v>
      </c>
      <c r="I24" s="3" t="s">
        <v>673</v>
      </c>
      <c r="J24" s="3">
        <v>124</v>
      </c>
      <c r="K24" s="3">
        <v>7.51</v>
      </c>
      <c r="L24" s="3" t="s">
        <v>643</v>
      </c>
    </row>
    <row r="25" spans="1:12" ht="15" customHeight="1" x14ac:dyDescent="0.35">
      <c r="A25" s="3" t="s">
        <v>177</v>
      </c>
      <c r="B25" s="3" t="s">
        <v>178</v>
      </c>
      <c r="C25" s="3" t="s">
        <v>651</v>
      </c>
      <c r="D25" s="3">
        <v>852955447</v>
      </c>
      <c r="E25" s="3" t="s">
        <v>674</v>
      </c>
      <c r="F25" s="3">
        <v>404</v>
      </c>
      <c r="G25" s="3" t="s">
        <v>640</v>
      </c>
      <c r="H25" s="3" t="s">
        <v>633</v>
      </c>
      <c r="I25" s="3" t="s">
        <v>634</v>
      </c>
      <c r="J25" s="3">
        <v>130</v>
      </c>
      <c r="K25" s="3">
        <v>7.72</v>
      </c>
      <c r="L25" s="3" t="s">
        <v>643</v>
      </c>
    </row>
    <row r="26" spans="1:12" ht="15" customHeight="1" x14ac:dyDescent="0.35">
      <c r="A26" s="3" t="s">
        <v>270</v>
      </c>
      <c r="B26" s="3" t="s">
        <v>271</v>
      </c>
      <c r="C26" s="3" t="s">
        <v>675</v>
      </c>
      <c r="D26" s="3">
        <v>867573703</v>
      </c>
      <c r="E26" s="3" t="s">
        <v>676</v>
      </c>
      <c r="F26" s="3">
        <v>412</v>
      </c>
      <c r="G26" s="3" t="s">
        <v>637</v>
      </c>
      <c r="H26" s="3" t="s">
        <v>633</v>
      </c>
      <c r="I26" s="3" t="s">
        <v>634</v>
      </c>
      <c r="J26" s="3">
        <v>124</v>
      </c>
      <c r="K26" s="3">
        <v>7.62</v>
      </c>
      <c r="L26" s="3" t="s">
        <v>643</v>
      </c>
    </row>
    <row r="27" spans="1:12" ht="15" customHeight="1" x14ac:dyDescent="0.35">
      <c r="A27" s="3" t="s">
        <v>179</v>
      </c>
      <c r="B27" s="3" t="s">
        <v>180</v>
      </c>
      <c r="C27" s="3" t="s">
        <v>677</v>
      </c>
      <c r="D27" s="6"/>
      <c r="E27" s="3" t="s">
        <v>678</v>
      </c>
      <c r="F27" s="3">
        <v>404</v>
      </c>
      <c r="G27" s="3" t="s">
        <v>640</v>
      </c>
      <c r="H27" s="3" t="s">
        <v>633</v>
      </c>
      <c r="I27" s="3" t="s">
        <v>634</v>
      </c>
      <c r="J27" s="3">
        <v>126</v>
      </c>
      <c r="K27" s="3">
        <v>8.64</v>
      </c>
      <c r="L27" s="3" t="s">
        <v>635</v>
      </c>
    </row>
    <row r="28" spans="1:12" ht="15" customHeight="1" x14ac:dyDescent="0.35">
      <c r="A28" s="3" t="s">
        <v>272</v>
      </c>
      <c r="B28" s="3" t="s">
        <v>273</v>
      </c>
      <c r="C28" s="3" t="s">
        <v>679</v>
      </c>
      <c r="D28" s="3">
        <v>933979864</v>
      </c>
      <c r="E28" s="3" t="s">
        <v>680</v>
      </c>
      <c r="F28" s="3">
        <v>412</v>
      </c>
      <c r="G28" s="3" t="s">
        <v>637</v>
      </c>
      <c r="H28" s="3" t="s">
        <v>633</v>
      </c>
      <c r="I28" s="3" t="s">
        <v>634</v>
      </c>
      <c r="J28" s="3">
        <v>124</v>
      </c>
      <c r="K28" s="3">
        <v>8.18</v>
      </c>
      <c r="L28" s="3" t="s">
        <v>635</v>
      </c>
    </row>
    <row r="29" spans="1:12" ht="15" customHeight="1" x14ac:dyDescent="0.35">
      <c r="A29" s="3" t="s">
        <v>274</v>
      </c>
      <c r="B29" s="3" t="s">
        <v>681</v>
      </c>
      <c r="C29" s="4">
        <v>38085</v>
      </c>
      <c r="D29" s="6"/>
      <c r="E29" s="3" t="s">
        <v>682</v>
      </c>
      <c r="F29" s="3">
        <v>412</v>
      </c>
      <c r="G29" s="3" t="s">
        <v>637</v>
      </c>
      <c r="H29" s="3" t="s">
        <v>633</v>
      </c>
      <c r="I29" s="3" t="s">
        <v>634</v>
      </c>
      <c r="J29" s="3">
        <v>124</v>
      </c>
      <c r="K29" s="3">
        <v>7.86</v>
      </c>
      <c r="L29" s="3" t="s">
        <v>643</v>
      </c>
    </row>
    <row r="30" spans="1:12" ht="15" customHeight="1" x14ac:dyDescent="0.35">
      <c r="A30" s="3" t="s">
        <v>276</v>
      </c>
      <c r="B30" s="3" t="s">
        <v>277</v>
      </c>
      <c r="C30" s="5">
        <v>38271</v>
      </c>
      <c r="D30" s="6"/>
      <c r="E30" s="3" t="s">
        <v>683</v>
      </c>
      <c r="F30" s="3">
        <v>412</v>
      </c>
      <c r="G30" s="3" t="s">
        <v>637</v>
      </c>
      <c r="H30" s="3" t="s">
        <v>633</v>
      </c>
      <c r="I30" s="3" t="s">
        <v>634</v>
      </c>
      <c r="J30" s="3">
        <v>124</v>
      </c>
      <c r="K30" s="3">
        <v>8.09</v>
      </c>
      <c r="L30" s="3" t="s">
        <v>635</v>
      </c>
    </row>
    <row r="31" spans="1:12" ht="15" customHeight="1" x14ac:dyDescent="0.35">
      <c r="A31" s="3" t="s">
        <v>181</v>
      </c>
      <c r="B31" s="3" t="s">
        <v>182</v>
      </c>
      <c r="C31" s="3" t="s">
        <v>684</v>
      </c>
      <c r="D31" s="3">
        <v>397569520</v>
      </c>
      <c r="E31" s="3" t="s">
        <v>685</v>
      </c>
      <c r="F31" s="3">
        <v>404</v>
      </c>
      <c r="G31" s="3" t="s">
        <v>640</v>
      </c>
      <c r="H31" s="3" t="s">
        <v>633</v>
      </c>
      <c r="I31" s="3" t="s">
        <v>634</v>
      </c>
      <c r="J31" s="3">
        <v>126</v>
      </c>
      <c r="K31" s="3">
        <v>8.3000000000000007</v>
      </c>
      <c r="L31" s="3" t="s">
        <v>635</v>
      </c>
    </row>
    <row r="32" spans="1:12" ht="15" customHeight="1" x14ac:dyDescent="0.35">
      <c r="A32" s="3" t="s">
        <v>409</v>
      </c>
      <c r="B32" s="3" t="s">
        <v>410</v>
      </c>
      <c r="C32" s="3" t="s">
        <v>686</v>
      </c>
      <c r="D32" s="3">
        <v>949866704</v>
      </c>
      <c r="E32" s="3" t="s">
        <v>687</v>
      </c>
      <c r="F32" s="3">
        <v>404</v>
      </c>
      <c r="G32" s="3" t="s">
        <v>640</v>
      </c>
      <c r="H32" s="3" t="s">
        <v>633</v>
      </c>
      <c r="I32" s="3" t="s">
        <v>634</v>
      </c>
      <c r="J32" s="3">
        <v>122</v>
      </c>
      <c r="K32" s="3">
        <v>7.84</v>
      </c>
      <c r="L32" s="3" t="s">
        <v>643</v>
      </c>
    </row>
    <row r="33" spans="1:12" ht="15" customHeight="1" x14ac:dyDescent="0.35">
      <c r="A33" s="3" t="s">
        <v>317</v>
      </c>
      <c r="B33" s="3" t="s">
        <v>318</v>
      </c>
      <c r="C33" s="3" t="s">
        <v>688</v>
      </c>
      <c r="D33" s="3">
        <v>345998367</v>
      </c>
      <c r="E33" s="3" t="s">
        <v>689</v>
      </c>
      <c r="F33" s="3">
        <v>412</v>
      </c>
      <c r="G33" s="3" t="s">
        <v>637</v>
      </c>
      <c r="H33" s="3" t="s">
        <v>633</v>
      </c>
      <c r="I33" s="3" t="s">
        <v>634</v>
      </c>
      <c r="J33" s="3">
        <v>124</v>
      </c>
      <c r="K33" s="3">
        <v>7.51</v>
      </c>
      <c r="L33" s="3" t="s">
        <v>643</v>
      </c>
    </row>
    <row r="34" spans="1:12" ht="15" customHeight="1" x14ac:dyDescent="0.35">
      <c r="A34" s="3" t="s">
        <v>278</v>
      </c>
      <c r="B34" s="3" t="s">
        <v>279</v>
      </c>
      <c r="C34" s="3" t="s">
        <v>690</v>
      </c>
      <c r="D34" s="3">
        <v>902156726</v>
      </c>
      <c r="E34" s="3" t="s">
        <v>691</v>
      </c>
      <c r="F34" s="3">
        <v>412</v>
      </c>
      <c r="G34" s="3" t="s">
        <v>637</v>
      </c>
      <c r="H34" s="3" t="s">
        <v>633</v>
      </c>
      <c r="I34" s="3" t="s">
        <v>634</v>
      </c>
      <c r="J34" s="3">
        <v>124</v>
      </c>
      <c r="K34" s="3">
        <v>7.45</v>
      </c>
      <c r="L34" s="3" t="s">
        <v>643</v>
      </c>
    </row>
    <row r="35" spans="1:12" ht="15" customHeight="1" x14ac:dyDescent="0.35">
      <c r="A35" s="3" t="s">
        <v>533</v>
      </c>
      <c r="B35" s="3" t="s">
        <v>534</v>
      </c>
      <c r="C35" s="4">
        <v>38295</v>
      </c>
      <c r="D35" s="3">
        <v>372539123</v>
      </c>
      <c r="E35" s="3" t="s">
        <v>692</v>
      </c>
      <c r="F35" s="3">
        <v>404</v>
      </c>
      <c r="G35" s="3" t="s">
        <v>640</v>
      </c>
      <c r="H35" s="3" t="s">
        <v>633</v>
      </c>
      <c r="I35" s="3" t="s">
        <v>634</v>
      </c>
      <c r="J35" s="3">
        <v>122</v>
      </c>
      <c r="K35" s="3">
        <v>8.2100000000000009</v>
      </c>
      <c r="L35" s="3" t="s">
        <v>635</v>
      </c>
    </row>
    <row r="36" spans="1:12" ht="15" customHeight="1" x14ac:dyDescent="0.35">
      <c r="A36" s="3" t="s">
        <v>533</v>
      </c>
      <c r="B36" s="3" t="s">
        <v>534</v>
      </c>
      <c r="C36" s="4">
        <v>38295</v>
      </c>
      <c r="D36" s="3">
        <v>372539123</v>
      </c>
      <c r="E36" s="3" t="s">
        <v>692</v>
      </c>
      <c r="F36" s="3">
        <v>406</v>
      </c>
      <c r="G36" s="3" t="s">
        <v>693</v>
      </c>
      <c r="H36" s="3" t="s">
        <v>633</v>
      </c>
      <c r="I36" s="3" t="s">
        <v>634</v>
      </c>
      <c r="J36" s="3">
        <v>120</v>
      </c>
      <c r="K36" s="3">
        <v>8.27</v>
      </c>
      <c r="L36" s="3" t="s">
        <v>635</v>
      </c>
    </row>
    <row r="37" spans="1:12" ht="14.5" x14ac:dyDescent="0.35">
      <c r="A37" s="3" t="s">
        <v>319</v>
      </c>
      <c r="B37" s="3" t="s">
        <v>320</v>
      </c>
      <c r="C37" s="3" t="s">
        <v>694</v>
      </c>
      <c r="D37" s="6"/>
      <c r="E37" s="3" t="s">
        <v>695</v>
      </c>
      <c r="F37" s="3">
        <v>412</v>
      </c>
      <c r="G37" s="3" t="s">
        <v>637</v>
      </c>
      <c r="H37" s="3" t="s">
        <v>633</v>
      </c>
      <c r="I37" s="3" t="s">
        <v>673</v>
      </c>
      <c r="J37" s="3">
        <v>121</v>
      </c>
      <c r="K37" s="3">
        <v>6.92</v>
      </c>
      <c r="L37" s="3" t="s">
        <v>696</v>
      </c>
    </row>
    <row r="38" spans="1:12" ht="14.5" x14ac:dyDescent="0.35">
      <c r="A38" s="3" t="s">
        <v>321</v>
      </c>
      <c r="B38" s="3" t="s">
        <v>322</v>
      </c>
      <c r="C38" s="4">
        <v>38265</v>
      </c>
      <c r="D38" s="3">
        <v>912161571</v>
      </c>
      <c r="E38" s="3" t="s">
        <v>697</v>
      </c>
      <c r="F38" s="3">
        <v>404</v>
      </c>
      <c r="G38" s="3" t="s">
        <v>640</v>
      </c>
      <c r="H38" s="3" t="s">
        <v>633</v>
      </c>
      <c r="I38" s="3" t="s">
        <v>634</v>
      </c>
      <c r="J38" s="3">
        <v>126</v>
      </c>
      <c r="K38" s="3">
        <v>7.77</v>
      </c>
      <c r="L38" s="3" t="s">
        <v>643</v>
      </c>
    </row>
    <row r="39" spans="1:12" ht="14.5" x14ac:dyDescent="0.35">
      <c r="A39" s="3" t="s">
        <v>323</v>
      </c>
      <c r="B39" s="3" t="s">
        <v>324</v>
      </c>
      <c r="C39" s="3" t="s">
        <v>686</v>
      </c>
      <c r="D39" s="6"/>
      <c r="E39" s="3" t="s">
        <v>698</v>
      </c>
      <c r="F39" s="3">
        <v>404</v>
      </c>
      <c r="G39" s="3" t="s">
        <v>640</v>
      </c>
      <c r="H39" s="3" t="s">
        <v>633</v>
      </c>
      <c r="I39" s="3" t="s">
        <v>634</v>
      </c>
      <c r="J39" s="3">
        <v>126</v>
      </c>
      <c r="K39" s="3">
        <v>7.93</v>
      </c>
      <c r="L39" s="3" t="s">
        <v>643</v>
      </c>
    </row>
    <row r="40" spans="1:12" ht="14.5" x14ac:dyDescent="0.35">
      <c r="A40" s="3" t="s">
        <v>325</v>
      </c>
      <c r="B40" s="3" t="s">
        <v>326</v>
      </c>
      <c r="C40" s="4">
        <v>38058</v>
      </c>
      <c r="D40" s="3">
        <v>357501455</v>
      </c>
      <c r="E40" s="3" t="s">
        <v>699</v>
      </c>
      <c r="F40" s="3">
        <v>404</v>
      </c>
      <c r="G40" s="3" t="s">
        <v>640</v>
      </c>
      <c r="H40" s="3" t="s">
        <v>633</v>
      </c>
      <c r="I40" s="3" t="s">
        <v>634</v>
      </c>
      <c r="J40" s="3">
        <v>126</v>
      </c>
      <c r="K40" s="3">
        <v>7.81</v>
      </c>
      <c r="L40" s="3" t="s">
        <v>643</v>
      </c>
    </row>
    <row r="41" spans="1:12" ht="14.5" x14ac:dyDescent="0.35">
      <c r="A41" s="3" t="s">
        <v>280</v>
      </c>
      <c r="B41" s="3" t="s">
        <v>281</v>
      </c>
      <c r="C41" s="3" t="s">
        <v>663</v>
      </c>
      <c r="D41" s="3">
        <v>971341872</v>
      </c>
      <c r="E41" s="3" t="s">
        <v>700</v>
      </c>
      <c r="F41" s="3">
        <v>412</v>
      </c>
      <c r="G41" s="3" t="s">
        <v>637</v>
      </c>
      <c r="H41" s="3" t="s">
        <v>633</v>
      </c>
      <c r="I41" s="3" t="s">
        <v>634</v>
      </c>
      <c r="J41" s="3">
        <v>124</v>
      </c>
      <c r="K41" s="3">
        <v>7.52</v>
      </c>
      <c r="L41" s="3" t="s">
        <v>643</v>
      </c>
    </row>
    <row r="42" spans="1:12" ht="14.5" x14ac:dyDescent="0.35">
      <c r="A42" s="3" t="s">
        <v>282</v>
      </c>
      <c r="B42" s="3" t="s">
        <v>283</v>
      </c>
      <c r="C42" s="4">
        <v>38242</v>
      </c>
      <c r="D42" s="6"/>
      <c r="E42" s="3" t="s">
        <v>701</v>
      </c>
      <c r="F42" s="3">
        <v>404</v>
      </c>
      <c r="G42" s="3" t="s">
        <v>640</v>
      </c>
      <c r="H42" s="3" t="s">
        <v>633</v>
      </c>
      <c r="I42" s="3" t="s">
        <v>634</v>
      </c>
      <c r="J42" s="3">
        <v>126</v>
      </c>
      <c r="K42" s="3">
        <v>7.76</v>
      </c>
      <c r="L42" s="3" t="s">
        <v>643</v>
      </c>
    </row>
    <row r="43" spans="1:12" ht="14.5" x14ac:dyDescent="0.35">
      <c r="A43" s="3" t="s">
        <v>536</v>
      </c>
      <c r="B43" s="3" t="s">
        <v>537</v>
      </c>
      <c r="C43" s="3" t="s">
        <v>702</v>
      </c>
      <c r="D43" s="3">
        <v>869130247</v>
      </c>
      <c r="E43" s="3" t="s">
        <v>703</v>
      </c>
      <c r="F43" s="3">
        <v>404</v>
      </c>
      <c r="G43" s="3" t="s">
        <v>640</v>
      </c>
      <c r="H43" s="3" t="s">
        <v>633</v>
      </c>
      <c r="I43" s="3" t="s">
        <v>634</v>
      </c>
      <c r="J43" s="3">
        <v>122</v>
      </c>
      <c r="K43" s="3">
        <v>8.32</v>
      </c>
      <c r="L43" s="3" t="s">
        <v>635</v>
      </c>
    </row>
    <row r="44" spans="1:12" ht="14.5" x14ac:dyDescent="0.35">
      <c r="A44" s="3" t="s">
        <v>284</v>
      </c>
      <c r="B44" s="3" t="s">
        <v>285</v>
      </c>
      <c r="C44" s="3" t="s">
        <v>704</v>
      </c>
      <c r="D44" s="3">
        <v>363234680</v>
      </c>
      <c r="E44" s="3" t="s">
        <v>705</v>
      </c>
      <c r="F44" s="3">
        <v>404</v>
      </c>
      <c r="G44" s="3" t="s">
        <v>640</v>
      </c>
      <c r="H44" s="3" t="s">
        <v>633</v>
      </c>
      <c r="I44" s="3" t="s">
        <v>634</v>
      </c>
      <c r="J44" s="3">
        <v>126</v>
      </c>
      <c r="K44" s="3">
        <v>8.17</v>
      </c>
      <c r="L44" s="3" t="s">
        <v>635</v>
      </c>
    </row>
    <row r="45" spans="1:12" ht="14.5" x14ac:dyDescent="0.35">
      <c r="A45" s="3" t="s">
        <v>327</v>
      </c>
      <c r="B45" s="3" t="s">
        <v>328</v>
      </c>
      <c r="C45" s="4">
        <v>37987</v>
      </c>
      <c r="D45" s="3">
        <v>388654010</v>
      </c>
      <c r="E45" s="3" t="s">
        <v>706</v>
      </c>
      <c r="F45" s="3">
        <v>412</v>
      </c>
      <c r="G45" s="3" t="s">
        <v>637</v>
      </c>
      <c r="H45" s="3" t="s">
        <v>633</v>
      </c>
      <c r="I45" s="3" t="s">
        <v>634</v>
      </c>
      <c r="J45" s="3">
        <v>124</v>
      </c>
      <c r="K45" s="3">
        <v>7.79</v>
      </c>
      <c r="L45" s="3" t="s">
        <v>643</v>
      </c>
    </row>
    <row r="46" spans="1:12" ht="14.5" x14ac:dyDescent="0.35">
      <c r="A46" s="3" t="s">
        <v>286</v>
      </c>
      <c r="B46" s="3" t="s">
        <v>287</v>
      </c>
      <c r="C46" s="3" t="s">
        <v>707</v>
      </c>
      <c r="D46" s="3">
        <v>392192023</v>
      </c>
      <c r="E46" s="3" t="s">
        <v>708</v>
      </c>
      <c r="F46" s="3">
        <v>404</v>
      </c>
      <c r="G46" s="3" t="s">
        <v>640</v>
      </c>
      <c r="H46" s="3" t="s">
        <v>633</v>
      </c>
      <c r="I46" s="3" t="s">
        <v>634</v>
      </c>
      <c r="J46" s="3">
        <v>126</v>
      </c>
      <c r="K46" s="3">
        <v>8.2200000000000006</v>
      </c>
      <c r="L46" s="3" t="s">
        <v>635</v>
      </c>
    </row>
    <row r="47" spans="1:12" ht="14.5" x14ac:dyDescent="0.35">
      <c r="A47" s="3" t="s">
        <v>477</v>
      </c>
      <c r="B47" s="3" t="s">
        <v>478</v>
      </c>
      <c r="C47" s="3" t="s">
        <v>709</v>
      </c>
      <c r="D47" s="3">
        <v>945802361</v>
      </c>
      <c r="E47" s="3" t="s">
        <v>710</v>
      </c>
      <c r="F47" s="3">
        <v>404</v>
      </c>
      <c r="G47" s="3" t="s">
        <v>640</v>
      </c>
      <c r="H47" s="3" t="s">
        <v>633</v>
      </c>
      <c r="I47" s="3" t="s">
        <v>634</v>
      </c>
      <c r="J47" s="3">
        <v>126</v>
      </c>
      <c r="K47" s="3">
        <v>8.4600000000000009</v>
      </c>
      <c r="L47" s="3" t="s">
        <v>635</v>
      </c>
    </row>
    <row r="48" spans="1:12" ht="14.5" x14ac:dyDescent="0.35">
      <c r="A48" s="3" t="s">
        <v>711</v>
      </c>
      <c r="B48" s="3" t="s">
        <v>712</v>
      </c>
      <c r="C48" s="4">
        <v>38111</v>
      </c>
      <c r="D48" s="3">
        <v>984244204</v>
      </c>
      <c r="E48" s="3" t="s">
        <v>713</v>
      </c>
      <c r="F48" s="3">
        <v>412</v>
      </c>
      <c r="G48" s="3" t="s">
        <v>637</v>
      </c>
      <c r="H48" s="3" t="s">
        <v>633</v>
      </c>
      <c r="I48" s="3" t="s">
        <v>673</v>
      </c>
      <c r="J48" s="3">
        <v>71</v>
      </c>
      <c r="K48" s="3">
        <v>6.75</v>
      </c>
      <c r="L48" s="3" t="s">
        <v>696</v>
      </c>
    </row>
    <row r="49" spans="1:12" ht="14.5" x14ac:dyDescent="0.35">
      <c r="A49" s="3" t="s">
        <v>329</v>
      </c>
      <c r="B49" s="3" t="s">
        <v>330</v>
      </c>
      <c r="C49" s="4">
        <v>38147</v>
      </c>
      <c r="D49" s="3">
        <v>944387099</v>
      </c>
      <c r="E49" s="3" t="s">
        <v>714</v>
      </c>
      <c r="F49" s="3">
        <v>412</v>
      </c>
      <c r="G49" s="3" t="s">
        <v>637</v>
      </c>
      <c r="H49" s="3" t="s">
        <v>633</v>
      </c>
      <c r="I49" s="3" t="s">
        <v>634</v>
      </c>
      <c r="J49" s="3">
        <v>124</v>
      </c>
      <c r="K49" s="3">
        <v>6.76</v>
      </c>
      <c r="L49" s="3" t="s">
        <v>696</v>
      </c>
    </row>
    <row r="50" spans="1:12" ht="14.5" x14ac:dyDescent="0.35">
      <c r="A50" s="3" t="s">
        <v>331</v>
      </c>
      <c r="B50" s="3" t="s">
        <v>332</v>
      </c>
      <c r="C50" s="3" t="s">
        <v>715</v>
      </c>
      <c r="D50" s="3">
        <v>702727079</v>
      </c>
      <c r="E50" s="3" t="s">
        <v>716</v>
      </c>
      <c r="F50" s="3">
        <v>412</v>
      </c>
      <c r="G50" s="3" t="s">
        <v>637</v>
      </c>
      <c r="H50" s="3" t="s">
        <v>633</v>
      </c>
      <c r="I50" s="3" t="s">
        <v>634</v>
      </c>
      <c r="J50" s="3">
        <v>124</v>
      </c>
      <c r="K50" s="3">
        <v>7.13</v>
      </c>
      <c r="L50" s="3" t="s">
        <v>643</v>
      </c>
    </row>
    <row r="51" spans="1:12" ht="14.5" x14ac:dyDescent="0.35">
      <c r="A51" s="3" t="s">
        <v>479</v>
      </c>
      <c r="B51" s="3" t="s">
        <v>480</v>
      </c>
      <c r="C51" s="3" t="s">
        <v>717</v>
      </c>
      <c r="D51" s="3">
        <v>386144087</v>
      </c>
      <c r="E51" s="3" t="s">
        <v>718</v>
      </c>
      <c r="F51" s="3">
        <v>404</v>
      </c>
      <c r="G51" s="3" t="s">
        <v>640</v>
      </c>
      <c r="H51" s="3" t="s">
        <v>633</v>
      </c>
      <c r="I51" s="3" t="s">
        <v>634</v>
      </c>
      <c r="J51" s="3">
        <v>132</v>
      </c>
      <c r="K51" s="3">
        <v>8.39</v>
      </c>
      <c r="L51" s="3" t="s">
        <v>635</v>
      </c>
    </row>
    <row r="52" spans="1:12" ht="14.5" x14ac:dyDescent="0.35">
      <c r="A52" s="3" t="s">
        <v>333</v>
      </c>
      <c r="B52" s="3" t="s">
        <v>334</v>
      </c>
      <c r="C52" s="3" t="s">
        <v>719</v>
      </c>
      <c r="D52" s="3">
        <v>384987847</v>
      </c>
      <c r="E52" s="3" t="s">
        <v>720</v>
      </c>
      <c r="F52" s="3">
        <v>412</v>
      </c>
      <c r="G52" s="3" t="s">
        <v>637</v>
      </c>
      <c r="H52" s="3" t="s">
        <v>633</v>
      </c>
      <c r="I52" s="3" t="s">
        <v>634</v>
      </c>
      <c r="J52" s="3">
        <v>124</v>
      </c>
      <c r="K52" s="3">
        <v>8.1</v>
      </c>
      <c r="L52" s="3" t="s">
        <v>635</v>
      </c>
    </row>
    <row r="53" spans="1:12" ht="14.5" x14ac:dyDescent="0.35">
      <c r="A53" s="3" t="s">
        <v>481</v>
      </c>
      <c r="B53" s="3" t="s">
        <v>482</v>
      </c>
      <c r="C53" s="3" t="s">
        <v>721</v>
      </c>
      <c r="D53" s="3">
        <v>886210240</v>
      </c>
      <c r="E53" s="3" t="s">
        <v>722</v>
      </c>
      <c r="F53" s="3">
        <v>404</v>
      </c>
      <c r="G53" s="3" t="s">
        <v>640</v>
      </c>
      <c r="H53" s="3" t="s">
        <v>633</v>
      </c>
      <c r="I53" s="3" t="s">
        <v>634</v>
      </c>
      <c r="J53" s="3">
        <v>126</v>
      </c>
      <c r="K53" s="3">
        <v>8.8699999999999992</v>
      </c>
      <c r="L53" s="3" t="s">
        <v>635</v>
      </c>
    </row>
    <row r="54" spans="1:12" ht="14.5" x14ac:dyDescent="0.35">
      <c r="A54" s="3" t="s">
        <v>483</v>
      </c>
      <c r="B54" s="3" t="s">
        <v>484</v>
      </c>
      <c r="C54" s="4">
        <v>38300</v>
      </c>
      <c r="D54" s="6"/>
      <c r="E54" s="3" t="s">
        <v>723</v>
      </c>
      <c r="F54" s="3">
        <v>404</v>
      </c>
      <c r="G54" s="3" t="s">
        <v>640</v>
      </c>
      <c r="H54" s="3" t="s">
        <v>633</v>
      </c>
      <c r="I54" s="3" t="s">
        <v>634</v>
      </c>
      <c r="J54" s="3">
        <v>123</v>
      </c>
      <c r="K54" s="3">
        <v>8.19</v>
      </c>
      <c r="L54" s="3" t="s">
        <v>635</v>
      </c>
    </row>
    <row r="55" spans="1:12" ht="14.5" x14ac:dyDescent="0.35">
      <c r="A55" s="3" t="s">
        <v>485</v>
      </c>
      <c r="B55" s="3" t="s">
        <v>486</v>
      </c>
      <c r="C55" s="4">
        <v>38297</v>
      </c>
      <c r="D55" s="3">
        <v>764872956</v>
      </c>
      <c r="E55" s="3" t="s">
        <v>724</v>
      </c>
      <c r="F55" s="3">
        <v>404</v>
      </c>
      <c r="G55" s="3" t="s">
        <v>640</v>
      </c>
      <c r="H55" s="3" t="s">
        <v>633</v>
      </c>
      <c r="I55" s="3" t="s">
        <v>634</v>
      </c>
      <c r="J55" s="3">
        <v>130</v>
      </c>
      <c r="K55" s="3">
        <v>8.66</v>
      </c>
      <c r="L55" s="3" t="s">
        <v>635</v>
      </c>
    </row>
    <row r="56" spans="1:12" ht="14.5" x14ac:dyDescent="0.35">
      <c r="A56" s="3" t="s">
        <v>335</v>
      </c>
      <c r="B56" s="3" t="s">
        <v>336</v>
      </c>
      <c r="C56" s="3" t="s">
        <v>688</v>
      </c>
      <c r="D56" s="3">
        <v>969224240</v>
      </c>
      <c r="E56" s="3" t="s">
        <v>725</v>
      </c>
      <c r="F56" s="3">
        <v>404</v>
      </c>
      <c r="G56" s="3" t="s">
        <v>640</v>
      </c>
      <c r="H56" s="3" t="s">
        <v>633</v>
      </c>
      <c r="I56" s="3" t="s">
        <v>634</v>
      </c>
      <c r="J56" s="3">
        <v>126</v>
      </c>
      <c r="K56" s="3">
        <v>7.53</v>
      </c>
      <c r="L56" s="3" t="s">
        <v>643</v>
      </c>
    </row>
    <row r="57" spans="1:12" ht="14.5" x14ac:dyDescent="0.35">
      <c r="A57" s="3" t="s">
        <v>288</v>
      </c>
      <c r="B57" s="3" t="s">
        <v>289</v>
      </c>
      <c r="C57" s="3" t="s">
        <v>726</v>
      </c>
      <c r="D57" s="6"/>
      <c r="E57" s="3" t="s">
        <v>727</v>
      </c>
      <c r="F57" s="3">
        <v>412</v>
      </c>
      <c r="G57" s="3" t="s">
        <v>637</v>
      </c>
      <c r="H57" s="3" t="s">
        <v>633</v>
      </c>
      <c r="I57" s="3" t="s">
        <v>634</v>
      </c>
      <c r="J57" s="3">
        <v>124</v>
      </c>
      <c r="K57" s="3">
        <v>7.35</v>
      </c>
      <c r="L57" s="3" t="s">
        <v>643</v>
      </c>
    </row>
    <row r="58" spans="1:12" ht="14.5" x14ac:dyDescent="0.35">
      <c r="A58" s="3" t="s">
        <v>487</v>
      </c>
      <c r="B58" s="3" t="s">
        <v>488</v>
      </c>
      <c r="C58" s="3" t="s">
        <v>728</v>
      </c>
      <c r="D58" s="3">
        <v>943760557</v>
      </c>
      <c r="E58" s="3" t="s">
        <v>729</v>
      </c>
      <c r="F58" s="3">
        <v>404</v>
      </c>
      <c r="G58" s="3" t="s">
        <v>640</v>
      </c>
      <c r="H58" s="3" t="s">
        <v>633</v>
      </c>
      <c r="I58" s="3" t="s">
        <v>634</v>
      </c>
      <c r="J58" s="3">
        <v>126</v>
      </c>
      <c r="K58" s="3">
        <v>7.92</v>
      </c>
      <c r="L58" s="3" t="s">
        <v>643</v>
      </c>
    </row>
    <row r="59" spans="1:12" ht="14.5" x14ac:dyDescent="0.35">
      <c r="A59" s="3" t="s">
        <v>337</v>
      </c>
      <c r="B59" s="3" t="s">
        <v>338</v>
      </c>
      <c r="C59" s="3" t="s">
        <v>730</v>
      </c>
      <c r="D59" s="3">
        <v>833867216</v>
      </c>
      <c r="E59" s="3" t="s">
        <v>731</v>
      </c>
      <c r="F59" s="3">
        <v>404</v>
      </c>
      <c r="G59" s="3" t="s">
        <v>640</v>
      </c>
      <c r="H59" s="3" t="s">
        <v>633</v>
      </c>
      <c r="I59" s="3" t="s">
        <v>634</v>
      </c>
      <c r="J59" s="3">
        <v>126</v>
      </c>
      <c r="K59" s="3">
        <v>7.74</v>
      </c>
      <c r="L59" s="3" t="s">
        <v>643</v>
      </c>
    </row>
    <row r="60" spans="1:12" ht="14.5" x14ac:dyDescent="0.35">
      <c r="A60" s="3" t="s">
        <v>339</v>
      </c>
      <c r="B60" s="3" t="s">
        <v>340</v>
      </c>
      <c r="C60" s="3" t="s">
        <v>732</v>
      </c>
      <c r="D60" s="6"/>
      <c r="E60" s="3" t="s">
        <v>733</v>
      </c>
      <c r="F60" s="3">
        <v>412</v>
      </c>
      <c r="G60" s="3" t="s">
        <v>637</v>
      </c>
      <c r="H60" s="3" t="s">
        <v>633</v>
      </c>
      <c r="I60" s="3" t="s">
        <v>634</v>
      </c>
      <c r="J60" s="3">
        <v>124</v>
      </c>
      <c r="K60" s="3">
        <v>7.36</v>
      </c>
      <c r="L60" s="3" t="s">
        <v>643</v>
      </c>
    </row>
    <row r="61" spans="1:12" ht="14.5" x14ac:dyDescent="0.35">
      <c r="A61" s="3" t="s">
        <v>290</v>
      </c>
      <c r="B61" s="3" t="s">
        <v>291</v>
      </c>
      <c r="C61" s="3" t="s">
        <v>646</v>
      </c>
      <c r="D61" s="3">
        <v>866484704</v>
      </c>
      <c r="E61" s="3" t="s">
        <v>734</v>
      </c>
      <c r="F61" s="3">
        <v>412</v>
      </c>
      <c r="G61" s="3" t="s">
        <v>637</v>
      </c>
      <c r="H61" s="3" t="s">
        <v>633</v>
      </c>
      <c r="I61" s="3" t="s">
        <v>634</v>
      </c>
      <c r="J61" s="3">
        <v>126</v>
      </c>
      <c r="K61" s="3">
        <v>8</v>
      </c>
      <c r="L61" s="3" t="s">
        <v>635</v>
      </c>
    </row>
    <row r="62" spans="1:12" ht="14.5" x14ac:dyDescent="0.35">
      <c r="A62" s="3" t="s">
        <v>444</v>
      </c>
      <c r="B62" s="3" t="s">
        <v>445</v>
      </c>
      <c r="C62" s="3" t="s">
        <v>735</v>
      </c>
      <c r="D62" s="3">
        <v>339632366</v>
      </c>
      <c r="E62" s="3" t="s">
        <v>736</v>
      </c>
      <c r="F62" s="3">
        <v>404</v>
      </c>
      <c r="G62" s="3" t="s">
        <v>640</v>
      </c>
      <c r="H62" s="3" t="s">
        <v>633</v>
      </c>
      <c r="I62" s="3" t="s">
        <v>634</v>
      </c>
      <c r="J62" s="3">
        <v>122</v>
      </c>
      <c r="K62" s="3">
        <v>8.4</v>
      </c>
      <c r="L62" s="3" t="s">
        <v>635</v>
      </c>
    </row>
    <row r="63" spans="1:12" ht="14.5" x14ac:dyDescent="0.35">
      <c r="A63" s="3" t="s">
        <v>341</v>
      </c>
      <c r="B63" s="3" t="s">
        <v>342</v>
      </c>
      <c r="C63" s="4">
        <v>37987</v>
      </c>
      <c r="D63" s="6"/>
      <c r="E63" s="3" t="s">
        <v>737</v>
      </c>
      <c r="F63" s="3">
        <v>412</v>
      </c>
      <c r="G63" s="3" t="s">
        <v>637</v>
      </c>
      <c r="H63" s="3" t="s">
        <v>633</v>
      </c>
      <c r="I63" s="3" t="s">
        <v>634</v>
      </c>
      <c r="J63" s="3">
        <v>124</v>
      </c>
      <c r="K63" s="3">
        <v>8.19</v>
      </c>
      <c r="L63" s="3" t="s">
        <v>635</v>
      </c>
    </row>
    <row r="64" spans="1:12" ht="14.5" x14ac:dyDescent="0.35">
      <c r="A64" s="3" t="s">
        <v>489</v>
      </c>
      <c r="B64" s="3" t="s">
        <v>490</v>
      </c>
      <c r="C64" s="3" t="s">
        <v>738</v>
      </c>
      <c r="D64" s="3">
        <v>365906961</v>
      </c>
      <c r="E64" s="3" t="s">
        <v>739</v>
      </c>
      <c r="F64" s="3">
        <v>404</v>
      </c>
      <c r="G64" s="3" t="s">
        <v>640</v>
      </c>
      <c r="H64" s="3" t="s">
        <v>633</v>
      </c>
      <c r="I64" s="3" t="s">
        <v>634</v>
      </c>
      <c r="J64" s="3">
        <v>126</v>
      </c>
      <c r="K64" s="3">
        <v>8.19</v>
      </c>
      <c r="L64" s="3" t="s">
        <v>635</v>
      </c>
    </row>
    <row r="65" spans="1:12" ht="14.5" x14ac:dyDescent="0.35">
      <c r="A65" s="3" t="s">
        <v>343</v>
      </c>
      <c r="B65" s="3" t="s">
        <v>344</v>
      </c>
      <c r="C65" s="3" t="s">
        <v>740</v>
      </c>
      <c r="D65" s="3">
        <v>349196118</v>
      </c>
      <c r="E65" s="3" t="s">
        <v>741</v>
      </c>
      <c r="F65" s="3">
        <v>412</v>
      </c>
      <c r="G65" s="3" t="s">
        <v>637</v>
      </c>
      <c r="H65" s="3" t="s">
        <v>633</v>
      </c>
      <c r="I65" s="3" t="s">
        <v>634</v>
      </c>
      <c r="J65" s="3">
        <v>116</v>
      </c>
      <c r="K65" s="3">
        <v>6.94</v>
      </c>
      <c r="L65" s="3" t="s">
        <v>696</v>
      </c>
    </row>
    <row r="66" spans="1:12" ht="14.5" x14ac:dyDescent="0.35">
      <c r="A66" s="3" t="s">
        <v>292</v>
      </c>
      <c r="B66" s="3" t="s">
        <v>293</v>
      </c>
      <c r="C66" s="4">
        <v>38299</v>
      </c>
      <c r="D66" s="3">
        <v>975913654</v>
      </c>
      <c r="E66" s="3" t="s">
        <v>742</v>
      </c>
      <c r="F66" s="3">
        <v>412</v>
      </c>
      <c r="G66" s="3" t="s">
        <v>637</v>
      </c>
      <c r="H66" s="3" t="s">
        <v>633</v>
      </c>
      <c r="I66" s="3" t="s">
        <v>673</v>
      </c>
      <c r="J66" s="3">
        <v>112</v>
      </c>
      <c r="K66" s="3">
        <v>7.49</v>
      </c>
      <c r="L66" s="3" t="s">
        <v>643</v>
      </c>
    </row>
    <row r="67" spans="1:12" ht="14.5" x14ac:dyDescent="0.35">
      <c r="A67" s="3" t="s">
        <v>491</v>
      </c>
      <c r="B67" s="3" t="s">
        <v>492</v>
      </c>
      <c r="C67" s="4">
        <v>38118</v>
      </c>
      <c r="D67" s="3">
        <v>799173732</v>
      </c>
      <c r="E67" s="3" t="s">
        <v>743</v>
      </c>
      <c r="F67" s="3">
        <v>404</v>
      </c>
      <c r="G67" s="3" t="s">
        <v>640</v>
      </c>
      <c r="H67" s="3" t="s">
        <v>633</v>
      </c>
      <c r="I67" s="3" t="s">
        <v>634</v>
      </c>
      <c r="J67" s="3">
        <v>126</v>
      </c>
      <c r="K67" s="3">
        <v>8.5299999999999994</v>
      </c>
      <c r="L67" s="3" t="s">
        <v>635</v>
      </c>
    </row>
    <row r="68" spans="1:12" ht="14.5" x14ac:dyDescent="0.35">
      <c r="A68" s="3" t="s">
        <v>345</v>
      </c>
      <c r="B68" s="3" t="s">
        <v>346</v>
      </c>
      <c r="C68" s="4">
        <v>38082</v>
      </c>
      <c r="D68" s="3">
        <v>915932451</v>
      </c>
      <c r="E68" s="3" t="s">
        <v>744</v>
      </c>
      <c r="F68" s="3">
        <v>412</v>
      </c>
      <c r="G68" s="3" t="s">
        <v>637</v>
      </c>
      <c r="H68" s="3" t="s">
        <v>633</v>
      </c>
      <c r="I68" s="3" t="s">
        <v>673</v>
      </c>
      <c r="J68" s="3">
        <v>126</v>
      </c>
      <c r="K68" s="3">
        <v>7.81</v>
      </c>
      <c r="L68" s="3" t="s">
        <v>643</v>
      </c>
    </row>
    <row r="69" spans="1:12" ht="14.5" x14ac:dyDescent="0.35">
      <c r="A69" s="3" t="s">
        <v>501</v>
      </c>
      <c r="B69" s="3" t="s">
        <v>502</v>
      </c>
      <c r="C69" s="3" t="s">
        <v>745</v>
      </c>
      <c r="D69" s="3">
        <v>964781138</v>
      </c>
      <c r="E69" s="3" t="s">
        <v>746</v>
      </c>
      <c r="F69" s="3">
        <v>412</v>
      </c>
      <c r="G69" s="3" t="s">
        <v>637</v>
      </c>
      <c r="H69" s="3" t="s">
        <v>633</v>
      </c>
      <c r="I69" s="3" t="s">
        <v>634</v>
      </c>
      <c r="J69" s="3">
        <v>120</v>
      </c>
      <c r="K69" s="3">
        <v>8.34</v>
      </c>
      <c r="L69" s="3" t="s">
        <v>635</v>
      </c>
    </row>
    <row r="70" spans="1:12" ht="14.5" x14ac:dyDescent="0.35">
      <c r="A70" s="3" t="s">
        <v>347</v>
      </c>
      <c r="B70" s="3" t="s">
        <v>348</v>
      </c>
      <c r="C70" s="4">
        <v>37994</v>
      </c>
      <c r="D70" s="3">
        <v>349570679</v>
      </c>
      <c r="E70" s="3" t="s">
        <v>747</v>
      </c>
      <c r="F70" s="3">
        <v>412</v>
      </c>
      <c r="G70" s="3" t="s">
        <v>637</v>
      </c>
      <c r="H70" s="3" t="s">
        <v>633</v>
      </c>
      <c r="I70" s="3" t="s">
        <v>634</v>
      </c>
      <c r="J70" s="3">
        <v>122</v>
      </c>
      <c r="K70" s="3">
        <v>6.78</v>
      </c>
      <c r="L70" s="3" t="s">
        <v>696</v>
      </c>
    </row>
    <row r="71" spans="1:12" ht="14.5" x14ac:dyDescent="0.35">
      <c r="A71" s="3" t="s">
        <v>349</v>
      </c>
      <c r="B71" s="3" t="s">
        <v>350</v>
      </c>
      <c r="C71" s="3" t="s">
        <v>629</v>
      </c>
      <c r="D71" s="6"/>
      <c r="E71" s="3" t="s">
        <v>748</v>
      </c>
      <c r="F71" s="3">
        <v>404</v>
      </c>
      <c r="G71" s="3" t="s">
        <v>640</v>
      </c>
      <c r="H71" s="3" t="s">
        <v>633</v>
      </c>
      <c r="I71" s="3" t="s">
        <v>634</v>
      </c>
      <c r="J71" s="3">
        <v>126</v>
      </c>
      <c r="K71" s="3">
        <v>8.6199999999999992</v>
      </c>
      <c r="L71" s="3" t="s">
        <v>635</v>
      </c>
    </row>
    <row r="72" spans="1:12" ht="14.5" x14ac:dyDescent="0.35">
      <c r="A72" s="3" t="s">
        <v>351</v>
      </c>
      <c r="B72" s="3" t="s">
        <v>352</v>
      </c>
      <c r="C72" s="3" t="s">
        <v>749</v>
      </c>
      <c r="D72" s="3">
        <v>869340316</v>
      </c>
      <c r="E72" s="3" t="s">
        <v>750</v>
      </c>
      <c r="F72" s="3">
        <v>404</v>
      </c>
      <c r="G72" s="3" t="s">
        <v>640</v>
      </c>
      <c r="H72" s="3" t="s">
        <v>633</v>
      </c>
      <c r="I72" s="3" t="s">
        <v>634</v>
      </c>
      <c r="J72" s="3">
        <v>126</v>
      </c>
      <c r="K72" s="3">
        <v>7.77</v>
      </c>
      <c r="L72" s="3" t="s">
        <v>643</v>
      </c>
    </row>
    <row r="73" spans="1:12" ht="14.5" x14ac:dyDescent="0.35">
      <c r="A73" s="3" t="s">
        <v>504</v>
      </c>
      <c r="B73" s="3" t="s">
        <v>505</v>
      </c>
      <c r="C73" s="5">
        <v>38301</v>
      </c>
      <c r="D73" s="3">
        <v>396574906</v>
      </c>
      <c r="E73" s="3" t="s">
        <v>751</v>
      </c>
      <c r="F73" s="3">
        <v>404</v>
      </c>
      <c r="G73" s="3" t="s">
        <v>640</v>
      </c>
      <c r="H73" s="3" t="s">
        <v>633</v>
      </c>
      <c r="I73" s="3" t="s">
        <v>634</v>
      </c>
      <c r="J73" s="3">
        <v>122</v>
      </c>
      <c r="K73" s="3">
        <v>9.1199999999999992</v>
      </c>
      <c r="L73" s="3" t="s">
        <v>752</v>
      </c>
    </row>
    <row r="74" spans="1:12" ht="14.5" x14ac:dyDescent="0.35">
      <c r="A74" s="3" t="s">
        <v>353</v>
      </c>
      <c r="B74" s="3" t="s">
        <v>354</v>
      </c>
      <c r="C74" s="4">
        <v>38148</v>
      </c>
      <c r="D74" s="3">
        <v>972904610</v>
      </c>
      <c r="E74" s="3" t="s">
        <v>753</v>
      </c>
      <c r="F74" s="3">
        <v>404</v>
      </c>
      <c r="G74" s="3" t="s">
        <v>640</v>
      </c>
      <c r="H74" s="3" t="s">
        <v>633</v>
      </c>
      <c r="I74" s="3" t="s">
        <v>634</v>
      </c>
      <c r="J74" s="3">
        <v>126</v>
      </c>
      <c r="K74" s="3">
        <v>8.61</v>
      </c>
      <c r="L74" s="3" t="s">
        <v>635</v>
      </c>
    </row>
    <row r="75" spans="1:12" ht="14.5" x14ac:dyDescent="0.35">
      <c r="A75" s="3" t="s">
        <v>493</v>
      </c>
      <c r="B75" s="3" t="s">
        <v>494</v>
      </c>
      <c r="C75" s="3" t="s">
        <v>754</v>
      </c>
      <c r="D75" s="3">
        <v>968463550</v>
      </c>
      <c r="E75" s="3" t="s">
        <v>755</v>
      </c>
      <c r="F75" s="3">
        <v>404</v>
      </c>
      <c r="G75" s="3" t="s">
        <v>640</v>
      </c>
      <c r="H75" s="3" t="s">
        <v>633</v>
      </c>
      <c r="I75" s="3" t="s">
        <v>634</v>
      </c>
      <c r="J75" s="3">
        <v>127</v>
      </c>
      <c r="K75" s="3">
        <v>7.61</v>
      </c>
      <c r="L75" s="3" t="s">
        <v>643</v>
      </c>
    </row>
    <row r="76" spans="1:12" ht="14.5" x14ac:dyDescent="0.35">
      <c r="A76" s="3" t="s">
        <v>507</v>
      </c>
      <c r="B76" s="3" t="s">
        <v>508</v>
      </c>
      <c r="C76" s="4">
        <v>38083</v>
      </c>
      <c r="D76" s="3">
        <v>394247075</v>
      </c>
      <c r="E76" s="3" t="s">
        <v>756</v>
      </c>
      <c r="F76" s="3">
        <v>404</v>
      </c>
      <c r="G76" s="3" t="s">
        <v>640</v>
      </c>
      <c r="H76" s="3" t="s">
        <v>633</v>
      </c>
      <c r="I76" s="3" t="s">
        <v>634</v>
      </c>
      <c r="J76" s="3">
        <v>122</v>
      </c>
      <c r="K76" s="3">
        <v>8.17</v>
      </c>
      <c r="L76" s="3" t="s">
        <v>635</v>
      </c>
    </row>
    <row r="77" spans="1:12" ht="14.5" x14ac:dyDescent="0.35">
      <c r="A77" s="3" t="s">
        <v>412</v>
      </c>
      <c r="B77" s="3" t="s">
        <v>413</v>
      </c>
      <c r="C77" s="3" t="s">
        <v>757</v>
      </c>
      <c r="D77" s="3">
        <v>931314605</v>
      </c>
      <c r="E77" s="3" t="s">
        <v>758</v>
      </c>
      <c r="F77" s="3">
        <v>404</v>
      </c>
      <c r="G77" s="3" t="s">
        <v>640</v>
      </c>
      <c r="H77" s="3" t="s">
        <v>633</v>
      </c>
      <c r="I77" s="3" t="s">
        <v>673</v>
      </c>
      <c r="J77" s="3">
        <v>107</v>
      </c>
      <c r="K77" s="3">
        <v>8.2200000000000006</v>
      </c>
      <c r="L77" s="3" t="s">
        <v>635</v>
      </c>
    </row>
    <row r="78" spans="1:12" ht="14.5" x14ac:dyDescent="0.35">
      <c r="A78" s="3" t="s">
        <v>529</v>
      </c>
      <c r="B78" s="3" t="s">
        <v>530</v>
      </c>
      <c r="C78" s="4">
        <v>38231</v>
      </c>
      <c r="D78" s="3">
        <v>376618542</v>
      </c>
      <c r="E78" s="3" t="s">
        <v>759</v>
      </c>
      <c r="F78" s="3">
        <v>404</v>
      </c>
      <c r="G78" s="3" t="s">
        <v>640</v>
      </c>
      <c r="H78" s="3" t="s">
        <v>633</v>
      </c>
      <c r="I78" s="3" t="s">
        <v>634</v>
      </c>
      <c r="J78" s="3">
        <v>122</v>
      </c>
      <c r="K78" s="3">
        <v>8.01</v>
      </c>
      <c r="L78" s="3" t="s">
        <v>635</v>
      </c>
    </row>
    <row r="79" spans="1:12" ht="14.5" x14ac:dyDescent="0.35">
      <c r="A79" s="3" t="s">
        <v>515</v>
      </c>
      <c r="B79" s="3" t="s">
        <v>516</v>
      </c>
      <c r="C79" s="3" t="s">
        <v>760</v>
      </c>
      <c r="D79" s="3">
        <v>386280904</v>
      </c>
      <c r="E79" s="3" t="s">
        <v>761</v>
      </c>
      <c r="F79" s="3">
        <v>404</v>
      </c>
      <c r="G79" s="3" t="s">
        <v>640</v>
      </c>
      <c r="H79" s="3" t="s">
        <v>633</v>
      </c>
      <c r="I79" s="3" t="s">
        <v>634</v>
      </c>
      <c r="J79" s="3">
        <v>130</v>
      </c>
      <c r="K79" s="3">
        <v>8.59</v>
      </c>
      <c r="L79" s="3" t="s">
        <v>635</v>
      </c>
    </row>
    <row r="80" spans="1:12" ht="14.5" x14ac:dyDescent="0.35">
      <c r="A80" s="3" t="s">
        <v>517</v>
      </c>
      <c r="B80" s="3" t="s">
        <v>518</v>
      </c>
      <c r="C80" s="4">
        <v>38298</v>
      </c>
      <c r="D80" s="6"/>
      <c r="E80" s="3" t="s">
        <v>762</v>
      </c>
      <c r="F80" s="3">
        <v>404</v>
      </c>
      <c r="G80" s="3" t="s">
        <v>640</v>
      </c>
      <c r="H80" s="3" t="s">
        <v>633</v>
      </c>
      <c r="I80" s="3" t="s">
        <v>634</v>
      </c>
      <c r="J80" s="3">
        <v>128</v>
      </c>
      <c r="K80" s="3">
        <v>7.99</v>
      </c>
      <c r="L80" s="3" t="s">
        <v>643</v>
      </c>
    </row>
    <row r="81" spans="1:12" ht="14.5" x14ac:dyDescent="0.35">
      <c r="A81" s="3" t="s">
        <v>539</v>
      </c>
      <c r="B81" s="3" t="s">
        <v>540</v>
      </c>
      <c r="C81" s="3" t="s">
        <v>763</v>
      </c>
      <c r="D81" s="3">
        <v>931537156</v>
      </c>
      <c r="E81" s="3" t="s">
        <v>764</v>
      </c>
      <c r="F81" s="3">
        <v>404</v>
      </c>
      <c r="G81" s="3" t="s">
        <v>640</v>
      </c>
      <c r="H81" s="3" t="s">
        <v>633</v>
      </c>
      <c r="I81" s="3" t="s">
        <v>634</v>
      </c>
      <c r="J81" s="3">
        <v>122</v>
      </c>
      <c r="K81" s="3">
        <v>8.86</v>
      </c>
      <c r="L81" s="3" t="s">
        <v>635</v>
      </c>
    </row>
    <row r="82" spans="1:12" ht="14.5" x14ac:dyDescent="0.35">
      <c r="A82" s="3" t="s">
        <v>519</v>
      </c>
      <c r="B82" s="3" t="s">
        <v>520</v>
      </c>
      <c r="C82" s="3" t="s">
        <v>717</v>
      </c>
      <c r="D82" s="6"/>
      <c r="E82" s="3" t="s">
        <v>765</v>
      </c>
      <c r="F82" s="3">
        <v>404</v>
      </c>
      <c r="G82" s="3" t="s">
        <v>640</v>
      </c>
      <c r="H82" s="3" t="s">
        <v>633</v>
      </c>
      <c r="I82" s="3" t="s">
        <v>673</v>
      </c>
      <c r="J82" s="3">
        <v>126</v>
      </c>
      <c r="K82" s="3">
        <v>7.92</v>
      </c>
      <c r="L82" s="3" t="s">
        <v>643</v>
      </c>
    </row>
    <row r="83" spans="1:12" ht="14.5" x14ac:dyDescent="0.35">
      <c r="A83" s="3" t="s">
        <v>521</v>
      </c>
      <c r="B83" s="3" t="s">
        <v>522</v>
      </c>
      <c r="C83" s="3" t="s">
        <v>766</v>
      </c>
      <c r="D83" s="3">
        <v>794918989</v>
      </c>
      <c r="E83" s="3" t="s">
        <v>767</v>
      </c>
      <c r="F83" s="3">
        <v>404</v>
      </c>
      <c r="G83" s="3" t="s">
        <v>640</v>
      </c>
      <c r="H83" s="3" t="s">
        <v>633</v>
      </c>
      <c r="I83" s="3" t="s">
        <v>634</v>
      </c>
      <c r="J83" s="3">
        <v>126</v>
      </c>
      <c r="K83" s="3">
        <v>8.59</v>
      </c>
      <c r="L83" s="3" t="s">
        <v>635</v>
      </c>
    </row>
    <row r="84" spans="1:12" ht="14.5" x14ac:dyDescent="0.35">
      <c r="A84" s="3" t="s">
        <v>523</v>
      </c>
      <c r="B84" s="3" t="s">
        <v>768</v>
      </c>
      <c r="C84" s="4">
        <v>38240</v>
      </c>
      <c r="D84" s="3">
        <v>913665611</v>
      </c>
      <c r="E84" s="3" t="s">
        <v>769</v>
      </c>
      <c r="F84" s="3">
        <v>404</v>
      </c>
      <c r="G84" s="3" t="s">
        <v>640</v>
      </c>
      <c r="H84" s="3" t="s">
        <v>633</v>
      </c>
      <c r="I84" s="3" t="s">
        <v>634</v>
      </c>
      <c r="J84" s="3">
        <v>126</v>
      </c>
      <c r="K84" s="3">
        <v>8.48</v>
      </c>
      <c r="L84" s="3" t="s">
        <v>635</v>
      </c>
    </row>
    <row r="85" spans="1:12" ht="14.5" x14ac:dyDescent="0.35">
      <c r="A85" s="3" t="s">
        <v>525</v>
      </c>
      <c r="B85" s="3" t="s">
        <v>526</v>
      </c>
      <c r="C85" s="4">
        <v>38150</v>
      </c>
      <c r="D85" s="6"/>
      <c r="E85" s="3" t="s">
        <v>770</v>
      </c>
      <c r="F85" s="3">
        <v>404</v>
      </c>
      <c r="G85" s="3" t="s">
        <v>640</v>
      </c>
      <c r="H85" s="3" t="s">
        <v>633</v>
      </c>
      <c r="I85" s="3" t="s">
        <v>634</v>
      </c>
      <c r="J85" s="3">
        <v>126</v>
      </c>
      <c r="K85" s="3">
        <v>8.3800000000000008</v>
      </c>
      <c r="L85" s="3" t="s">
        <v>635</v>
      </c>
    </row>
    <row r="86" spans="1:12" ht="14.5" x14ac:dyDescent="0.35">
      <c r="A86" s="3" t="s">
        <v>128</v>
      </c>
      <c r="B86" s="3" t="s">
        <v>129</v>
      </c>
      <c r="C86" s="3" t="s">
        <v>771</v>
      </c>
      <c r="D86" s="3">
        <v>375838772</v>
      </c>
      <c r="E86" s="3" t="s">
        <v>772</v>
      </c>
      <c r="F86" s="3">
        <v>404</v>
      </c>
      <c r="G86" s="3" t="s">
        <v>640</v>
      </c>
      <c r="H86" s="3" t="s">
        <v>633</v>
      </c>
      <c r="I86" s="3" t="s">
        <v>634</v>
      </c>
      <c r="J86" s="3">
        <v>126</v>
      </c>
      <c r="K86" s="3">
        <v>8.73</v>
      </c>
      <c r="L86" s="3" t="s">
        <v>635</v>
      </c>
    </row>
    <row r="87" spans="1:12" ht="14.5" x14ac:dyDescent="0.35">
      <c r="A87" s="3" t="s">
        <v>436</v>
      </c>
      <c r="B87" s="3" t="s">
        <v>437</v>
      </c>
      <c r="C87" s="3" t="s">
        <v>773</v>
      </c>
      <c r="D87" s="3">
        <v>397803341</v>
      </c>
      <c r="E87" s="3" t="s">
        <v>774</v>
      </c>
      <c r="F87" s="3">
        <v>404</v>
      </c>
      <c r="G87" s="3" t="s">
        <v>640</v>
      </c>
      <c r="H87" s="3" t="s">
        <v>633</v>
      </c>
      <c r="I87" s="3" t="s">
        <v>634</v>
      </c>
      <c r="J87" s="3">
        <v>124</v>
      </c>
      <c r="K87" s="3">
        <v>8.76</v>
      </c>
      <c r="L87" s="3" t="s">
        <v>635</v>
      </c>
    </row>
    <row r="88" spans="1:12" ht="14.5" x14ac:dyDescent="0.35">
      <c r="A88" s="3" t="s">
        <v>355</v>
      </c>
      <c r="B88" s="3" t="s">
        <v>775</v>
      </c>
      <c r="C88" s="3" t="s">
        <v>776</v>
      </c>
      <c r="D88" s="3">
        <v>974159819</v>
      </c>
      <c r="E88" s="3" t="s">
        <v>777</v>
      </c>
      <c r="F88" s="3">
        <v>412</v>
      </c>
      <c r="G88" s="3" t="s">
        <v>637</v>
      </c>
      <c r="H88" s="3" t="s">
        <v>633</v>
      </c>
      <c r="I88" s="3" t="s">
        <v>634</v>
      </c>
      <c r="J88" s="3">
        <v>124</v>
      </c>
      <c r="K88" s="3">
        <v>7.71</v>
      </c>
      <c r="L88" s="3" t="s">
        <v>643</v>
      </c>
    </row>
    <row r="89" spans="1:12" ht="14.5" x14ac:dyDescent="0.35">
      <c r="A89" s="3" t="s">
        <v>131</v>
      </c>
      <c r="B89" s="3" t="s">
        <v>132</v>
      </c>
      <c r="C89" s="3" t="s">
        <v>778</v>
      </c>
      <c r="D89" s="3">
        <v>977938908</v>
      </c>
      <c r="E89" s="3" t="s">
        <v>779</v>
      </c>
      <c r="F89" s="3">
        <v>404</v>
      </c>
      <c r="G89" s="3" t="s">
        <v>640</v>
      </c>
      <c r="H89" s="3" t="s">
        <v>633</v>
      </c>
      <c r="I89" s="3" t="s">
        <v>634</v>
      </c>
      <c r="J89" s="3">
        <v>125</v>
      </c>
      <c r="K89" s="3">
        <v>8.6</v>
      </c>
      <c r="L89" s="3" t="s">
        <v>635</v>
      </c>
    </row>
    <row r="90" spans="1:12" ht="14.5" x14ac:dyDescent="0.35">
      <c r="A90" s="3" t="s">
        <v>357</v>
      </c>
      <c r="B90" s="3" t="s">
        <v>358</v>
      </c>
      <c r="C90" s="3" t="s">
        <v>780</v>
      </c>
      <c r="D90" s="3">
        <v>396788267</v>
      </c>
      <c r="E90" s="3" t="s">
        <v>781</v>
      </c>
      <c r="F90" s="3">
        <v>412</v>
      </c>
      <c r="G90" s="3" t="s">
        <v>637</v>
      </c>
      <c r="H90" s="3" t="s">
        <v>633</v>
      </c>
      <c r="I90" s="3" t="s">
        <v>673</v>
      </c>
      <c r="J90" s="3">
        <v>124</v>
      </c>
      <c r="K90" s="3">
        <v>7.08</v>
      </c>
      <c r="L90" s="3" t="s">
        <v>643</v>
      </c>
    </row>
    <row r="91" spans="1:12" ht="14.5" x14ac:dyDescent="0.35">
      <c r="A91" s="3" t="s">
        <v>133</v>
      </c>
      <c r="B91" s="3" t="s">
        <v>134</v>
      </c>
      <c r="C91" s="3" t="s">
        <v>782</v>
      </c>
      <c r="D91" s="3">
        <v>335358287</v>
      </c>
      <c r="E91" s="3" t="s">
        <v>783</v>
      </c>
      <c r="F91" s="3">
        <v>404</v>
      </c>
      <c r="G91" s="3" t="s">
        <v>640</v>
      </c>
      <c r="H91" s="3" t="s">
        <v>633</v>
      </c>
      <c r="I91" s="3" t="s">
        <v>634</v>
      </c>
      <c r="J91" s="3">
        <v>126</v>
      </c>
      <c r="K91" s="3">
        <v>8.0299999999999994</v>
      </c>
      <c r="L91" s="3" t="s">
        <v>635</v>
      </c>
    </row>
    <row r="92" spans="1:12" ht="14.5" x14ac:dyDescent="0.35">
      <c r="A92" s="3" t="s">
        <v>152</v>
      </c>
      <c r="B92" s="3" t="s">
        <v>153</v>
      </c>
      <c r="C92" s="3" t="s">
        <v>784</v>
      </c>
      <c r="D92" s="3">
        <v>332366956</v>
      </c>
      <c r="E92" s="3" t="s">
        <v>785</v>
      </c>
      <c r="F92" s="3">
        <v>404</v>
      </c>
      <c r="G92" s="3" t="s">
        <v>640</v>
      </c>
      <c r="H92" s="3" t="s">
        <v>633</v>
      </c>
      <c r="I92" s="3" t="s">
        <v>634</v>
      </c>
      <c r="J92" s="3">
        <v>126</v>
      </c>
      <c r="K92" s="3">
        <v>8.43</v>
      </c>
      <c r="L92" s="3" t="s">
        <v>635</v>
      </c>
    </row>
    <row r="93" spans="1:12" ht="14.5" x14ac:dyDescent="0.35">
      <c r="A93" s="3" t="s">
        <v>359</v>
      </c>
      <c r="B93" s="3" t="s">
        <v>360</v>
      </c>
      <c r="C93" s="3" t="s">
        <v>766</v>
      </c>
      <c r="D93" s="6"/>
      <c r="E93" s="3" t="s">
        <v>786</v>
      </c>
      <c r="F93" s="3">
        <v>412</v>
      </c>
      <c r="G93" s="3" t="s">
        <v>637</v>
      </c>
      <c r="H93" s="3" t="s">
        <v>633</v>
      </c>
      <c r="I93" s="3" t="s">
        <v>634</v>
      </c>
      <c r="J93" s="3">
        <v>126</v>
      </c>
      <c r="K93" s="3">
        <v>7.96</v>
      </c>
      <c r="L93" s="3" t="s">
        <v>643</v>
      </c>
    </row>
    <row r="94" spans="1:12" ht="14.5" x14ac:dyDescent="0.35">
      <c r="A94" s="3" t="s">
        <v>155</v>
      </c>
      <c r="B94" s="3" t="s">
        <v>156</v>
      </c>
      <c r="C94" s="3" t="s">
        <v>787</v>
      </c>
      <c r="D94" s="3">
        <v>908740992</v>
      </c>
      <c r="E94" s="3" t="s">
        <v>788</v>
      </c>
      <c r="F94" s="3">
        <v>404</v>
      </c>
      <c r="G94" s="3" t="s">
        <v>640</v>
      </c>
      <c r="H94" s="3" t="s">
        <v>633</v>
      </c>
      <c r="I94" s="3" t="s">
        <v>673</v>
      </c>
      <c r="J94" s="3">
        <v>126</v>
      </c>
      <c r="K94" s="3">
        <v>7.6</v>
      </c>
      <c r="L94" s="3" t="s">
        <v>643</v>
      </c>
    </row>
    <row r="95" spans="1:12" ht="14.5" x14ac:dyDescent="0.35">
      <c r="A95" s="3" t="s">
        <v>361</v>
      </c>
      <c r="B95" s="3" t="s">
        <v>362</v>
      </c>
      <c r="C95" s="4">
        <v>38173</v>
      </c>
      <c r="D95" s="3">
        <v>925479681</v>
      </c>
      <c r="E95" s="3" t="s">
        <v>789</v>
      </c>
      <c r="F95" s="3">
        <v>412</v>
      </c>
      <c r="G95" s="3" t="s">
        <v>637</v>
      </c>
      <c r="H95" s="3" t="s">
        <v>633</v>
      </c>
      <c r="I95" s="3" t="s">
        <v>634</v>
      </c>
      <c r="J95" s="3">
        <v>124</v>
      </c>
      <c r="K95" s="3">
        <v>7.6</v>
      </c>
      <c r="L95" s="3" t="s">
        <v>643</v>
      </c>
    </row>
    <row r="96" spans="1:12" ht="14.5" x14ac:dyDescent="0.35">
      <c r="A96" s="3" t="s">
        <v>157</v>
      </c>
      <c r="B96" s="3" t="s">
        <v>158</v>
      </c>
      <c r="C96" s="4">
        <v>38025</v>
      </c>
      <c r="D96" s="3">
        <v>867129325</v>
      </c>
      <c r="E96" s="3" t="s">
        <v>790</v>
      </c>
      <c r="F96" s="3">
        <v>404</v>
      </c>
      <c r="G96" s="3" t="s">
        <v>640</v>
      </c>
      <c r="H96" s="3" t="s">
        <v>633</v>
      </c>
      <c r="I96" s="3" t="s">
        <v>634</v>
      </c>
      <c r="J96" s="3">
        <v>123</v>
      </c>
      <c r="K96" s="3">
        <v>7.22</v>
      </c>
      <c r="L96" s="3" t="s">
        <v>643</v>
      </c>
    </row>
    <row r="97" spans="1:12" ht="14.5" x14ac:dyDescent="0.35">
      <c r="A97" s="3" t="s">
        <v>183</v>
      </c>
      <c r="B97" s="3" t="s">
        <v>184</v>
      </c>
      <c r="C97" s="3" t="s">
        <v>791</v>
      </c>
      <c r="D97" s="3">
        <v>899386831</v>
      </c>
      <c r="E97" s="3" t="s">
        <v>792</v>
      </c>
      <c r="F97" s="3" t="s">
        <v>631</v>
      </c>
      <c r="G97" s="3" t="s">
        <v>632</v>
      </c>
      <c r="H97" s="3" t="s">
        <v>633</v>
      </c>
      <c r="I97" s="3" t="s">
        <v>634</v>
      </c>
      <c r="J97" s="3">
        <v>124</v>
      </c>
      <c r="K97" s="3">
        <v>7.94</v>
      </c>
      <c r="L97" s="3" t="s">
        <v>643</v>
      </c>
    </row>
    <row r="98" spans="1:12" ht="14.5" x14ac:dyDescent="0.35">
      <c r="A98" s="3" t="s">
        <v>404</v>
      </c>
      <c r="B98" s="3" t="s">
        <v>405</v>
      </c>
      <c r="C98" s="3" t="s">
        <v>740</v>
      </c>
      <c r="D98" s="3">
        <v>937328308</v>
      </c>
      <c r="E98" s="3" t="s">
        <v>793</v>
      </c>
      <c r="F98" s="3" t="s">
        <v>631</v>
      </c>
      <c r="G98" s="3" t="s">
        <v>632</v>
      </c>
      <c r="H98" s="3" t="s">
        <v>633</v>
      </c>
      <c r="I98" s="3" t="s">
        <v>634</v>
      </c>
      <c r="J98" s="3">
        <v>122</v>
      </c>
      <c r="K98" s="3">
        <v>8.42</v>
      </c>
      <c r="L98" s="3" t="s">
        <v>635</v>
      </c>
    </row>
    <row r="99" spans="1:12" ht="14.5" x14ac:dyDescent="0.35">
      <c r="A99" s="3" t="s">
        <v>185</v>
      </c>
      <c r="B99" s="3" t="s">
        <v>186</v>
      </c>
      <c r="C99" s="3" t="s">
        <v>794</v>
      </c>
      <c r="D99" s="3">
        <v>962173620</v>
      </c>
      <c r="E99" s="3" t="s">
        <v>795</v>
      </c>
      <c r="F99" s="3" t="s">
        <v>631</v>
      </c>
      <c r="G99" s="3" t="s">
        <v>632</v>
      </c>
      <c r="H99" s="3" t="s">
        <v>633</v>
      </c>
      <c r="I99" s="3" t="s">
        <v>634</v>
      </c>
      <c r="J99" s="3">
        <v>124</v>
      </c>
      <c r="K99" s="3">
        <v>8.1</v>
      </c>
      <c r="L99" s="3" t="s">
        <v>635</v>
      </c>
    </row>
    <row r="100" spans="1:12" ht="14.5" x14ac:dyDescent="0.35">
      <c r="A100" s="3" t="s">
        <v>414</v>
      </c>
      <c r="B100" s="3" t="s">
        <v>415</v>
      </c>
      <c r="C100" s="3" t="s">
        <v>796</v>
      </c>
      <c r="D100" s="3">
        <v>373746180</v>
      </c>
      <c r="E100" s="3" t="s">
        <v>797</v>
      </c>
      <c r="F100" s="3" t="s">
        <v>631</v>
      </c>
      <c r="G100" s="3" t="s">
        <v>632</v>
      </c>
      <c r="H100" s="3" t="s">
        <v>633</v>
      </c>
      <c r="I100" s="3" t="s">
        <v>634</v>
      </c>
      <c r="J100" s="3">
        <v>122</v>
      </c>
      <c r="K100" s="3">
        <v>8.33</v>
      </c>
      <c r="L100" s="3" t="s">
        <v>635</v>
      </c>
    </row>
    <row r="101" spans="1:12" ht="14.5" x14ac:dyDescent="0.35">
      <c r="A101" s="3" t="s">
        <v>397</v>
      </c>
      <c r="B101" s="3" t="s">
        <v>398</v>
      </c>
      <c r="C101" s="3" t="s">
        <v>798</v>
      </c>
      <c r="D101" s="3">
        <v>394897277</v>
      </c>
      <c r="E101" s="3" t="s">
        <v>799</v>
      </c>
      <c r="F101" s="3" t="s">
        <v>631</v>
      </c>
      <c r="G101" s="3" t="s">
        <v>632</v>
      </c>
      <c r="H101" s="3" t="s">
        <v>633</v>
      </c>
      <c r="I101" s="3" t="s">
        <v>634</v>
      </c>
      <c r="J101" s="3">
        <v>122</v>
      </c>
      <c r="K101" s="3">
        <v>7.35</v>
      </c>
      <c r="L101" s="3" t="s">
        <v>643</v>
      </c>
    </row>
    <row r="102" spans="1:12" ht="14.5" x14ac:dyDescent="0.35">
      <c r="A102" s="3" t="s">
        <v>509</v>
      </c>
      <c r="B102" s="3" t="s">
        <v>510</v>
      </c>
      <c r="C102" s="3" t="s">
        <v>686</v>
      </c>
      <c r="D102" s="3">
        <v>916565166</v>
      </c>
      <c r="E102" s="3" t="s">
        <v>800</v>
      </c>
      <c r="F102" s="3" t="s">
        <v>631</v>
      </c>
      <c r="G102" s="3" t="s">
        <v>632</v>
      </c>
      <c r="H102" s="3" t="s">
        <v>633</v>
      </c>
      <c r="I102" s="3" t="s">
        <v>634</v>
      </c>
      <c r="J102" s="3">
        <v>124</v>
      </c>
      <c r="K102" s="3">
        <v>7.38</v>
      </c>
      <c r="L102" s="3" t="s">
        <v>643</v>
      </c>
    </row>
    <row r="103" spans="1:12" ht="14.5" x14ac:dyDescent="0.35">
      <c r="A103" s="3" t="s">
        <v>416</v>
      </c>
      <c r="B103" s="3" t="s">
        <v>417</v>
      </c>
      <c r="C103" s="3" t="s">
        <v>801</v>
      </c>
      <c r="D103" s="3">
        <v>908854852</v>
      </c>
      <c r="E103" s="3" t="s">
        <v>802</v>
      </c>
      <c r="F103" s="3" t="s">
        <v>631</v>
      </c>
      <c r="G103" s="3" t="s">
        <v>632</v>
      </c>
      <c r="H103" s="3" t="s">
        <v>633</v>
      </c>
      <c r="I103" s="3" t="s">
        <v>634</v>
      </c>
      <c r="J103" s="3">
        <v>122</v>
      </c>
      <c r="K103" s="3">
        <v>8.06</v>
      </c>
      <c r="L103" s="3" t="s">
        <v>635</v>
      </c>
    </row>
    <row r="104" spans="1:12" ht="14.5" x14ac:dyDescent="0.35">
      <c r="A104" s="3" t="s">
        <v>422</v>
      </c>
      <c r="B104" s="3" t="s">
        <v>423</v>
      </c>
      <c r="C104" s="3" t="s">
        <v>803</v>
      </c>
      <c r="D104" s="3">
        <v>966805610</v>
      </c>
      <c r="E104" s="3" t="s">
        <v>804</v>
      </c>
      <c r="F104" s="3">
        <v>406</v>
      </c>
      <c r="G104" s="3" t="s">
        <v>693</v>
      </c>
      <c r="H104" s="3" t="s">
        <v>633</v>
      </c>
      <c r="I104" s="3" t="s">
        <v>634</v>
      </c>
      <c r="J104" s="3">
        <v>59</v>
      </c>
      <c r="K104" s="3">
        <v>7.42</v>
      </c>
      <c r="L104" s="3" t="s">
        <v>643</v>
      </c>
    </row>
    <row r="105" spans="1:12" ht="14.5" x14ac:dyDescent="0.35">
      <c r="A105" s="3" t="s">
        <v>422</v>
      </c>
      <c r="B105" s="3" t="s">
        <v>423</v>
      </c>
      <c r="C105" s="3" t="s">
        <v>803</v>
      </c>
      <c r="D105" s="3">
        <v>966805610</v>
      </c>
      <c r="E105" s="3" t="s">
        <v>804</v>
      </c>
      <c r="F105" s="3" t="s">
        <v>631</v>
      </c>
      <c r="G105" s="3" t="s">
        <v>632</v>
      </c>
      <c r="H105" s="3" t="s">
        <v>633</v>
      </c>
      <c r="I105" s="3" t="s">
        <v>634</v>
      </c>
      <c r="J105" s="3">
        <v>122</v>
      </c>
      <c r="K105" s="3">
        <v>7.4</v>
      </c>
      <c r="L105" s="3" t="s">
        <v>643</v>
      </c>
    </row>
    <row r="106" spans="1:12" ht="14.5" x14ac:dyDescent="0.35">
      <c r="A106" s="3" t="s">
        <v>159</v>
      </c>
      <c r="B106" s="3" t="s">
        <v>160</v>
      </c>
      <c r="C106" s="4">
        <v>38053</v>
      </c>
      <c r="D106" s="3">
        <v>394191370</v>
      </c>
      <c r="E106" s="3" t="s">
        <v>805</v>
      </c>
      <c r="F106" s="3" t="s">
        <v>631</v>
      </c>
      <c r="G106" s="3" t="s">
        <v>632</v>
      </c>
      <c r="H106" s="3" t="s">
        <v>633</v>
      </c>
      <c r="I106" s="3" t="s">
        <v>673</v>
      </c>
      <c r="J106" s="3">
        <v>106</v>
      </c>
      <c r="K106" s="3">
        <v>8.1</v>
      </c>
      <c r="L106" s="3" t="s">
        <v>635</v>
      </c>
    </row>
    <row r="107" spans="1:12" ht="14.5" x14ac:dyDescent="0.35">
      <c r="A107" s="3" t="s">
        <v>27</v>
      </c>
      <c r="B107" s="3" t="s">
        <v>28</v>
      </c>
      <c r="C107" s="4">
        <v>38238</v>
      </c>
      <c r="D107" s="3">
        <v>988422246</v>
      </c>
      <c r="E107" s="3" t="s">
        <v>806</v>
      </c>
      <c r="F107" s="3" t="s">
        <v>631</v>
      </c>
      <c r="G107" s="3" t="s">
        <v>632</v>
      </c>
      <c r="H107" s="3" t="s">
        <v>633</v>
      </c>
      <c r="I107" s="3" t="s">
        <v>634</v>
      </c>
      <c r="J107" s="3">
        <v>124</v>
      </c>
      <c r="K107" s="3">
        <v>7.86</v>
      </c>
      <c r="L107" s="3" t="s">
        <v>643</v>
      </c>
    </row>
    <row r="108" spans="1:12" ht="14.5" x14ac:dyDescent="0.35">
      <c r="A108" s="3" t="s">
        <v>615</v>
      </c>
      <c r="B108" s="3" t="s">
        <v>616</v>
      </c>
      <c r="C108" s="3" t="s">
        <v>749</v>
      </c>
      <c r="D108" s="3">
        <v>782979208</v>
      </c>
      <c r="E108" s="3" t="s">
        <v>807</v>
      </c>
      <c r="F108" s="3" t="s">
        <v>631</v>
      </c>
      <c r="G108" s="3" t="s">
        <v>632</v>
      </c>
      <c r="H108" s="3" t="s">
        <v>633</v>
      </c>
      <c r="I108" s="3" t="s">
        <v>634</v>
      </c>
      <c r="J108" s="3">
        <v>124</v>
      </c>
      <c r="K108" s="3">
        <v>7.95</v>
      </c>
      <c r="L108" s="3" t="s">
        <v>643</v>
      </c>
    </row>
    <row r="109" spans="1:12" ht="14.5" x14ac:dyDescent="0.35">
      <c r="A109" s="3" t="s">
        <v>440</v>
      </c>
      <c r="B109" s="3" t="s">
        <v>441</v>
      </c>
      <c r="C109" s="3" t="s">
        <v>808</v>
      </c>
      <c r="D109" s="3">
        <v>937144363</v>
      </c>
      <c r="E109" s="3" t="s">
        <v>809</v>
      </c>
      <c r="F109" s="3" t="s">
        <v>631</v>
      </c>
      <c r="G109" s="3" t="s">
        <v>632</v>
      </c>
      <c r="H109" s="3" t="s">
        <v>633</v>
      </c>
      <c r="I109" s="3" t="s">
        <v>634</v>
      </c>
      <c r="J109" s="3">
        <v>122</v>
      </c>
      <c r="K109" s="3">
        <v>8.2799999999999994</v>
      </c>
      <c r="L109" s="3" t="s">
        <v>635</v>
      </c>
    </row>
    <row r="110" spans="1:12" ht="14.5" x14ac:dyDescent="0.35">
      <c r="A110" s="3" t="s">
        <v>442</v>
      </c>
      <c r="B110" s="3" t="s">
        <v>443</v>
      </c>
      <c r="C110" s="4">
        <v>38296</v>
      </c>
      <c r="D110" s="3">
        <v>392695611</v>
      </c>
      <c r="E110" s="3" t="s">
        <v>810</v>
      </c>
      <c r="F110" s="3" t="s">
        <v>631</v>
      </c>
      <c r="G110" s="3" t="s">
        <v>632</v>
      </c>
      <c r="H110" s="3" t="s">
        <v>633</v>
      </c>
      <c r="I110" s="3" t="s">
        <v>634</v>
      </c>
      <c r="J110" s="3">
        <v>122</v>
      </c>
      <c r="K110" s="3">
        <v>7.76</v>
      </c>
      <c r="L110" s="3" t="s">
        <v>643</v>
      </c>
    </row>
    <row r="111" spans="1:12" ht="14.5" x14ac:dyDescent="0.35">
      <c r="A111" s="3" t="s">
        <v>379</v>
      </c>
      <c r="B111" s="3" t="s">
        <v>380</v>
      </c>
      <c r="C111" s="3" t="s">
        <v>811</v>
      </c>
      <c r="D111" s="3">
        <v>916419466</v>
      </c>
      <c r="E111" s="3" t="s">
        <v>812</v>
      </c>
      <c r="F111" s="3" t="s">
        <v>631</v>
      </c>
      <c r="G111" s="3" t="s">
        <v>632</v>
      </c>
      <c r="H111" s="3" t="s">
        <v>633</v>
      </c>
      <c r="I111" s="3" t="s">
        <v>673</v>
      </c>
      <c r="J111" s="3">
        <v>110</v>
      </c>
      <c r="K111" s="3">
        <v>6.97</v>
      </c>
      <c r="L111" s="3" t="s">
        <v>696</v>
      </c>
    </row>
    <row r="112" spans="1:12" ht="14.5" x14ac:dyDescent="0.35">
      <c r="A112" s="3" t="s">
        <v>100</v>
      </c>
      <c r="B112" s="3" t="s">
        <v>101</v>
      </c>
      <c r="C112" s="4">
        <v>38292</v>
      </c>
      <c r="D112" s="3">
        <v>374316538</v>
      </c>
      <c r="E112" s="3" t="s">
        <v>813</v>
      </c>
      <c r="F112" s="3" t="s">
        <v>631</v>
      </c>
      <c r="G112" s="3" t="s">
        <v>632</v>
      </c>
      <c r="H112" s="3" t="s">
        <v>633</v>
      </c>
      <c r="I112" s="3" t="s">
        <v>634</v>
      </c>
      <c r="J112" s="3">
        <v>128</v>
      </c>
      <c r="K112" s="3">
        <v>7.55</v>
      </c>
      <c r="L112" s="3" t="s">
        <v>643</v>
      </c>
    </row>
    <row r="113" spans="1:12" ht="14.5" x14ac:dyDescent="0.35">
      <c r="A113" s="3" t="s">
        <v>426</v>
      </c>
      <c r="B113" s="3" t="s">
        <v>427</v>
      </c>
      <c r="C113" s="4">
        <v>38204</v>
      </c>
      <c r="D113" s="3">
        <v>398080083</v>
      </c>
      <c r="E113" s="3" t="s">
        <v>814</v>
      </c>
      <c r="F113" s="3" t="s">
        <v>631</v>
      </c>
      <c r="G113" s="3" t="s">
        <v>632</v>
      </c>
      <c r="H113" s="3" t="s">
        <v>633</v>
      </c>
      <c r="I113" s="3" t="s">
        <v>634</v>
      </c>
      <c r="J113" s="3">
        <v>122</v>
      </c>
      <c r="K113" s="3">
        <v>8.77</v>
      </c>
      <c r="L113" s="3" t="s">
        <v>635</v>
      </c>
    </row>
    <row r="114" spans="1:12" ht="14.5" x14ac:dyDescent="0.35">
      <c r="A114" s="3" t="s">
        <v>527</v>
      </c>
      <c r="B114" s="3" t="s">
        <v>528</v>
      </c>
      <c r="C114" s="4">
        <v>37776</v>
      </c>
      <c r="D114" s="6"/>
      <c r="E114" s="3" t="s">
        <v>815</v>
      </c>
      <c r="F114" s="3" t="s">
        <v>631</v>
      </c>
      <c r="G114" s="3" t="s">
        <v>632</v>
      </c>
      <c r="H114" s="3" t="s">
        <v>633</v>
      </c>
      <c r="I114" s="3" t="s">
        <v>634</v>
      </c>
      <c r="J114" s="3">
        <v>124</v>
      </c>
      <c r="K114" s="3">
        <v>8.49</v>
      </c>
      <c r="L114" s="3" t="s">
        <v>635</v>
      </c>
    </row>
    <row r="115" spans="1:12" ht="14.5" x14ac:dyDescent="0.35">
      <c r="A115" s="3" t="s">
        <v>419</v>
      </c>
      <c r="B115" s="3" t="s">
        <v>420</v>
      </c>
      <c r="C115" s="4">
        <v>38293</v>
      </c>
      <c r="D115" s="3">
        <v>963267026</v>
      </c>
      <c r="E115" s="3" t="s">
        <v>816</v>
      </c>
      <c r="F115" s="3" t="s">
        <v>631</v>
      </c>
      <c r="G115" s="3" t="s">
        <v>632</v>
      </c>
      <c r="H115" s="3" t="s">
        <v>633</v>
      </c>
      <c r="I115" s="3" t="s">
        <v>634</v>
      </c>
      <c r="J115" s="3">
        <v>122</v>
      </c>
      <c r="K115" s="3">
        <v>7.87</v>
      </c>
      <c r="L115" s="3" t="s">
        <v>643</v>
      </c>
    </row>
    <row r="116" spans="1:12" ht="14.5" x14ac:dyDescent="0.35">
      <c r="A116" s="3" t="s">
        <v>401</v>
      </c>
      <c r="B116" s="3" t="s">
        <v>402</v>
      </c>
      <c r="C116" s="4">
        <v>38266</v>
      </c>
      <c r="D116" s="3">
        <v>907743339</v>
      </c>
      <c r="E116" s="3" t="s">
        <v>817</v>
      </c>
      <c r="F116" s="3" t="s">
        <v>631</v>
      </c>
      <c r="G116" s="3" t="s">
        <v>632</v>
      </c>
      <c r="H116" s="3" t="s">
        <v>633</v>
      </c>
      <c r="I116" s="3" t="s">
        <v>634</v>
      </c>
      <c r="J116" s="3">
        <v>122</v>
      </c>
      <c r="K116" s="3">
        <v>7.6</v>
      </c>
      <c r="L116" s="3" t="s">
        <v>643</v>
      </c>
    </row>
    <row r="117" spans="1:12" ht="14.5" x14ac:dyDescent="0.35">
      <c r="A117" s="3" t="s">
        <v>135</v>
      </c>
      <c r="B117" s="3" t="s">
        <v>136</v>
      </c>
      <c r="C117" s="3" t="s">
        <v>818</v>
      </c>
      <c r="D117" s="3">
        <v>2838111947</v>
      </c>
      <c r="E117" s="3" t="s">
        <v>819</v>
      </c>
      <c r="F117" s="3" t="s">
        <v>631</v>
      </c>
      <c r="G117" s="3" t="s">
        <v>632</v>
      </c>
      <c r="H117" s="3" t="s">
        <v>633</v>
      </c>
      <c r="I117" s="3" t="s">
        <v>634</v>
      </c>
      <c r="J117" s="3">
        <v>124</v>
      </c>
      <c r="K117" s="3">
        <v>8.3699999999999992</v>
      </c>
      <c r="L117" s="3" t="s">
        <v>635</v>
      </c>
    </row>
    <row r="118" spans="1:12" ht="14.5" x14ac:dyDescent="0.35">
      <c r="A118" s="3" t="s">
        <v>137</v>
      </c>
      <c r="B118" s="3" t="s">
        <v>138</v>
      </c>
      <c r="C118" s="3" t="s">
        <v>820</v>
      </c>
      <c r="D118" s="3">
        <v>912617467</v>
      </c>
      <c r="E118" s="3" t="s">
        <v>821</v>
      </c>
      <c r="F118" s="3" t="s">
        <v>631</v>
      </c>
      <c r="G118" s="3" t="s">
        <v>632</v>
      </c>
      <c r="H118" s="3" t="s">
        <v>633</v>
      </c>
      <c r="I118" s="3" t="s">
        <v>634</v>
      </c>
      <c r="J118" s="3">
        <v>124</v>
      </c>
      <c r="K118" s="3">
        <v>8.19</v>
      </c>
      <c r="L118" s="3" t="s">
        <v>635</v>
      </c>
    </row>
    <row r="119" spans="1:12" ht="14.5" x14ac:dyDescent="0.35">
      <c r="A119" s="3" t="s">
        <v>187</v>
      </c>
      <c r="B119" s="3" t="s">
        <v>188</v>
      </c>
      <c r="C119" s="4">
        <v>38203</v>
      </c>
      <c r="D119" s="3">
        <v>376095514</v>
      </c>
      <c r="E119" s="3" t="s">
        <v>822</v>
      </c>
      <c r="F119" s="3" t="s">
        <v>631</v>
      </c>
      <c r="G119" s="3" t="s">
        <v>632</v>
      </c>
      <c r="H119" s="3" t="s">
        <v>633</v>
      </c>
      <c r="I119" s="3" t="s">
        <v>673</v>
      </c>
      <c r="J119" s="3">
        <v>124</v>
      </c>
      <c r="K119" s="3">
        <v>7.58</v>
      </c>
      <c r="L119" s="3" t="s">
        <v>643</v>
      </c>
    </row>
    <row r="120" spans="1:12" ht="14.5" x14ac:dyDescent="0.35">
      <c r="A120" s="3" t="s">
        <v>30</v>
      </c>
      <c r="B120" s="3" t="s">
        <v>31</v>
      </c>
      <c r="C120" s="3" t="s">
        <v>823</v>
      </c>
      <c r="D120" s="6"/>
      <c r="E120" s="3" t="s">
        <v>824</v>
      </c>
      <c r="F120" s="3" t="s">
        <v>631</v>
      </c>
      <c r="G120" s="3" t="s">
        <v>632</v>
      </c>
      <c r="H120" s="3" t="s">
        <v>633</v>
      </c>
      <c r="I120" s="3" t="s">
        <v>634</v>
      </c>
      <c r="J120" s="3">
        <v>124</v>
      </c>
      <c r="K120" s="3">
        <v>8.07</v>
      </c>
      <c r="L120" s="3" t="s">
        <v>635</v>
      </c>
    </row>
    <row r="121" spans="1:12" ht="14.5" x14ac:dyDescent="0.35">
      <c r="A121" s="3" t="s">
        <v>32</v>
      </c>
      <c r="B121" s="3" t="s">
        <v>33</v>
      </c>
      <c r="C121" s="4">
        <v>38325</v>
      </c>
      <c r="D121" s="3">
        <v>392855979</v>
      </c>
      <c r="E121" s="3" t="s">
        <v>825</v>
      </c>
      <c r="F121" s="3" t="s">
        <v>631</v>
      </c>
      <c r="G121" s="3" t="s">
        <v>632</v>
      </c>
      <c r="H121" s="3" t="s">
        <v>633</v>
      </c>
      <c r="I121" s="3" t="s">
        <v>634</v>
      </c>
      <c r="J121" s="3">
        <v>124</v>
      </c>
      <c r="K121" s="3">
        <v>8.18</v>
      </c>
      <c r="L121" s="3" t="s">
        <v>635</v>
      </c>
    </row>
    <row r="122" spans="1:12" ht="14.5" x14ac:dyDescent="0.35">
      <c r="A122" s="3" t="s">
        <v>34</v>
      </c>
      <c r="B122" s="3" t="s">
        <v>35</v>
      </c>
      <c r="C122" s="3" t="s">
        <v>826</v>
      </c>
      <c r="D122" s="3">
        <v>339955080</v>
      </c>
      <c r="E122" s="3" t="s">
        <v>827</v>
      </c>
      <c r="F122" s="3" t="s">
        <v>631</v>
      </c>
      <c r="G122" s="3" t="s">
        <v>632</v>
      </c>
      <c r="H122" s="3" t="s">
        <v>633</v>
      </c>
      <c r="I122" s="3" t="s">
        <v>634</v>
      </c>
      <c r="J122" s="3">
        <v>124</v>
      </c>
      <c r="K122" s="3">
        <v>8.0299999999999994</v>
      </c>
      <c r="L122" s="3" t="s">
        <v>635</v>
      </c>
    </row>
    <row r="123" spans="1:12" ht="14.5" x14ac:dyDescent="0.35">
      <c r="A123" s="3" t="s">
        <v>103</v>
      </c>
      <c r="B123" s="3" t="s">
        <v>104</v>
      </c>
      <c r="C123" s="3" t="s">
        <v>828</v>
      </c>
      <c r="D123" s="3">
        <v>797081709</v>
      </c>
      <c r="E123" s="3" t="s">
        <v>829</v>
      </c>
      <c r="F123" s="3" t="s">
        <v>631</v>
      </c>
      <c r="G123" s="3" t="s">
        <v>632</v>
      </c>
      <c r="H123" s="3" t="s">
        <v>633</v>
      </c>
      <c r="I123" s="3" t="s">
        <v>634</v>
      </c>
      <c r="J123" s="3">
        <v>124</v>
      </c>
      <c r="K123" s="3">
        <v>8.17</v>
      </c>
      <c r="L123" s="3" t="s">
        <v>635</v>
      </c>
    </row>
    <row r="124" spans="1:12" ht="14.5" x14ac:dyDescent="0.35">
      <c r="A124" s="3" t="s">
        <v>161</v>
      </c>
      <c r="B124" s="3" t="s">
        <v>162</v>
      </c>
      <c r="C124" s="3" t="s">
        <v>684</v>
      </c>
      <c r="D124" s="3">
        <v>766996499</v>
      </c>
      <c r="E124" s="3" t="s">
        <v>830</v>
      </c>
      <c r="F124" s="3" t="s">
        <v>631</v>
      </c>
      <c r="G124" s="3" t="s">
        <v>632</v>
      </c>
      <c r="H124" s="3" t="s">
        <v>633</v>
      </c>
      <c r="I124" s="3" t="s">
        <v>634</v>
      </c>
      <c r="J124" s="3">
        <v>124</v>
      </c>
      <c r="K124" s="3">
        <v>7.75</v>
      </c>
      <c r="L124" s="3" t="s">
        <v>643</v>
      </c>
    </row>
    <row r="125" spans="1:12" ht="14.5" x14ac:dyDescent="0.35">
      <c r="A125" s="3" t="s">
        <v>495</v>
      </c>
      <c r="B125" s="3" t="s">
        <v>496</v>
      </c>
      <c r="C125" s="4">
        <v>38028</v>
      </c>
      <c r="D125" s="3">
        <v>933790771</v>
      </c>
      <c r="E125" s="3" t="s">
        <v>831</v>
      </c>
      <c r="F125" s="3" t="s">
        <v>631</v>
      </c>
      <c r="G125" s="3" t="s">
        <v>632</v>
      </c>
      <c r="H125" s="3" t="s">
        <v>633</v>
      </c>
      <c r="I125" s="3" t="s">
        <v>634</v>
      </c>
      <c r="J125" s="3">
        <v>122</v>
      </c>
      <c r="K125" s="3">
        <v>7.86</v>
      </c>
      <c r="L125" s="3" t="s">
        <v>643</v>
      </c>
    </row>
    <row r="126" spans="1:12" ht="14.5" x14ac:dyDescent="0.35">
      <c r="A126" s="3" t="s">
        <v>163</v>
      </c>
      <c r="B126" s="3" t="s">
        <v>164</v>
      </c>
      <c r="C126" s="4">
        <v>38179</v>
      </c>
      <c r="D126" s="3">
        <v>978914971</v>
      </c>
      <c r="E126" s="3" t="s">
        <v>832</v>
      </c>
      <c r="F126" s="3" t="s">
        <v>631</v>
      </c>
      <c r="G126" s="3" t="s">
        <v>632</v>
      </c>
      <c r="H126" s="3" t="s">
        <v>633</v>
      </c>
      <c r="I126" s="3" t="s">
        <v>634</v>
      </c>
      <c r="J126" s="3">
        <v>124</v>
      </c>
      <c r="K126" s="3">
        <v>8.56</v>
      </c>
      <c r="L126" s="3" t="s">
        <v>635</v>
      </c>
    </row>
    <row r="127" spans="1:12" ht="14.5" x14ac:dyDescent="0.35">
      <c r="A127" s="3" t="s">
        <v>189</v>
      </c>
      <c r="B127" s="3" t="s">
        <v>190</v>
      </c>
      <c r="C127" s="3" t="s">
        <v>801</v>
      </c>
      <c r="D127" s="3">
        <v>334332285</v>
      </c>
      <c r="E127" s="3" t="s">
        <v>833</v>
      </c>
      <c r="F127" s="3" t="s">
        <v>631</v>
      </c>
      <c r="G127" s="3" t="s">
        <v>632</v>
      </c>
      <c r="H127" s="3" t="s">
        <v>633</v>
      </c>
      <c r="I127" s="3" t="s">
        <v>634</v>
      </c>
      <c r="J127" s="3">
        <v>124</v>
      </c>
      <c r="K127" s="3">
        <v>8.43</v>
      </c>
      <c r="L127" s="3" t="s">
        <v>635</v>
      </c>
    </row>
    <row r="128" spans="1:12" ht="14.5" x14ac:dyDescent="0.35">
      <c r="A128" s="3" t="s">
        <v>105</v>
      </c>
      <c r="B128" s="3" t="s">
        <v>106</v>
      </c>
      <c r="C128" s="4">
        <v>38176</v>
      </c>
      <c r="D128" s="3">
        <v>379917445</v>
      </c>
      <c r="E128" s="3" t="s">
        <v>834</v>
      </c>
      <c r="F128" s="3" t="s">
        <v>631</v>
      </c>
      <c r="G128" s="3" t="s">
        <v>632</v>
      </c>
      <c r="H128" s="3" t="s">
        <v>633</v>
      </c>
      <c r="I128" s="3" t="s">
        <v>634</v>
      </c>
      <c r="J128" s="3">
        <v>124</v>
      </c>
      <c r="K128" s="3">
        <v>7.6</v>
      </c>
      <c r="L128" s="3" t="s">
        <v>643</v>
      </c>
    </row>
    <row r="129" spans="1:12" ht="14.5" x14ac:dyDescent="0.35">
      <c r="A129" s="3" t="s">
        <v>191</v>
      </c>
      <c r="B129" s="3" t="s">
        <v>192</v>
      </c>
      <c r="C129" s="3" t="s">
        <v>835</v>
      </c>
      <c r="D129" s="3">
        <v>813500098</v>
      </c>
      <c r="E129" s="3" t="s">
        <v>836</v>
      </c>
      <c r="F129" s="3" t="s">
        <v>631</v>
      </c>
      <c r="G129" s="3" t="s">
        <v>632</v>
      </c>
      <c r="H129" s="3" t="s">
        <v>633</v>
      </c>
      <c r="I129" s="3" t="s">
        <v>634</v>
      </c>
      <c r="J129" s="3">
        <v>124</v>
      </c>
      <c r="K129" s="3">
        <v>7.68</v>
      </c>
      <c r="L129" s="3" t="s">
        <v>643</v>
      </c>
    </row>
    <row r="130" spans="1:12" ht="14.5" x14ac:dyDescent="0.35">
      <c r="A130" s="3" t="s">
        <v>107</v>
      </c>
      <c r="B130" s="3" t="s">
        <v>108</v>
      </c>
      <c r="C130" s="4">
        <v>38262</v>
      </c>
      <c r="D130" s="3">
        <v>868941769</v>
      </c>
      <c r="E130" s="3" t="s">
        <v>837</v>
      </c>
      <c r="F130" s="3" t="s">
        <v>631</v>
      </c>
      <c r="G130" s="3" t="s">
        <v>632</v>
      </c>
      <c r="H130" s="3" t="s">
        <v>633</v>
      </c>
      <c r="I130" s="3" t="s">
        <v>634</v>
      </c>
      <c r="J130" s="3">
        <v>124</v>
      </c>
      <c r="K130" s="3">
        <v>8.59</v>
      </c>
      <c r="L130" s="3" t="s">
        <v>635</v>
      </c>
    </row>
    <row r="131" spans="1:12" ht="14.5" x14ac:dyDescent="0.35">
      <c r="A131" s="3" t="s">
        <v>109</v>
      </c>
      <c r="B131" s="3" t="s">
        <v>110</v>
      </c>
      <c r="C131" s="3" t="s">
        <v>838</v>
      </c>
      <c r="D131" s="3">
        <v>984748673</v>
      </c>
      <c r="E131" s="3" t="s">
        <v>839</v>
      </c>
      <c r="F131" s="3" t="s">
        <v>631</v>
      </c>
      <c r="G131" s="3" t="s">
        <v>632</v>
      </c>
      <c r="H131" s="3" t="s">
        <v>633</v>
      </c>
      <c r="I131" s="3" t="s">
        <v>673</v>
      </c>
      <c r="J131" s="3">
        <v>119</v>
      </c>
      <c r="K131" s="3">
        <v>6.6</v>
      </c>
      <c r="L131" s="3" t="s">
        <v>696</v>
      </c>
    </row>
    <row r="132" spans="1:12" ht="14.5" x14ac:dyDescent="0.35">
      <c r="A132" s="3" t="s">
        <v>111</v>
      </c>
      <c r="B132" s="3" t="s">
        <v>112</v>
      </c>
      <c r="C132" s="4">
        <v>38118</v>
      </c>
      <c r="D132" s="3">
        <v>933905711</v>
      </c>
      <c r="E132" s="3" t="s">
        <v>840</v>
      </c>
      <c r="F132" s="3" t="s">
        <v>631</v>
      </c>
      <c r="G132" s="3" t="s">
        <v>632</v>
      </c>
      <c r="H132" s="3" t="s">
        <v>633</v>
      </c>
      <c r="I132" s="3" t="s">
        <v>634</v>
      </c>
      <c r="J132" s="3">
        <v>124</v>
      </c>
      <c r="K132" s="3">
        <v>8.33</v>
      </c>
      <c r="L132" s="3" t="s">
        <v>635</v>
      </c>
    </row>
    <row r="133" spans="1:12" ht="14.5" x14ac:dyDescent="0.35">
      <c r="A133" s="3" t="s">
        <v>429</v>
      </c>
      <c r="B133" s="3" t="s">
        <v>430</v>
      </c>
      <c r="C133" s="4">
        <v>37780</v>
      </c>
      <c r="D133" s="3">
        <v>818588088</v>
      </c>
      <c r="E133" s="3" t="s">
        <v>841</v>
      </c>
      <c r="F133" s="3" t="s">
        <v>631</v>
      </c>
      <c r="G133" s="3" t="s">
        <v>632</v>
      </c>
      <c r="H133" s="3" t="s">
        <v>633</v>
      </c>
      <c r="I133" s="3" t="s">
        <v>673</v>
      </c>
      <c r="J133" s="3">
        <v>117</v>
      </c>
      <c r="K133" s="3">
        <v>7.31</v>
      </c>
      <c r="L133" s="3" t="s">
        <v>643</v>
      </c>
    </row>
    <row r="134" spans="1:12" ht="14.5" x14ac:dyDescent="0.35">
      <c r="A134" s="3" t="s">
        <v>571</v>
      </c>
      <c r="B134" s="3" t="s">
        <v>572</v>
      </c>
      <c r="C134" s="3" t="s">
        <v>828</v>
      </c>
      <c r="D134" s="3">
        <v>373758112</v>
      </c>
      <c r="E134" s="3" t="s">
        <v>842</v>
      </c>
      <c r="F134" s="3" t="s">
        <v>631</v>
      </c>
      <c r="G134" s="3" t="s">
        <v>632</v>
      </c>
      <c r="H134" s="3" t="s">
        <v>633</v>
      </c>
      <c r="I134" s="3" t="s">
        <v>673</v>
      </c>
      <c r="J134" s="3">
        <v>119</v>
      </c>
      <c r="K134" s="3">
        <v>7.14</v>
      </c>
      <c r="L134" s="3" t="s">
        <v>643</v>
      </c>
    </row>
    <row r="135" spans="1:12" ht="14.5" x14ac:dyDescent="0.35">
      <c r="A135" s="3" t="s">
        <v>541</v>
      </c>
      <c r="B135" s="3" t="s">
        <v>542</v>
      </c>
      <c r="C135" s="4">
        <v>38179</v>
      </c>
      <c r="D135" s="3">
        <v>353789741</v>
      </c>
      <c r="E135" s="3" t="s">
        <v>843</v>
      </c>
      <c r="F135" s="3" t="s">
        <v>844</v>
      </c>
      <c r="G135" s="3" t="s">
        <v>845</v>
      </c>
      <c r="H135" s="3" t="s">
        <v>633</v>
      </c>
      <c r="I135" s="3" t="s">
        <v>634</v>
      </c>
      <c r="J135" s="3">
        <v>112</v>
      </c>
      <c r="K135" s="3">
        <v>7.33</v>
      </c>
      <c r="L135" s="3" t="s">
        <v>643</v>
      </c>
    </row>
    <row r="136" spans="1:12" ht="14.5" x14ac:dyDescent="0.35">
      <c r="A136" s="3" t="s">
        <v>846</v>
      </c>
      <c r="B136" s="3" t="s">
        <v>847</v>
      </c>
      <c r="C136" s="3" t="s">
        <v>848</v>
      </c>
      <c r="D136" s="3">
        <v>905300264</v>
      </c>
      <c r="E136" s="3" t="s">
        <v>849</v>
      </c>
      <c r="F136" s="3" t="s">
        <v>844</v>
      </c>
      <c r="G136" s="3" t="s">
        <v>845</v>
      </c>
      <c r="H136" s="3" t="s">
        <v>633</v>
      </c>
      <c r="I136" s="3" t="s">
        <v>634</v>
      </c>
      <c r="J136" s="3">
        <v>73</v>
      </c>
      <c r="K136" s="3">
        <v>6.96</v>
      </c>
      <c r="L136" s="3" t="s">
        <v>696</v>
      </c>
    </row>
    <row r="137" spans="1:12" ht="14.5" x14ac:dyDescent="0.35">
      <c r="A137" s="3" t="s">
        <v>585</v>
      </c>
      <c r="B137" s="3" t="s">
        <v>586</v>
      </c>
      <c r="C137" s="3" t="s">
        <v>850</v>
      </c>
      <c r="D137" s="3">
        <v>908907899</v>
      </c>
      <c r="E137" s="3" t="s">
        <v>851</v>
      </c>
      <c r="F137" s="3" t="s">
        <v>844</v>
      </c>
      <c r="G137" s="3" t="s">
        <v>845</v>
      </c>
      <c r="H137" s="3" t="s">
        <v>633</v>
      </c>
      <c r="I137" s="3" t="s">
        <v>634</v>
      </c>
      <c r="J137" s="3">
        <v>112</v>
      </c>
      <c r="K137" s="3">
        <v>7.25</v>
      </c>
      <c r="L137" s="3" t="s">
        <v>643</v>
      </c>
    </row>
    <row r="138" spans="1:12" ht="14.5" x14ac:dyDescent="0.35">
      <c r="A138" s="3" t="s">
        <v>573</v>
      </c>
      <c r="B138" s="3" t="s">
        <v>574</v>
      </c>
      <c r="C138" s="4">
        <v>38328</v>
      </c>
      <c r="D138" s="3">
        <v>918659165</v>
      </c>
      <c r="E138" s="3" t="s">
        <v>852</v>
      </c>
      <c r="F138" s="3" t="s">
        <v>844</v>
      </c>
      <c r="G138" s="3" t="s">
        <v>845</v>
      </c>
      <c r="H138" s="3" t="s">
        <v>633</v>
      </c>
      <c r="I138" s="3" t="s">
        <v>673</v>
      </c>
      <c r="J138" s="3">
        <v>103</v>
      </c>
      <c r="K138" s="3">
        <v>6.77</v>
      </c>
      <c r="L138" s="3" t="s">
        <v>696</v>
      </c>
    </row>
    <row r="139" spans="1:12" ht="14.5" x14ac:dyDescent="0.35">
      <c r="A139" s="3" t="s">
        <v>578</v>
      </c>
      <c r="B139" s="3" t="s">
        <v>579</v>
      </c>
      <c r="C139" s="3" t="s">
        <v>853</v>
      </c>
      <c r="D139" s="3">
        <v>773660497</v>
      </c>
      <c r="E139" s="3" t="s">
        <v>854</v>
      </c>
      <c r="F139" s="3" t="s">
        <v>844</v>
      </c>
      <c r="G139" s="3" t="s">
        <v>845</v>
      </c>
      <c r="H139" s="3" t="s">
        <v>633</v>
      </c>
      <c r="I139" s="3" t="s">
        <v>673</v>
      </c>
      <c r="J139" s="3">
        <v>108</v>
      </c>
      <c r="K139" s="3">
        <v>7.12</v>
      </c>
      <c r="L139" s="3" t="s">
        <v>643</v>
      </c>
    </row>
    <row r="140" spans="1:12" ht="14.5" x14ac:dyDescent="0.35">
      <c r="A140" s="3" t="s">
        <v>563</v>
      </c>
      <c r="B140" s="3" t="s">
        <v>564</v>
      </c>
      <c r="C140" s="5">
        <v>38272</v>
      </c>
      <c r="D140" s="3">
        <v>961843031</v>
      </c>
      <c r="E140" s="3" t="s">
        <v>855</v>
      </c>
      <c r="F140" s="3" t="s">
        <v>844</v>
      </c>
      <c r="G140" s="3" t="s">
        <v>845</v>
      </c>
      <c r="H140" s="3" t="s">
        <v>633</v>
      </c>
      <c r="I140" s="3" t="s">
        <v>634</v>
      </c>
      <c r="J140" s="3">
        <v>114</v>
      </c>
      <c r="K140" s="3">
        <v>8.1</v>
      </c>
      <c r="L140" s="3" t="s">
        <v>635</v>
      </c>
    </row>
    <row r="141" spans="1:12" ht="14.5" x14ac:dyDescent="0.35">
      <c r="A141" s="3" t="s">
        <v>856</v>
      </c>
      <c r="B141" s="3" t="s">
        <v>857</v>
      </c>
      <c r="C141" s="4">
        <v>37926</v>
      </c>
      <c r="D141" s="3">
        <v>865696213</v>
      </c>
      <c r="E141" s="3" t="s">
        <v>858</v>
      </c>
      <c r="F141" s="3" t="s">
        <v>844</v>
      </c>
      <c r="G141" s="3" t="s">
        <v>845</v>
      </c>
      <c r="H141" s="3" t="s">
        <v>633</v>
      </c>
      <c r="I141" s="3" t="s">
        <v>673</v>
      </c>
      <c r="J141" s="3">
        <v>59</v>
      </c>
      <c r="K141" s="3">
        <v>6.41</v>
      </c>
      <c r="L141" s="3" t="s">
        <v>696</v>
      </c>
    </row>
    <row r="142" spans="1:12" ht="14.5" x14ac:dyDescent="0.35">
      <c r="A142" s="3" t="s">
        <v>566</v>
      </c>
      <c r="B142" s="3" t="s">
        <v>567</v>
      </c>
      <c r="C142" s="3" t="s">
        <v>859</v>
      </c>
      <c r="D142" s="3">
        <v>392875509</v>
      </c>
      <c r="E142" s="3" t="s">
        <v>860</v>
      </c>
      <c r="F142" s="3" t="s">
        <v>844</v>
      </c>
      <c r="G142" s="3" t="s">
        <v>845</v>
      </c>
      <c r="H142" s="3" t="s">
        <v>633</v>
      </c>
      <c r="I142" s="3" t="s">
        <v>634</v>
      </c>
      <c r="J142" s="3">
        <v>112</v>
      </c>
      <c r="K142" s="3">
        <v>7.88</v>
      </c>
      <c r="L142" s="3" t="s">
        <v>643</v>
      </c>
    </row>
    <row r="143" spans="1:12" ht="14.5" x14ac:dyDescent="0.35">
      <c r="A143" s="3" t="s">
        <v>575</v>
      </c>
      <c r="B143" s="3" t="s">
        <v>576</v>
      </c>
      <c r="C143" s="4">
        <v>38200</v>
      </c>
      <c r="D143" s="3">
        <v>888586256</v>
      </c>
      <c r="E143" s="3" t="s">
        <v>861</v>
      </c>
      <c r="F143" s="3" t="s">
        <v>844</v>
      </c>
      <c r="G143" s="3" t="s">
        <v>845</v>
      </c>
      <c r="H143" s="3" t="s">
        <v>633</v>
      </c>
      <c r="I143" s="3" t="s">
        <v>634</v>
      </c>
      <c r="J143" s="3">
        <v>112</v>
      </c>
      <c r="K143" s="3">
        <v>7.57</v>
      </c>
      <c r="L143" s="3" t="s">
        <v>643</v>
      </c>
    </row>
    <row r="144" spans="1:12" ht="14.5" x14ac:dyDescent="0.35">
      <c r="A144" s="3" t="s">
        <v>545</v>
      </c>
      <c r="B144" s="3" t="s">
        <v>546</v>
      </c>
      <c r="C144" s="3" t="s">
        <v>690</v>
      </c>
      <c r="D144" s="3">
        <v>707040411</v>
      </c>
      <c r="E144" s="3" t="s">
        <v>862</v>
      </c>
      <c r="F144" s="3" t="s">
        <v>844</v>
      </c>
      <c r="G144" s="3" t="s">
        <v>845</v>
      </c>
      <c r="H144" s="3" t="s">
        <v>633</v>
      </c>
      <c r="I144" s="3" t="s">
        <v>634</v>
      </c>
      <c r="J144" s="3">
        <v>114</v>
      </c>
      <c r="K144" s="3">
        <v>8.34</v>
      </c>
      <c r="L144" s="3" t="s">
        <v>635</v>
      </c>
    </row>
    <row r="145" spans="1:12" ht="14.5" x14ac:dyDescent="0.35">
      <c r="A145" s="3" t="s">
        <v>600</v>
      </c>
      <c r="B145" s="3" t="s">
        <v>601</v>
      </c>
      <c r="C145" s="4">
        <v>38327</v>
      </c>
      <c r="D145" s="3">
        <v>935778348</v>
      </c>
      <c r="E145" s="3" t="s">
        <v>863</v>
      </c>
      <c r="F145" s="3" t="s">
        <v>844</v>
      </c>
      <c r="G145" s="3" t="s">
        <v>845</v>
      </c>
      <c r="H145" s="3" t="s">
        <v>633</v>
      </c>
      <c r="I145" s="3" t="s">
        <v>634</v>
      </c>
      <c r="J145" s="3">
        <v>112</v>
      </c>
      <c r="K145" s="3">
        <v>7.6</v>
      </c>
      <c r="L145" s="3" t="s">
        <v>643</v>
      </c>
    </row>
    <row r="146" spans="1:12" ht="14.5" x14ac:dyDescent="0.35">
      <c r="A146" s="3" t="s">
        <v>581</v>
      </c>
      <c r="B146" s="3" t="s">
        <v>582</v>
      </c>
      <c r="C146" s="4">
        <v>36902</v>
      </c>
      <c r="D146" s="3">
        <v>342474336</v>
      </c>
      <c r="E146" s="3" t="s">
        <v>864</v>
      </c>
      <c r="F146" s="3" t="s">
        <v>844</v>
      </c>
      <c r="G146" s="3" t="s">
        <v>845</v>
      </c>
      <c r="H146" s="3" t="s">
        <v>633</v>
      </c>
      <c r="I146" s="3" t="s">
        <v>673</v>
      </c>
      <c r="J146" s="3">
        <v>114</v>
      </c>
      <c r="K146" s="3">
        <v>6.88</v>
      </c>
      <c r="L146" s="3" t="s">
        <v>696</v>
      </c>
    </row>
    <row r="147" spans="1:12" ht="14.5" x14ac:dyDescent="0.35">
      <c r="A147" s="3" t="s">
        <v>555</v>
      </c>
      <c r="B147" s="3" t="s">
        <v>556</v>
      </c>
      <c r="C147" s="4">
        <v>38232</v>
      </c>
      <c r="D147" s="3">
        <v>943749798</v>
      </c>
      <c r="E147" s="3" t="s">
        <v>865</v>
      </c>
      <c r="F147" s="3" t="s">
        <v>844</v>
      </c>
      <c r="G147" s="3" t="s">
        <v>845</v>
      </c>
      <c r="H147" s="3" t="s">
        <v>633</v>
      </c>
      <c r="I147" s="3" t="s">
        <v>673</v>
      </c>
      <c r="J147" s="3">
        <v>97</v>
      </c>
      <c r="K147" s="3">
        <v>6.24</v>
      </c>
      <c r="L147" s="3" t="s">
        <v>696</v>
      </c>
    </row>
    <row r="148" spans="1:12" ht="14.5" x14ac:dyDescent="0.35">
      <c r="A148" s="3" t="s">
        <v>603</v>
      </c>
      <c r="B148" s="3" t="s">
        <v>604</v>
      </c>
      <c r="C148" s="3" t="s">
        <v>866</v>
      </c>
      <c r="D148" s="3">
        <v>901460543</v>
      </c>
      <c r="E148" s="3" t="s">
        <v>867</v>
      </c>
      <c r="F148" s="3" t="s">
        <v>844</v>
      </c>
      <c r="G148" s="3" t="s">
        <v>845</v>
      </c>
      <c r="H148" s="3" t="s">
        <v>633</v>
      </c>
      <c r="I148" s="3" t="s">
        <v>673</v>
      </c>
      <c r="J148" s="3">
        <v>112</v>
      </c>
      <c r="K148" s="3">
        <v>7.9</v>
      </c>
      <c r="L148" s="3" t="s">
        <v>643</v>
      </c>
    </row>
    <row r="149" spans="1:12" ht="14.5" x14ac:dyDescent="0.35">
      <c r="A149" s="3" t="s">
        <v>584</v>
      </c>
      <c r="B149" s="3" t="s">
        <v>505</v>
      </c>
      <c r="C149" s="4">
        <v>37987</v>
      </c>
      <c r="D149" s="3">
        <v>846392223</v>
      </c>
      <c r="E149" s="3" t="s">
        <v>868</v>
      </c>
      <c r="F149" s="3" t="s">
        <v>844</v>
      </c>
      <c r="G149" s="3" t="s">
        <v>845</v>
      </c>
      <c r="H149" s="3" t="s">
        <v>633</v>
      </c>
      <c r="I149" s="3" t="s">
        <v>634</v>
      </c>
      <c r="J149" s="3">
        <v>112</v>
      </c>
      <c r="K149" s="3">
        <v>7.89</v>
      </c>
      <c r="L149" s="3" t="s">
        <v>643</v>
      </c>
    </row>
    <row r="150" spans="1:12" ht="14.5" x14ac:dyDescent="0.35">
      <c r="A150" s="3" t="s">
        <v>548</v>
      </c>
      <c r="B150" s="3" t="s">
        <v>549</v>
      </c>
      <c r="C150" s="4">
        <v>38145</v>
      </c>
      <c r="D150" s="6"/>
      <c r="E150" s="3" t="s">
        <v>869</v>
      </c>
      <c r="F150" s="3" t="s">
        <v>844</v>
      </c>
      <c r="G150" s="3" t="s">
        <v>845</v>
      </c>
      <c r="H150" s="3" t="s">
        <v>633</v>
      </c>
      <c r="I150" s="3" t="s">
        <v>634</v>
      </c>
      <c r="J150" s="3">
        <v>112</v>
      </c>
      <c r="K150" s="3">
        <v>9.07</v>
      </c>
      <c r="L150" s="3" t="s">
        <v>752</v>
      </c>
    </row>
    <row r="151" spans="1:12" ht="14.5" x14ac:dyDescent="0.35">
      <c r="A151" s="3" t="s">
        <v>551</v>
      </c>
      <c r="B151" s="3" t="s">
        <v>552</v>
      </c>
      <c r="C151" s="3" t="s">
        <v>870</v>
      </c>
      <c r="D151" s="3">
        <v>902620412</v>
      </c>
      <c r="E151" s="3" t="s">
        <v>871</v>
      </c>
      <c r="F151" s="3" t="s">
        <v>844</v>
      </c>
      <c r="G151" s="3" t="s">
        <v>845</v>
      </c>
      <c r="H151" s="3" t="s">
        <v>633</v>
      </c>
      <c r="I151" s="3" t="s">
        <v>634</v>
      </c>
      <c r="J151" s="3">
        <v>112</v>
      </c>
      <c r="K151" s="3">
        <v>8.1300000000000008</v>
      </c>
      <c r="L151" s="3" t="s">
        <v>635</v>
      </c>
    </row>
    <row r="152" spans="1:12" ht="14.5" x14ac:dyDescent="0.35">
      <c r="A152" s="3" t="s">
        <v>588</v>
      </c>
      <c r="B152" s="3" t="s">
        <v>589</v>
      </c>
      <c r="C152" s="4">
        <v>37987</v>
      </c>
      <c r="D152" s="3">
        <v>786290137</v>
      </c>
      <c r="E152" s="3" t="s">
        <v>872</v>
      </c>
      <c r="F152" s="3" t="s">
        <v>844</v>
      </c>
      <c r="G152" s="3" t="s">
        <v>845</v>
      </c>
      <c r="H152" s="3" t="s">
        <v>633</v>
      </c>
      <c r="I152" s="3" t="s">
        <v>634</v>
      </c>
      <c r="J152" s="3">
        <v>109</v>
      </c>
      <c r="K152" s="3">
        <v>7.55</v>
      </c>
      <c r="L152" s="3" t="s">
        <v>643</v>
      </c>
    </row>
    <row r="153" spans="1:12" ht="14.5" x14ac:dyDescent="0.35">
      <c r="A153" s="3" t="s">
        <v>606</v>
      </c>
      <c r="B153" s="3" t="s">
        <v>607</v>
      </c>
      <c r="C153" s="4">
        <v>38082</v>
      </c>
      <c r="D153" s="3">
        <v>913647763</v>
      </c>
      <c r="E153" s="3" t="s">
        <v>873</v>
      </c>
      <c r="F153" s="3" t="s">
        <v>844</v>
      </c>
      <c r="G153" s="3" t="s">
        <v>845</v>
      </c>
      <c r="H153" s="3" t="s">
        <v>633</v>
      </c>
      <c r="I153" s="3" t="s">
        <v>634</v>
      </c>
      <c r="J153" s="3">
        <v>114</v>
      </c>
      <c r="K153" s="3">
        <v>7.3</v>
      </c>
      <c r="L153" s="3" t="s">
        <v>643</v>
      </c>
    </row>
    <row r="154" spans="1:12" ht="14.5" x14ac:dyDescent="0.35">
      <c r="A154" s="3" t="s">
        <v>594</v>
      </c>
      <c r="B154" s="3" t="s">
        <v>595</v>
      </c>
      <c r="C154" s="4">
        <v>38328</v>
      </c>
      <c r="D154" s="3">
        <v>773583348</v>
      </c>
      <c r="E154" s="3" t="s">
        <v>874</v>
      </c>
      <c r="F154" s="3" t="s">
        <v>844</v>
      </c>
      <c r="G154" s="3" t="s">
        <v>845</v>
      </c>
      <c r="H154" s="3" t="s">
        <v>633</v>
      </c>
      <c r="I154" s="3" t="s">
        <v>634</v>
      </c>
      <c r="J154" s="3">
        <v>112</v>
      </c>
      <c r="K154" s="3">
        <v>8.11</v>
      </c>
      <c r="L154" s="3" t="s">
        <v>635</v>
      </c>
    </row>
    <row r="155" spans="1:12" ht="14.5" x14ac:dyDescent="0.35">
      <c r="A155" s="3" t="s">
        <v>609</v>
      </c>
      <c r="B155" s="3" t="s">
        <v>540</v>
      </c>
      <c r="C155" s="3" t="s">
        <v>780</v>
      </c>
      <c r="D155" s="3">
        <v>354927938</v>
      </c>
      <c r="E155" s="3" t="s">
        <v>875</v>
      </c>
      <c r="F155" s="3" t="s">
        <v>844</v>
      </c>
      <c r="G155" s="3" t="s">
        <v>845</v>
      </c>
      <c r="H155" s="3" t="s">
        <v>633</v>
      </c>
      <c r="I155" s="3" t="s">
        <v>634</v>
      </c>
      <c r="J155" s="3">
        <v>112</v>
      </c>
      <c r="K155" s="3">
        <v>8.16</v>
      </c>
      <c r="L155" s="3" t="s">
        <v>635</v>
      </c>
    </row>
    <row r="156" spans="1:12" ht="14.5" x14ac:dyDescent="0.35">
      <c r="A156" s="3" t="s">
        <v>596</v>
      </c>
      <c r="B156" s="3" t="s">
        <v>597</v>
      </c>
      <c r="C156" s="4">
        <v>38085</v>
      </c>
      <c r="D156" s="3">
        <v>779490369</v>
      </c>
      <c r="E156" s="3" t="s">
        <v>876</v>
      </c>
      <c r="F156" s="3" t="s">
        <v>844</v>
      </c>
      <c r="G156" s="3" t="s">
        <v>845</v>
      </c>
      <c r="H156" s="3" t="s">
        <v>633</v>
      </c>
      <c r="I156" s="3" t="s">
        <v>673</v>
      </c>
      <c r="J156" s="3">
        <v>114</v>
      </c>
      <c r="K156" s="3">
        <v>7.02</v>
      </c>
      <c r="L156" s="3" t="s">
        <v>643</v>
      </c>
    </row>
    <row r="157" spans="1:12" ht="14.5" x14ac:dyDescent="0.35">
      <c r="A157" s="3" t="s">
        <v>598</v>
      </c>
      <c r="B157" s="3" t="s">
        <v>599</v>
      </c>
      <c r="C157" s="3" t="s">
        <v>704</v>
      </c>
      <c r="D157" s="3">
        <v>933417386</v>
      </c>
      <c r="E157" s="3" t="s">
        <v>877</v>
      </c>
      <c r="F157" s="3" t="s">
        <v>844</v>
      </c>
      <c r="G157" s="3" t="s">
        <v>845</v>
      </c>
      <c r="H157" s="3" t="s">
        <v>633</v>
      </c>
      <c r="I157" s="3" t="s">
        <v>634</v>
      </c>
      <c r="J157" s="3">
        <v>112</v>
      </c>
      <c r="K157" s="3">
        <v>7.26</v>
      </c>
      <c r="L157" s="3" t="s">
        <v>643</v>
      </c>
    </row>
    <row r="158" spans="1:12" ht="14.5" x14ac:dyDescent="0.35">
      <c r="A158" s="3" t="s">
        <v>557</v>
      </c>
      <c r="B158" s="3" t="s">
        <v>558</v>
      </c>
      <c r="C158" s="4">
        <v>38324</v>
      </c>
      <c r="D158" s="6"/>
      <c r="E158" s="3" t="s">
        <v>878</v>
      </c>
      <c r="F158" s="3" t="s">
        <v>844</v>
      </c>
      <c r="G158" s="3" t="s">
        <v>845</v>
      </c>
      <c r="H158" s="3" t="s">
        <v>633</v>
      </c>
      <c r="I158" s="3" t="s">
        <v>634</v>
      </c>
      <c r="J158" s="3">
        <v>114</v>
      </c>
      <c r="K158" s="3">
        <v>8.33</v>
      </c>
      <c r="L158" s="3" t="s">
        <v>635</v>
      </c>
    </row>
    <row r="159" spans="1:12" ht="14.5" x14ac:dyDescent="0.35">
      <c r="A159" s="3" t="s">
        <v>560</v>
      </c>
      <c r="B159" s="3" t="s">
        <v>561</v>
      </c>
      <c r="C159" s="4">
        <v>37987</v>
      </c>
      <c r="D159" s="3">
        <v>829066064</v>
      </c>
      <c r="E159" s="3" t="s">
        <v>879</v>
      </c>
      <c r="F159" s="3" t="s">
        <v>844</v>
      </c>
      <c r="G159" s="3" t="s">
        <v>845</v>
      </c>
      <c r="H159" s="3" t="s">
        <v>633</v>
      </c>
      <c r="I159" s="3" t="s">
        <v>673</v>
      </c>
      <c r="J159" s="3">
        <v>114</v>
      </c>
      <c r="K159" s="3">
        <v>7.88</v>
      </c>
      <c r="L159" s="3" t="s">
        <v>643</v>
      </c>
    </row>
    <row r="160" spans="1:12" ht="14.5" x14ac:dyDescent="0.35">
      <c r="A160" s="3" t="s">
        <v>568</v>
      </c>
      <c r="B160" s="3" t="s">
        <v>569</v>
      </c>
      <c r="C160" s="3" t="s">
        <v>690</v>
      </c>
      <c r="D160" s="6"/>
      <c r="E160" s="3" t="s">
        <v>880</v>
      </c>
      <c r="F160" s="3" t="s">
        <v>844</v>
      </c>
      <c r="G160" s="3" t="s">
        <v>845</v>
      </c>
      <c r="H160" s="3" t="s">
        <v>633</v>
      </c>
      <c r="I160" s="3" t="s">
        <v>634</v>
      </c>
      <c r="J160" s="3">
        <v>112</v>
      </c>
      <c r="K160" s="3">
        <v>8.1</v>
      </c>
      <c r="L160" s="3" t="s">
        <v>635</v>
      </c>
    </row>
    <row r="161" spans="1:12" ht="14.5" x14ac:dyDescent="0.35">
      <c r="A161" s="3" t="s">
        <v>294</v>
      </c>
      <c r="B161" s="3" t="s">
        <v>295</v>
      </c>
      <c r="C161" s="3" t="s">
        <v>881</v>
      </c>
      <c r="D161" s="6"/>
      <c r="E161" s="3" t="s">
        <v>882</v>
      </c>
      <c r="F161" s="3">
        <v>412</v>
      </c>
      <c r="G161" s="3" t="s">
        <v>637</v>
      </c>
      <c r="H161" s="3" t="s">
        <v>633</v>
      </c>
      <c r="I161" s="3" t="s">
        <v>634</v>
      </c>
      <c r="J161" s="3">
        <v>124</v>
      </c>
      <c r="K161" s="3">
        <v>7.93</v>
      </c>
      <c r="L161" s="3" t="s">
        <v>643</v>
      </c>
    </row>
    <row r="162" spans="1:12" ht="14.5" x14ac:dyDescent="0.35">
      <c r="A162" s="3" t="s">
        <v>296</v>
      </c>
      <c r="B162" s="3" t="s">
        <v>883</v>
      </c>
      <c r="C162" s="4">
        <v>37447</v>
      </c>
      <c r="D162" s="6"/>
      <c r="E162" s="3" t="s">
        <v>884</v>
      </c>
      <c r="F162" s="3">
        <v>412</v>
      </c>
      <c r="G162" s="3" t="s">
        <v>637</v>
      </c>
      <c r="H162" s="3" t="s">
        <v>633</v>
      </c>
      <c r="I162" s="3" t="s">
        <v>634</v>
      </c>
      <c r="J162" s="3">
        <v>121</v>
      </c>
      <c r="K162" s="3">
        <v>6.2</v>
      </c>
      <c r="L162" s="3" t="s">
        <v>696</v>
      </c>
    </row>
    <row r="163" spans="1:12" ht="14.5" x14ac:dyDescent="0.35">
      <c r="A163" s="3" t="s">
        <v>298</v>
      </c>
      <c r="B163" s="3" t="s">
        <v>885</v>
      </c>
      <c r="C163" s="3" t="s">
        <v>886</v>
      </c>
      <c r="D163" s="6"/>
      <c r="E163" s="3" t="s">
        <v>887</v>
      </c>
      <c r="F163" s="3">
        <v>412</v>
      </c>
      <c r="G163" s="3" t="s">
        <v>637</v>
      </c>
      <c r="H163" s="3" t="s">
        <v>633</v>
      </c>
      <c r="I163" s="3" t="s">
        <v>634</v>
      </c>
      <c r="J163" s="3">
        <v>124</v>
      </c>
      <c r="K163" s="3">
        <v>6.27</v>
      </c>
      <c r="L163" s="3" t="s">
        <v>696</v>
      </c>
    </row>
    <row r="164" spans="1:12" ht="14.5" x14ac:dyDescent="0.35">
      <c r="A164" s="3" t="s">
        <v>300</v>
      </c>
      <c r="B164" s="3" t="s">
        <v>301</v>
      </c>
      <c r="C164" s="3" t="s">
        <v>888</v>
      </c>
      <c r="D164" s="6"/>
      <c r="E164" s="3" t="s">
        <v>889</v>
      </c>
      <c r="F164" s="3">
        <v>412</v>
      </c>
      <c r="G164" s="3" t="s">
        <v>637</v>
      </c>
      <c r="H164" s="3" t="s">
        <v>633</v>
      </c>
      <c r="I164" s="3" t="s">
        <v>634</v>
      </c>
      <c r="J164" s="3">
        <v>128</v>
      </c>
      <c r="K164" s="3">
        <v>6.39</v>
      </c>
      <c r="L164" s="3" t="s">
        <v>696</v>
      </c>
    </row>
    <row r="165" spans="1:12" ht="14.5" x14ac:dyDescent="0.35">
      <c r="A165" s="3" t="s">
        <v>60</v>
      </c>
      <c r="B165" s="3" t="s">
        <v>61</v>
      </c>
      <c r="C165" s="3" t="s">
        <v>890</v>
      </c>
      <c r="D165" s="3">
        <v>703139071</v>
      </c>
      <c r="E165" s="3" t="s">
        <v>891</v>
      </c>
      <c r="F165" s="3">
        <v>414</v>
      </c>
      <c r="G165" s="3" t="s">
        <v>892</v>
      </c>
      <c r="H165" s="3" t="s">
        <v>633</v>
      </c>
      <c r="I165" s="3" t="s">
        <v>634</v>
      </c>
      <c r="J165" s="3">
        <v>123</v>
      </c>
      <c r="K165" s="3">
        <v>8.08</v>
      </c>
      <c r="L165" s="3" t="s">
        <v>635</v>
      </c>
    </row>
    <row r="166" spans="1:12" ht="14.5" x14ac:dyDescent="0.35">
      <c r="A166" s="3" t="s">
        <v>76</v>
      </c>
      <c r="B166" s="3" t="s">
        <v>77</v>
      </c>
      <c r="C166" s="3" t="s">
        <v>893</v>
      </c>
      <c r="D166" s="6"/>
      <c r="E166" s="3" t="s">
        <v>894</v>
      </c>
      <c r="F166" s="3">
        <v>414</v>
      </c>
      <c r="G166" s="3" t="s">
        <v>892</v>
      </c>
      <c r="H166" s="3" t="s">
        <v>633</v>
      </c>
      <c r="I166" s="3" t="s">
        <v>673</v>
      </c>
      <c r="J166" s="3">
        <v>123</v>
      </c>
      <c r="K166" s="3">
        <v>7.8</v>
      </c>
      <c r="L166" s="3" t="s">
        <v>643</v>
      </c>
    </row>
    <row r="167" spans="1:12" ht="14.5" x14ac:dyDescent="0.35">
      <c r="A167" s="3" t="s">
        <v>78</v>
      </c>
      <c r="B167" s="3" t="s">
        <v>79</v>
      </c>
      <c r="C167" s="4">
        <v>38147</v>
      </c>
      <c r="D167" s="3">
        <v>908095781</v>
      </c>
      <c r="E167" s="3" t="s">
        <v>895</v>
      </c>
      <c r="F167" s="3">
        <v>414</v>
      </c>
      <c r="G167" s="3" t="s">
        <v>892</v>
      </c>
      <c r="H167" s="3" t="s">
        <v>633</v>
      </c>
      <c r="I167" s="3" t="s">
        <v>673</v>
      </c>
      <c r="J167" s="3">
        <v>117</v>
      </c>
      <c r="K167" s="3">
        <v>7.36</v>
      </c>
      <c r="L167" s="3" t="s">
        <v>643</v>
      </c>
    </row>
    <row r="168" spans="1:12" ht="14.5" x14ac:dyDescent="0.35">
      <c r="A168" s="3" t="s">
        <v>16</v>
      </c>
      <c r="B168" s="3" t="s">
        <v>17</v>
      </c>
      <c r="C168" s="5">
        <v>38332</v>
      </c>
      <c r="D168" s="3">
        <v>352042409</v>
      </c>
      <c r="E168" s="3" t="s">
        <v>896</v>
      </c>
      <c r="F168" s="3">
        <v>414</v>
      </c>
      <c r="G168" s="3" t="s">
        <v>892</v>
      </c>
      <c r="H168" s="3" t="s">
        <v>633</v>
      </c>
      <c r="I168" s="3" t="s">
        <v>673</v>
      </c>
      <c r="J168" s="3">
        <v>123</v>
      </c>
      <c r="K168" s="3">
        <v>7.3</v>
      </c>
      <c r="L168" s="3" t="s">
        <v>643</v>
      </c>
    </row>
    <row r="169" spans="1:12" ht="14.5" x14ac:dyDescent="0.35">
      <c r="A169" s="3" t="s">
        <v>81</v>
      </c>
      <c r="B169" s="3" t="s">
        <v>82</v>
      </c>
      <c r="C169" s="3" t="s">
        <v>890</v>
      </c>
      <c r="D169" s="6"/>
      <c r="E169" s="3" t="s">
        <v>897</v>
      </c>
      <c r="F169" s="3">
        <v>414</v>
      </c>
      <c r="G169" s="3" t="s">
        <v>892</v>
      </c>
      <c r="H169" s="3" t="s">
        <v>633</v>
      </c>
      <c r="I169" s="3" t="s">
        <v>634</v>
      </c>
      <c r="J169" s="3">
        <v>123</v>
      </c>
      <c r="K169" s="3">
        <v>7.93</v>
      </c>
      <c r="L169" s="3" t="s">
        <v>643</v>
      </c>
    </row>
    <row r="170" spans="1:12" ht="14.5" x14ac:dyDescent="0.35">
      <c r="A170" s="3" t="s">
        <v>21</v>
      </c>
      <c r="B170" s="3" t="s">
        <v>22</v>
      </c>
      <c r="C170" s="3" t="s">
        <v>898</v>
      </c>
      <c r="D170" s="3">
        <v>364734132</v>
      </c>
      <c r="E170" s="3" t="s">
        <v>899</v>
      </c>
      <c r="F170" s="3">
        <v>414</v>
      </c>
      <c r="G170" s="3" t="s">
        <v>892</v>
      </c>
      <c r="H170" s="3" t="s">
        <v>633</v>
      </c>
      <c r="I170" s="3" t="s">
        <v>634</v>
      </c>
      <c r="J170" s="3">
        <v>123</v>
      </c>
      <c r="K170" s="3">
        <v>7.48</v>
      </c>
      <c r="L170" s="3" t="s">
        <v>643</v>
      </c>
    </row>
    <row r="171" spans="1:12" ht="14.5" x14ac:dyDescent="0.35">
      <c r="A171" s="3" t="s">
        <v>52</v>
      </c>
      <c r="B171" s="3" t="s">
        <v>53</v>
      </c>
      <c r="C171" s="3" t="s">
        <v>900</v>
      </c>
      <c r="D171" s="3">
        <v>365068334</v>
      </c>
      <c r="E171" s="3" t="s">
        <v>901</v>
      </c>
      <c r="F171" s="3">
        <v>414</v>
      </c>
      <c r="G171" s="3" t="s">
        <v>892</v>
      </c>
      <c r="H171" s="3" t="s">
        <v>633</v>
      </c>
      <c r="I171" s="3" t="s">
        <v>673</v>
      </c>
      <c r="J171" s="3">
        <v>121</v>
      </c>
      <c r="K171" s="3">
        <v>7.58</v>
      </c>
      <c r="L171" s="3" t="s">
        <v>643</v>
      </c>
    </row>
    <row r="172" spans="1:12" ht="14.5" x14ac:dyDescent="0.35">
      <c r="A172" s="3" t="s">
        <v>83</v>
      </c>
      <c r="B172" s="3" t="s">
        <v>84</v>
      </c>
      <c r="C172" s="3" t="s">
        <v>902</v>
      </c>
      <c r="D172" s="3">
        <v>869374505</v>
      </c>
      <c r="E172" s="3" t="s">
        <v>903</v>
      </c>
      <c r="F172" s="3">
        <v>414</v>
      </c>
      <c r="G172" s="3" t="s">
        <v>892</v>
      </c>
      <c r="H172" s="3" t="s">
        <v>633</v>
      </c>
      <c r="I172" s="3" t="s">
        <v>634</v>
      </c>
      <c r="J172" s="3">
        <v>123</v>
      </c>
      <c r="K172" s="3">
        <v>7.69</v>
      </c>
      <c r="L172" s="3" t="s">
        <v>643</v>
      </c>
    </row>
    <row r="173" spans="1:12" ht="14.5" x14ac:dyDescent="0.35">
      <c r="A173" s="3" t="s">
        <v>62</v>
      </c>
      <c r="B173" s="3" t="s">
        <v>63</v>
      </c>
      <c r="C173" s="3" t="s">
        <v>904</v>
      </c>
      <c r="D173" s="3">
        <v>337933214</v>
      </c>
      <c r="E173" s="3" t="s">
        <v>905</v>
      </c>
      <c r="F173" s="3">
        <v>414</v>
      </c>
      <c r="G173" s="3" t="s">
        <v>892</v>
      </c>
      <c r="H173" s="3" t="s">
        <v>633</v>
      </c>
      <c r="I173" s="3" t="s">
        <v>634</v>
      </c>
      <c r="J173" s="3">
        <v>123</v>
      </c>
      <c r="K173" s="3">
        <v>8.25</v>
      </c>
      <c r="L173" s="3" t="s">
        <v>635</v>
      </c>
    </row>
    <row r="174" spans="1:12" ht="14.5" x14ac:dyDescent="0.35">
      <c r="A174" s="3" t="s">
        <v>24</v>
      </c>
      <c r="B174" s="3" t="s">
        <v>25</v>
      </c>
      <c r="C174" s="4">
        <v>37900</v>
      </c>
      <c r="D174" s="3">
        <v>334672302</v>
      </c>
      <c r="E174" s="3" t="s">
        <v>906</v>
      </c>
      <c r="F174" s="3">
        <v>414</v>
      </c>
      <c r="G174" s="3" t="s">
        <v>892</v>
      </c>
      <c r="H174" s="3" t="s">
        <v>633</v>
      </c>
      <c r="I174" s="3" t="s">
        <v>634</v>
      </c>
      <c r="J174" s="3">
        <v>123</v>
      </c>
      <c r="K174" s="3">
        <v>8.19</v>
      </c>
      <c r="L174" s="3" t="s">
        <v>635</v>
      </c>
    </row>
    <row r="175" spans="1:12" ht="14.5" x14ac:dyDescent="0.35">
      <c r="A175" s="3" t="s">
        <v>36</v>
      </c>
      <c r="B175" s="3" t="s">
        <v>37</v>
      </c>
      <c r="C175" s="5">
        <v>38301</v>
      </c>
      <c r="D175" s="3">
        <v>842600468</v>
      </c>
      <c r="E175" s="3" t="s">
        <v>907</v>
      </c>
      <c r="F175" s="3">
        <v>414</v>
      </c>
      <c r="G175" s="3" t="s">
        <v>892</v>
      </c>
      <c r="H175" s="3" t="s">
        <v>633</v>
      </c>
      <c r="I175" s="3" t="s">
        <v>634</v>
      </c>
      <c r="J175" s="3">
        <v>118</v>
      </c>
      <c r="K175" s="3">
        <v>7.66</v>
      </c>
      <c r="L175" s="3" t="s">
        <v>643</v>
      </c>
    </row>
    <row r="176" spans="1:12" ht="14.5" x14ac:dyDescent="0.35">
      <c r="A176" s="3" t="s">
        <v>207</v>
      </c>
      <c r="B176" s="3" t="s">
        <v>208</v>
      </c>
      <c r="C176" s="4">
        <v>38239</v>
      </c>
      <c r="D176" s="3">
        <v>397008802</v>
      </c>
      <c r="E176" s="3" t="s">
        <v>908</v>
      </c>
      <c r="F176" s="3">
        <v>414</v>
      </c>
      <c r="G176" s="3" t="s">
        <v>892</v>
      </c>
      <c r="H176" s="3" t="s">
        <v>633</v>
      </c>
      <c r="I176" s="3" t="s">
        <v>634</v>
      </c>
      <c r="J176" s="3">
        <v>120</v>
      </c>
      <c r="K176" s="3">
        <v>7.76</v>
      </c>
      <c r="L176" s="3" t="s">
        <v>643</v>
      </c>
    </row>
    <row r="177" spans="1:12" ht="14.5" x14ac:dyDescent="0.35">
      <c r="A177" s="3" t="s">
        <v>193</v>
      </c>
      <c r="B177" s="3" t="s">
        <v>194</v>
      </c>
      <c r="C177" s="4">
        <v>38048</v>
      </c>
      <c r="D177" s="6"/>
      <c r="E177" s="3" t="s">
        <v>909</v>
      </c>
      <c r="F177" s="3">
        <v>414</v>
      </c>
      <c r="G177" s="3" t="s">
        <v>892</v>
      </c>
      <c r="H177" s="3" t="s">
        <v>633</v>
      </c>
      <c r="I177" s="3" t="s">
        <v>634</v>
      </c>
      <c r="J177" s="3">
        <v>125</v>
      </c>
      <c r="K177" s="3">
        <v>8.34</v>
      </c>
      <c r="L177" s="3" t="s">
        <v>635</v>
      </c>
    </row>
    <row r="178" spans="1:12" ht="14.5" x14ac:dyDescent="0.35">
      <c r="A178" s="3" t="s">
        <v>210</v>
      </c>
      <c r="B178" s="3" t="s">
        <v>211</v>
      </c>
      <c r="C178" s="3" t="s">
        <v>910</v>
      </c>
      <c r="D178" s="6"/>
      <c r="E178" s="3" t="s">
        <v>911</v>
      </c>
      <c r="F178" s="3">
        <v>414</v>
      </c>
      <c r="G178" s="3" t="s">
        <v>892</v>
      </c>
      <c r="H178" s="3" t="s">
        <v>633</v>
      </c>
      <c r="I178" s="3" t="s">
        <v>634</v>
      </c>
      <c r="J178" s="3">
        <v>125</v>
      </c>
      <c r="K178" s="3">
        <v>7.96</v>
      </c>
      <c r="L178" s="3" t="s">
        <v>643</v>
      </c>
    </row>
    <row r="179" spans="1:12" ht="14.5" x14ac:dyDescent="0.35">
      <c r="A179" s="3" t="s">
        <v>912</v>
      </c>
      <c r="B179" s="3" t="s">
        <v>913</v>
      </c>
      <c r="C179" s="3" t="s">
        <v>914</v>
      </c>
      <c r="D179" s="3">
        <v>584377779</v>
      </c>
      <c r="E179" s="3" t="s">
        <v>915</v>
      </c>
      <c r="F179" s="3">
        <v>414</v>
      </c>
      <c r="G179" s="3" t="s">
        <v>892</v>
      </c>
      <c r="H179" s="3" t="s">
        <v>633</v>
      </c>
      <c r="I179" s="3" t="s">
        <v>673</v>
      </c>
      <c r="J179" s="3">
        <v>92</v>
      </c>
      <c r="K179" s="3">
        <v>7.73</v>
      </c>
      <c r="L179" s="3" t="s">
        <v>643</v>
      </c>
    </row>
    <row r="180" spans="1:12" ht="14.5" x14ac:dyDescent="0.35">
      <c r="A180" s="3" t="s">
        <v>195</v>
      </c>
      <c r="B180" s="3" t="s">
        <v>196</v>
      </c>
      <c r="C180" s="3" t="s">
        <v>916</v>
      </c>
      <c r="D180" s="3">
        <v>962586124</v>
      </c>
      <c r="E180" s="3" t="s">
        <v>917</v>
      </c>
      <c r="F180" s="3">
        <v>414</v>
      </c>
      <c r="G180" s="3" t="s">
        <v>892</v>
      </c>
      <c r="H180" s="3" t="s">
        <v>633</v>
      </c>
      <c r="I180" s="3" t="s">
        <v>634</v>
      </c>
      <c r="J180" s="3">
        <v>123</v>
      </c>
      <c r="K180" s="3">
        <v>8.2200000000000006</v>
      </c>
      <c r="L180" s="3" t="s">
        <v>635</v>
      </c>
    </row>
    <row r="181" spans="1:12" ht="14.5" x14ac:dyDescent="0.35">
      <c r="A181" s="3" t="s">
        <v>213</v>
      </c>
      <c r="B181" s="3" t="s">
        <v>214</v>
      </c>
      <c r="C181" s="3" t="s">
        <v>902</v>
      </c>
      <c r="D181" s="3">
        <v>839279609</v>
      </c>
      <c r="E181" s="3" t="s">
        <v>918</v>
      </c>
      <c r="F181" s="3">
        <v>414</v>
      </c>
      <c r="G181" s="3" t="s">
        <v>892</v>
      </c>
      <c r="H181" s="3" t="s">
        <v>633</v>
      </c>
      <c r="I181" s="3" t="s">
        <v>634</v>
      </c>
      <c r="J181" s="3">
        <v>123</v>
      </c>
      <c r="K181" s="3">
        <v>7.24</v>
      </c>
      <c r="L181" s="3" t="s">
        <v>643</v>
      </c>
    </row>
    <row r="182" spans="1:12" ht="14.5" x14ac:dyDescent="0.35">
      <c r="A182" s="3" t="s">
        <v>39</v>
      </c>
      <c r="B182" s="3" t="s">
        <v>40</v>
      </c>
      <c r="C182" s="4">
        <v>38050</v>
      </c>
      <c r="D182" s="3">
        <v>338718127</v>
      </c>
      <c r="E182" s="3" t="s">
        <v>919</v>
      </c>
      <c r="F182" s="3">
        <v>414</v>
      </c>
      <c r="G182" s="3" t="s">
        <v>892</v>
      </c>
      <c r="H182" s="3" t="s">
        <v>633</v>
      </c>
      <c r="I182" s="3" t="s">
        <v>634</v>
      </c>
      <c r="J182" s="3">
        <v>123</v>
      </c>
      <c r="K182" s="3">
        <v>8.2799999999999994</v>
      </c>
      <c r="L182" s="3" t="s">
        <v>635</v>
      </c>
    </row>
    <row r="183" spans="1:12" ht="14.5" x14ac:dyDescent="0.35">
      <c r="A183" s="3" t="s">
        <v>55</v>
      </c>
      <c r="B183" s="3" t="s">
        <v>56</v>
      </c>
      <c r="C183" s="3" t="s">
        <v>798</v>
      </c>
      <c r="D183" s="3">
        <v>377260738</v>
      </c>
      <c r="E183" s="3" t="s">
        <v>920</v>
      </c>
      <c r="F183" s="3">
        <v>414</v>
      </c>
      <c r="G183" s="3" t="s">
        <v>892</v>
      </c>
      <c r="H183" s="3" t="s">
        <v>633</v>
      </c>
      <c r="I183" s="3" t="s">
        <v>673</v>
      </c>
      <c r="J183" s="3">
        <v>123</v>
      </c>
      <c r="K183" s="3">
        <v>7.96</v>
      </c>
      <c r="L183" s="3" t="s">
        <v>643</v>
      </c>
    </row>
    <row r="184" spans="1:12" ht="14.5" x14ac:dyDescent="0.35">
      <c r="A184" s="3" t="s">
        <v>215</v>
      </c>
      <c r="B184" s="3" t="s">
        <v>216</v>
      </c>
      <c r="C184" s="4">
        <v>38261</v>
      </c>
      <c r="D184" s="3">
        <v>846333129</v>
      </c>
      <c r="E184" s="3" t="s">
        <v>921</v>
      </c>
      <c r="F184" s="3">
        <v>414</v>
      </c>
      <c r="G184" s="3" t="s">
        <v>892</v>
      </c>
      <c r="H184" s="3" t="s">
        <v>633</v>
      </c>
      <c r="I184" s="3" t="s">
        <v>634</v>
      </c>
      <c r="J184" s="3">
        <v>123</v>
      </c>
      <c r="K184" s="3">
        <v>8.58</v>
      </c>
      <c r="L184" s="3" t="s">
        <v>635</v>
      </c>
    </row>
    <row r="185" spans="1:12" ht="14.5" x14ac:dyDescent="0.35">
      <c r="A185" s="3" t="s">
        <v>217</v>
      </c>
      <c r="B185" s="3" t="s">
        <v>218</v>
      </c>
      <c r="C185" s="4">
        <v>38057</v>
      </c>
      <c r="D185" s="3">
        <v>357093416</v>
      </c>
      <c r="E185" s="3" t="s">
        <v>922</v>
      </c>
      <c r="F185" s="3">
        <v>414</v>
      </c>
      <c r="G185" s="3" t="s">
        <v>892</v>
      </c>
      <c r="H185" s="3" t="s">
        <v>633</v>
      </c>
      <c r="I185" s="3" t="s">
        <v>634</v>
      </c>
      <c r="J185" s="3">
        <v>123</v>
      </c>
      <c r="K185" s="3">
        <v>8.76</v>
      </c>
      <c r="L185" s="3" t="s">
        <v>635</v>
      </c>
    </row>
    <row r="186" spans="1:12" ht="14.5" x14ac:dyDescent="0.35">
      <c r="A186" s="3" t="s">
        <v>197</v>
      </c>
      <c r="B186" s="3" t="s">
        <v>198</v>
      </c>
      <c r="C186" s="3" t="s">
        <v>923</v>
      </c>
      <c r="D186" s="3">
        <v>963008142</v>
      </c>
      <c r="E186" s="3" t="s">
        <v>924</v>
      </c>
      <c r="F186" s="3">
        <v>414</v>
      </c>
      <c r="G186" s="3" t="s">
        <v>892</v>
      </c>
      <c r="H186" s="3" t="s">
        <v>633</v>
      </c>
      <c r="I186" s="3" t="s">
        <v>634</v>
      </c>
      <c r="J186" s="3">
        <v>123</v>
      </c>
      <c r="K186" s="3">
        <v>7.79</v>
      </c>
      <c r="L186" s="3" t="s">
        <v>643</v>
      </c>
    </row>
    <row r="187" spans="1:12" ht="14.5" x14ac:dyDescent="0.35">
      <c r="A187" s="3" t="s">
        <v>306</v>
      </c>
      <c r="B187" s="3" t="s">
        <v>925</v>
      </c>
      <c r="C187" s="3" t="s">
        <v>926</v>
      </c>
      <c r="D187" s="6"/>
      <c r="E187" s="3" t="s">
        <v>927</v>
      </c>
      <c r="F187" s="3">
        <v>414</v>
      </c>
      <c r="G187" s="3" t="s">
        <v>892</v>
      </c>
      <c r="H187" s="3" t="s">
        <v>633</v>
      </c>
      <c r="I187" s="3" t="s">
        <v>634</v>
      </c>
      <c r="J187" s="3">
        <v>123</v>
      </c>
      <c r="K187" s="3">
        <v>7.71</v>
      </c>
      <c r="L187" s="3" t="s">
        <v>643</v>
      </c>
    </row>
    <row r="188" spans="1:12" ht="14.5" x14ac:dyDescent="0.35">
      <c r="A188" s="3" t="s">
        <v>123</v>
      </c>
      <c r="B188" s="3" t="s">
        <v>124</v>
      </c>
      <c r="C188" s="4">
        <v>38267</v>
      </c>
      <c r="D188" s="3">
        <v>373730998</v>
      </c>
      <c r="E188" s="3" t="s">
        <v>928</v>
      </c>
      <c r="F188" s="3">
        <v>414</v>
      </c>
      <c r="G188" s="3" t="s">
        <v>892</v>
      </c>
      <c r="H188" s="3" t="s">
        <v>633</v>
      </c>
      <c r="I188" s="3" t="s">
        <v>634</v>
      </c>
      <c r="J188" s="3">
        <v>123</v>
      </c>
      <c r="K188" s="3">
        <v>8.23</v>
      </c>
      <c r="L188" s="3" t="s">
        <v>635</v>
      </c>
    </row>
    <row r="189" spans="1:12" ht="14.5" x14ac:dyDescent="0.35">
      <c r="A189" s="3" t="s">
        <v>200</v>
      </c>
      <c r="B189" s="3" t="s">
        <v>201</v>
      </c>
      <c r="C189" s="3" t="s">
        <v>929</v>
      </c>
      <c r="D189" s="3">
        <v>394986395</v>
      </c>
      <c r="E189" s="3" t="s">
        <v>930</v>
      </c>
      <c r="F189" s="3">
        <v>414</v>
      </c>
      <c r="G189" s="3" t="s">
        <v>892</v>
      </c>
      <c r="H189" s="3" t="s">
        <v>633</v>
      </c>
      <c r="I189" s="3" t="s">
        <v>673</v>
      </c>
      <c r="J189" s="3">
        <v>123</v>
      </c>
      <c r="K189" s="3">
        <v>8.58</v>
      </c>
      <c r="L189" s="3" t="s">
        <v>635</v>
      </c>
    </row>
    <row r="190" spans="1:12" ht="14.5" x14ac:dyDescent="0.35">
      <c r="A190" s="3" t="s">
        <v>363</v>
      </c>
      <c r="B190" s="3" t="s">
        <v>364</v>
      </c>
      <c r="C190" s="4">
        <v>38055</v>
      </c>
      <c r="D190" s="3">
        <v>969569635</v>
      </c>
      <c r="E190" s="3" t="s">
        <v>931</v>
      </c>
      <c r="F190" s="3">
        <v>414</v>
      </c>
      <c r="G190" s="3" t="s">
        <v>892</v>
      </c>
      <c r="H190" s="3" t="s">
        <v>633</v>
      </c>
      <c r="I190" s="3" t="s">
        <v>634</v>
      </c>
      <c r="J190" s="3">
        <v>123</v>
      </c>
      <c r="K190" s="3">
        <v>8.34</v>
      </c>
      <c r="L190" s="3" t="s">
        <v>635</v>
      </c>
    </row>
    <row r="191" spans="1:12" ht="14.5" x14ac:dyDescent="0.35">
      <c r="A191" s="3" t="s">
        <v>203</v>
      </c>
      <c r="B191" s="3" t="s">
        <v>204</v>
      </c>
      <c r="C191" s="3" t="s">
        <v>649</v>
      </c>
      <c r="D191" s="3">
        <v>762646455</v>
      </c>
      <c r="E191" s="3" t="s">
        <v>932</v>
      </c>
      <c r="F191" s="3">
        <v>414</v>
      </c>
      <c r="G191" s="3" t="s">
        <v>892</v>
      </c>
      <c r="H191" s="3" t="s">
        <v>633</v>
      </c>
      <c r="I191" s="3" t="s">
        <v>634</v>
      </c>
      <c r="J191" s="3">
        <v>123</v>
      </c>
      <c r="K191" s="3">
        <v>7.92</v>
      </c>
      <c r="L191" s="3" t="s">
        <v>643</v>
      </c>
    </row>
    <row r="192" spans="1:12" ht="14.5" x14ac:dyDescent="0.35">
      <c r="A192" s="3" t="s">
        <v>126</v>
      </c>
      <c r="B192" s="3" t="s">
        <v>127</v>
      </c>
      <c r="C192" s="3" t="s">
        <v>629</v>
      </c>
      <c r="D192" s="3">
        <v>903806436</v>
      </c>
      <c r="E192" s="3" t="s">
        <v>933</v>
      </c>
      <c r="F192" s="3">
        <v>414</v>
      </c>
      <c r="G192" s="3" t="s">
        <v>892</v>
      </c>
      <c r="H192" s="3" t="s">
        <v>633</v>
      </c>
      <c r="I192" s="3" t="s">
        <v>634</v>
      </c>
      <c r="J192" s="3">
        <v>123</v>
      </c>
      <c r="K192" s="3">
        <v>8.02</v>
      </c>
      <c r="L192" s="3" t="s">
        <v>635</v>
      </c>
    </row>
    <row r="193" spans="1:12" ht="14.5" x14ac:dyDescent="0.35">
      <c r="A193" s="3" t="s">
        <v>139</v>
      </c>
      <c r="B193" s="3" t="s">
        <v>140</v>
      </c>
      <c r="C193" s="4">
        <v>38297</v>
      </c>
      <c r="D193" s="3">
        <v>378080079</v>
      </c>
      <c r="E193" s="3" t="s">
        <v>934</v>
      </c>
      <c r="F193" s="3">
        <v>414</v>
      </c>
      <c r="G193" s="3" t="s">
        <v>892</v>
      </c>
      <c r="H193" s="3" t="s">
        <v>633</v>
      </c>
      <c r="I193" s="3" t="s">
        <v>634</v>
      </c>
      <c r="J193" s="3">
        <v>123</v>
      </c>
      <c r="K193" s="3">
        <v>7.71</v>
      </c>
      <c r="L193" s="3" t="s">
        <v>643</v>
      </c>
    </row>
    <row r="194" spans="1:12" ht="14.5" x14ac:dyDescent="0.35">
      <c r="A194" s="3" t="s">
        <v>245</v>
      </c>
      <c r="B194" s="3" t="s">
        <v>935</v>
      </c>
      <c r="C194" s="3" t="s">
        <v>936</v>
      </c>
      <c r="D194" s="3">
        <v>896652031</v>
      </c>
      <c r="E194" s="3" t="s">
        <v>937</v>
      </c>
      <c r="F194" s="3">
        <v>414</v>
      </c>
      <c r="G194" s="3" t="s">
        <v>892</v>
      </c>
      <c r="H194" s="3" t="s">
        <v>633</v>
      </c>
      <c r="I194" s="3" t="s">
        <v>634</v>
      </c>
      <c r="J194" s="3">
        <v>123</v>
      </c>
      <c r="K194" s="3">
        <v>8</v>
      </c>
      <c r="L194" s="3" t="s">
        <v>635</v>
      </c>
    </row>
    <row r="195" spans="1:12" ht="14.5" x14ac:dyDescent="0.35">
      <c r="A195" s="3" t="s">
        <v>938</v>
      </c>
      <c r="B195" s="3" t="s">
        <v>939</v>
      </c>
      <c r="C195" s="4">
        <v>37873</v>
      </c>
      <c r="D195" s="3">
        <v>909362003</v>
      </c>
      <c r="E195" s="3" t="s">
        <v>940</v>
      </c>
      <c r="F195" s="3">
        <v>414</v>
      </c>
      <c r="G195" s="3" t="s">
        <v>892</v>
      </c>
      <c r="H195" s="3" t="s">
        <v>941</v>
      </c>
      <c r="I195" s="3" t="s">
        <v>673</v>
      </c>
      <c r="J195" s="3">
        <v>63</v>
      </c>
      <c r="K195" s="3">
        <v>8.27</v>
      </c>
      <c r="L195" s="3" t="s">
        <v>635</v>
      </c>
    </row>
    <row r="196" spans="1:12" ht="14.5" x14ac:dyDescent="0.35">
      <c r="A196" s="3" t="s">
        <v>365</v>
      </c>
      <c r="B196" s="3" t="s">
        <v>942</v>
      </c>
      <c r="C196" s="3" t="s">
        <v>943</v>
      </c>
      <c r="D196" s="3">
        <v>385187748</v>
      </c>
      <c r="E196" s="3" t="s">
        <v>944</v>
      </c>
      <c r="F196" s="3">
        <v>414</v>
      </c>
      <c r="G196" s="3" t="s">
        <v>892</v>
      </c>
      <c r="H196" s="3" t="s">
        <v>633</v>
      </c>
      <c r="I196" s="3" t="s">
        <v>634</v>
      </c>
      <c r="J196" s="3">
        <v>123</v>
      </c>
      <c r="K196" s="3">
        <v>8.6</v>
      </c>
      <c r="L196" s="3" t="s">
        <v>635</v>
      </c>
    </row>
    <row r="197" spans="1:12" ht="14.5" x14ac:dyDescent="0.35">
      <c r="A197" s="3" t="s">
        <v>248</v>
      </c>
      <c r="B197" s="3" t="s">
        <v>249</v>
      </c>
      <c r="C197" s="3" t="s">
        <v>945</v>
      </c>
      <c r="D197" s="3">
        <v>942814341</v>
      </c>
      <c r="E197" s="3" t="s">
        <v>946</v>
      </c>
      <c r="F197" s="3">
        <v>414</v>
      </c>
      <c r="G197" s="3" t="s">
        <v>892</v>
      </c>
      <c r="H197" s="3" t="s">
        <v>633</v>
      </c>
      <c r="I197" s="3" t="s">
        <v>634</v>
      </c>
      <c r="J197" s="3">
        <v>123</v>
      </c>
      <c r="K197" s="3">
        <v>8.42</v>
      </c>
      <c r="L197" s="3" t="s">
        <v>635</v>
      </c>
    </row>
    <row r="198" spans="1:12" ht="14.5" x14ac:dyDescent="0.35">
      <c r="A198" s="3" t="s">
        <v>250</v>
      </c>
      <c r="B198" s="3" t="s">
        <v>251</v>
      </c>
      <c r="C198" s="3" t="s">
        <v>947</v>
      </c>
      <c r="D198" s="3">
        <v>937812385</v>
      </c>
      <c r="E198" s="3" t="s">
        <v>948</v>
      </c>
      <c r="F198" s="3">
        <v>414</v>
      </c>
      <c r="G198" s="3" t="s">
        <v>892</v>
      </c>
      <c r="H198" s="3" t="s">
        <v>633</v>
      </c>
      <c r="I198" s="3" t="s">
        <v>634</v>
      </c>
      <c r="J198" s="3">
        <v>123</v>
      </c>
      <c r="K198" s="3">
        <v>7.85</v>
      </c>
      <c r="L198" s="3" t="s">
        <v>643</v>
      </c>
    </row>
    <row r="199" spans="1:12" ht="14.5" x14ac:dyDescent="0.35">
      <c r="A199" s="3" t="s">
        <v>367</v>
      </c>
      <c r="B199" s="3" t="s">
        <v>368</v>
      </c>
      <c r="C199" s="3" t="s">
        <v>949</v>
      </c>
      <c r="D199" s="3">
        <v>869216298</v>
      </c>
      <c r="E199" s="3" t="s">
        <v>950</v>
      </c>
      <c r="F199" s="3">
        <v>414</v>
      </c>
      <c r="G199" s="3" t="s">
        <v>892</v>
      </c>
      <c r="H199" s="3" t="s">
        <v>633</v>
      </c>
      <c r="I199" s="3" t="s">
        <v>673</v>
      </c>
      <c r="J199" s="3">
        <v>123</v>
      </c>
      <c r="K199" s="3">
        <v>7.71</v>
      </c>
      <c r="L199" s="3" t="s">
        <v>643</v>
      </c>
    </row>
    <row r="200" spans="1:12" ht="14.5" x14ac:dyDescent="0.35">
      <c r="A200" s="3" t="s">
        <v>142</v>
      </c>
      <c r="B200" s="3" t="s">
        <v>143</v>
      </c>
      <c r="C200" s="3" t="s">
        <v>916</v>
      </c>
      <c r="D200" s="6"/>
      <c r="E200" s="3" t="s">
        <v>951</v>
      </c>
      <c r="F200" s="3">
        <v>414</v>
      </c>
      <c r="G200" s="3" t="s">
        <v>892</v>
      </c>
      <c r="H200" s="3" t="s">
        <v>633</v>
      </c>
      <c r="I200" s="3" t="s">
        <v>634</v>
      </c>
      <c r="J200" s="3">
        <v>123</v>
      </c>
      <c r="K200" s="3">
        <v>8.2100000000000009</v>
      </c>
      <c r="L200" s="3" t="s">
        <v>635</v>
      </c>
    </row>
    <row r="201" spans="1:12" ht="14.5" x14ac:dyDescent="0.35">
      <c r="A201" s="3" t="s">
        <v>144</v>
      </c>
      <c r="B201" s="3" t="s">
        <v>145</v>
      </c>
      <c r="C201" s="4">
        <v>38299</v>
      </c>
      <c r="D201" s="3">
        <v>968402362</v>
      </c>
      <c r="E201" s="3" t="s">
        <v>952</v>
      </c>
      <c r="F201" s="3">
        <v>414</v>
      </c>
      <c r="G201" s="3" t="s">
        <v>892</v>
      </c>
      <c r="H201" s="3" t="s">
        <v>633</v>
      </c>
      <c r="I201" s="3" t="s">
        <v>634</v>
      </c>
      <c r="J201" s="3">
        <v>123</v>
      </c>
      <c r="K201" s="3">
        <v>8.09</v>
      </c>
      <c r="L201" s="3" t="s">
        <v>635</v>
      </c>
    </row>
    <row r="202" spans="1:12" ht="14.5" x14ac:dyDescent="0.35">
      <c r="A202" s="3" t="s">
        <v>252</v>
      </c>
      <c r="B202" s="3" t="s">
        <v>253</v>
      </c>
      <c r="C202" s="3" t="s">
        <v>715</v>
      </c>
      <c r="D202" s="3">
        <v>908732800</v>
      </c>
      <c r="E202" s="3" t="s">
        <v>953</v>
      </c>
      <c r="F202" s="3">
        <v>414</v>
      </c>
      <c r="G202" s="3" t="s">
        <v>892</v>
      </c>
      <c r="H202" s="3" t="s">
        <v>633</v>
      </c>
      <c r="I202" s="3" t="s">
        <v>634</v>
      </c>
      <c r="J202" s="3">
        <v>123</v>
      </c>
      <c r="K202" s="3">
        <v>8.25</v>
      </c>
      <c r="L202" s="3" t="s">
        <v>635</v>
      </c>
    </row>
    <row r="203" spans="1:12" ht="14.5" x14ac:dyDescent="0.35">
      <c r="A203" s="3" t="s">
        <v>85</v>
      </c>
      <c r="B203" s="3" t="s">
        <v>86</v>
      </c>
      <c r="C203" s="4">
        <v>38142</v>
      </c>
      <c r="D203" s="3">
        <v>794211591</v>
      </c>
      <c r="E203" s="3" t="s">
        <v>954</v>
      </c>
      <c r="F203" s="3">
        <v>414</v>
      </c>
      <c r="G203" s="3" t="s">
        <v>892</v>
      </c>
      <c r="H203" s="3" t="s">
        <v>633</v>
      </c>
      <c r="I203" s="3" t="s">
        <v>634</v>
      </c>
      <c r="J203" s="3">
        <v>123</v>
      </c>
      <c r="K203" s="3">
        <v>7.48</v>
      </c>
      <c r="L203" s="3" t="s">
        <v>643</v>
      </c>
    </row>
    <row r="204" spans="1:12" ht="14.5" x14ac:dyDescent="0.35">
      <c r="A204" s="3" t="s">
        <v>955</v>
      </c>
      <c r="B204" s="3" t="s">
        <v>956</v>
      </c>
      <c r="C204" s="3" t="s">
        <v>760</v>
      </c>
      <c r="D204" s="3">
        <v>769577101</v>
      </c>
      <c r="E204" s="3" t="s">
        <v>957</v>
      </c>
      <c r="F204" s="3">
        <v>414</v>
      </c>
      <c r="G204" s="3" t="s">
        <v>892</v>
      </c>
      <c r="H204" s="3" t="s">
        <v>941</v>
      </c>
      <c r="I204" s="3" t="s">
        <v>673</v>
      </c>
      <c r="J204" s="3">
        <v>23</v>
      </c>
      <c r="K204" s="3">
        <v>6.74</v>
      </c>
      <c r="L204" s="3" t="s">
        <v>696</v>
      </c>
    </row>
    <row r="205" spans="1:12" ht="14.5" x14ac:dyDescent="0.35">
      <c r="A205" s="3" t="s">
        <v>304</v>
      </c>
      <c r="B205" s="3" t="s">
        <v>305</v>
      </c>
      <c r="C205" s="4">
        <v>38171</v>
      </c>
      <c r="D205" s="3">
        <v>961390152</v>
      </c>
      <c r="E205" s="3" t="s">
        <v>958</v>
      </c>
      <c r="F205" s="3">
        <v>414</v>
      </c>
      <c r="G205" s="3" t="s">
        <v>892</v>
      </c>
      <c r="H205" s="3" t="s">
        <v>633</v>
      </c>
      <c r="I205" s="3" t="s">
        <v>634</v>
      </c>
      <c r="J205" s="3">
        <v>123</v>
      </c>
      <c r="K205" s="3">
        <v>7.86</v>
      </c>
      <c r="L205" s="3" t="s">
        <v>643</v>
      </c>
    </row>
    <row r="206" spans="1:12" ht="14.5" x14ac:dyDescent="0.35">
      <c r="A206" s="3" t="s">
        <v>383</v>
      </c>
      <c r="B206" s="3" t="s">
        <v>384</v>
      </c>
      <c r="C206" s="3" t="s">
        <v>959</v>
      </c>
      <c r="D206" s="3">
        <v>912194736</v>
      </c>
      <c r="E206" s="3" t="s">
        <v>960</v>
      </c>
      <c r="F206" s="3">
        <v>414</v>
      </c>
      <c r="G206" s="3" t="s">
        <v>892</v>
      </c>
      <c r="H206" s="3" t="s">
        <v>633</v>
      </c>
      <c r="I206" s="3" t="s">
        <v>673</v>
      </c>
      <c r="J206" s="3">
        <v>123</v>
      </c>
      <c r="K206" s="3">
        <v>8.5299999999999994</v>
      </c>
      <c r="L206" s="3" t="s">
        <v>635</v>
      </c>
    </row>
    <row r="207" spans="1:12" ht="14.5" x14ac:dyDescent="0.35">
      <c r="A207" s="3" t="s">
        <v>961</v>
      </c>
      <c r="B207" s="3" t="s">
        <v>962</v>
      </c>
      <c r="C207" s="3" t="s">
        <v>963</v>
      </c>
      <c r="D207" s="3">
        <v>902603499</v>
      </c>
      <c r="E207" s="3" t="s">
        <v>964</v>
      </c>
      <c r="F207" s="3">
        <v>414</v>
      </c>
      <c r="G207" s="3" t="s">
        <v>892</v>
      </c>
      <c r="H207" s="3" t="s">
        <v>633</v>
      </c>
      <c r="I207" s="3" t="s">
        <v>634</v>
      </c>
      <c r="J207" s="3">
        <v>101</v>
      </c>
      <c r="K207" s="3">
        <v>7.6</v>
      </c>
      <c r="L207" s="3" t="s">
        <v>643</v>
      </c>
    </row>
    <row r="208" spans="1:12" ht="14.5" x14ac:dyDescent="0.35">
      <c r="A208" s="3" t="s">
        <v>965</v>
      </c>
      <c r="B208" s="3" t="s">
        <v>966</v>
      </c>
      <c r="C208" s="3" t="s">
        <v>967</v>
      </c>
      <c r="D208" s="3">
        <v>941857317</v>
      </c>
      <c r="E208" s="3" t="s">
        <v>968</v>
      </c>
      <c r="F208" s="3">
        <v>414</v>
      </c>
      <c r="G208" s="3" t="s">
        <v>892</v>
      </c>
      <c r="H208" s="3" t="s">
        <v>633</v>
      </c>
      <c r="I208" s="3" t="s">
        <v>634</v>
      </c>
      <c r="J208" s="3">
        <v>94</v>
      </c>
      <c r="K208" s="3">
        <v>6.79</v>
      </c>
      <c r="L208" s="3" t="s">
        <v>696</v>
      </c>
    </row>
    <row r="209" spans="1:12" ht="14.5" x14ac:dyDescent="0.35">
      <c r="A209" s="3" t="s">
        <v>386</v>
      </c>
      <c r="B209" s="3" t="s">
        <v>387</v>
      </c>
      <c r="C209" s="3" t="s">
        <v>947</v>
      </c>
      <c r="D209" s="3">
        <v>789681105</v>
      </c>
      <c r="E209" s="3" t="s">
        <v>969</v>
      </c>
      <c r="F209" s="3">
        <v>414</v>
      </c>
      <c r="G209" s="3" t="s">
        <v>892</v>
      </c>
      <c r="H209" s="3" t="s">
        <v>633</v>
      </c>
      <c r="I209" s="3" t="s">
        <v>634</v>
      </c>
      <c r="J209" s="3">
        <v>123</v>
      </c>
      <c r="K209" s="3">
        <v>7.46</v>
      </c>
      <c r="L209" s="3" t="s">
        <v>643</v>
      </c>
    </row>
    <row r="210" spans="1:12" ht="14.5" x14ac:dyDescent="0.35">
      <c r="A210" s="3" t="s">
        <v>302</v>
      </c>
      <c r="B210" s="3" t="s">
        <v>303</v>
      </c>
      <c r="C210" s="3" t="s">
        <v>970</v>
      </c>
      <c r="D210" s="3">
        <v>589412110</v>
      </c>
      <c r="E210" s="3" t="s">
        <v>971</v>
      </c>
      <c r="F210" s="3">
        <v>414</v>
      </c>
      <c r="G210" s="3" t="s">
        <v>892</v>
      </c>
      <c r="H210" s="3" t="s">
        <v>633</v>
      </c>
      <c r="I210" s="3" t="s">
        <v>673</v>
      </c>
      <c r="J210" s="3">
        <v>123</v>
      </c>
      <c r="K210" s="3">
        <v>7.87</v>
      </c>
      <c r="L210" s="3" t="s">
        <v>643</v>
      </c>
    </row>
    <row r="211" spans="1:12" ht="14.5" x14ac:dyDescent="0.35">
      <c r="A211" s="3" t="s">
        <v>432</v>
      </c>
      <c r="B211" s="3" t="s">
        <v>433</v>
      </c>
      <c r="C211" s="4">
        <v>38242</v>
      </c>
      <c r="D211" s="3">
        <v>933526114</v>
      </c>
      <c r="E211" s="3" t="s">
        <v>972</v>
      </c>
      <c r="F211" s="3">
        <v>414</v>
      </c>
      <c r="G211" s="3" t="s">
        <v>892</v>
      </c>
      <c r="H211" s="3" t="s">
        <v>633</v>
      </c>
      <c r="I211" s="3" t="s">
        <v>634</v>
      </c>
      <c r="J211" s="3">
        <v>123</v>
      </c>
      <c r="K211" s="3">
        <v>8.0500000000000007</v>
      </c>
      <c r="L211" s="3" t="s">
        <v>635</v>
      </c>
    </row>
    <row r="212" spans="1:12" ht="14.5" x14ac:dyDescent="0.35">
      <c r="A212" s="3" t="s">
        <v>372</v>
      </c>
      <c r="B212" s="3" t="s">
        <v>373</v>
      </c>
      <c r="C212" s="3" t="s">
        <v>973</v>
      </c>
      <c r="D212" s="3">
        <v>816554972</v>
      </c>
      <c r="E212" s="3" t="s">
        <v>974</v>
      </c>
      <c r="F212" s="3">
        <v>414</v>
      </c>
      <c r="G212" s="3" t="s">
        <v>892</v>
      </c>
      <c r="H212" s="3" t="s">
        <v>633</v>
      </c>
      <c r="I212" s="3" t="s">
        <v>673</v>
      </c>
      <c r="J212" s="3">
        <v>91</v>
      </c>
      <c r="K212" s="3">
        <v>7.13</v>
      </c>
      <c r="L212" s="3" t="s">
        <v>643</v>
      </c>
    </row>
    <row r="213" spans="1:12" ht="14.5" x14ac:dyDescent="0.35">
      <c r="A213" s="3" t="s">
        <v>389</v>
      </c>
      <c r="B213" s="3" t="s">
        <v>390</v>
      </c>
      <c r="C213" s="4">
        <v>38235</v>
      </c>
      <c r="D213" s="3">
        <v>782793850</v>
      </c>
      <c r="E213" s="3" t="s">
        <v>975</v>
      </c>
      <c r="F213" s="3">
        <v>414</v>
      </c>
      <c r="G213" s="3" t="s">
        <v>892</v>
      </c>
      <c r="H213" s="3" t="s">
        <v>633</v>
      </c>
      <c r="I213" s="3" t="s">
        <v>673</v>
      </c>
      <c r="J213" s="3">
        <v>123</v>
      </c>
      <c r="K213" s="3">
        <v>7.72</v>
      </c>
      <c r="L213" s="3" t="s">
        <v>643</v>
      </c>
    </row>
    <row r="214" spans="1:12" ht="14.5" x14ac:dyDescent="0.35">
      <c r="A214" s="3" t="s">
        <v>391</v>
      </c>
      <c r="B214" s="3" t="s">
        <v>392</v>
      </c>
      <c r="C214" s="3" t="s">
        <v>976</v>
      </c>
      <c r="D214" s="3">
        <v>915250854</v>
      </c>
      <c r="E214" s="3" t="s">
        <v>977</v>
      </c>
      <c r="F214" s="3">
        <v>414</v>
      </c>
      <c r="G214" s="3" t="s">
        <v>892</v>
      </c>
      <c r="H214" s="3" t="s">
        <v>633</v>
      </c>
      <c r="I214" s="3" t="s">
        <v>634</v>
      </c>
      <c r="J214" s="3">
        <v>123</v>
      </c>
      <c r="K214" s="3">
        <v>7.81</v>
      </c>
      <c r="L214" s="3" t="s">
        <v>643</v>
      </c>
    </row>
    <row r="215" spans="1:12" ht="14.5" x14ac:dyDescent="0.35">
      <c r="A215" s="3" t="s">
        <v>978</v>
      </c>
      <c r="B215" s="3" t="s">
        <v>979</v>
      </c>
      <c r="C215" s="3" t="s">
        <v>980</v>
      </c>
      <c r="D215" s="3">
        <v>374905400</v>
      </c>
      <c r="E215" s="3" t="s">
        <v>981</v>
      </c>
      <c r="F215" s="3">
        <v>414</v>
      </c>
      <c r="G215" s="3" t="s">
        <v>892</v>
      </c>
      <c r="H215" s="3" t="s">
        <v>633</v>
      </c>
      <c r="I215" s="3" t="s">
        <v>634</v>
      </c>
      <c r="J215" s="3">
        <v>36</v>
      </c>
      <c r="K215" s="3">
        <v>6.86</v>
      </c>
      <c r="L215" s="3" t="s">
        <v>696</v>
      </c>
    </row>
    <row r="216" spans="1:12" ht="14.5" x14ac:dyDescent="0.35">
      <c r="A216" s="3" t="s">
        <v>57</v>
      </c>
      <c r="B216" s="3" t="s">
        <v>58</v>
      </c>
      <c r="C216" s="4">
        <v>37595</v>
      </c>
      <c r="D216" s="3">
        <v>394061044</v>
      </c>
      <c r="E216" s="3" t="s">
        <v>982</v>
      </c>
      <c r="F216" s="3">
        <v>414</v>
      </c>
      <c r="G216" s="3" t="s">
        <v>892</v>
      </c>
      <c r="H216" s="3" t="s">
        <v>633</v>
      </c>
      <c r="I216" s="3" t="s">
        <v>673</v>
      </c>
      <c r="J216" s="3">
        <v>123</v>
      </c>
      <c r="K216" s="3">
        <v>7.6</v>
      </c>
      <c r="L216" s="3" t="s">
        <v>643</v>
      </c>
    </row>
    <row r="217" spans="1:12" ht="14.5" x14ac:dyDescent="0.35">
      <c r="A217" s="3" t="s">
        <v>434</v>
      </c>
      <c r="B217" s="3" t="s">
        <v>435</v>
      </c>
      <c r="C217" s="3" t="s">
        <v>983</v>
      </c>
      <c r="D217" s="3">
        <v>867869844</v>
      </c>
      <c r="E217" s="3" t="s">
        <v>984</v>
      </c>
      <c r="F217" s="3">
        <v>414</v>
      </c>
      <c r="G217" s="3" t="s">
        <v>892</v>
      </c>
      <c r="H217" s="3" t="s">
        <v>633</v>
      </c>
      <c r="I217" s="3" t="s">
        <v>634</v>
      </c>
      <c r="J217" s="3">
        <v>123</v>
      </c>
      <c r="K217" s="3">
        <v>8.01</v>
      </c>
      <c r="L217" s="3" t="s">
        <v>635</v>
      </c>
    </row>
    <row r="218" spans="1:12" ht="14.5" x14ac:dyDescent="0.35">
      <c r="A218" s="3" t="s">
        <v>393</v>
      </c>
      <c r="B218" s="3" t="s">
        <v>394</v>
      </c>
      <c r="C218" s="3" t="s">
        <v>985</v>
      </c>
      <c r="D218" s="3">
        <v>983617470</v>
      </c>
      <c r="E218" s="3" t="s">
        <v>986</v>
      </c>
      <c r="F218" s="3">
        <v>414</v>
      </c>
      <c r="G218" s="3" t="s">
        <v>892</v>
      </c>
      <c r="H218" s="3" t="s">
        <v>633</v>
      </c>
      <c r="I218" s="3" t="s">
        <v>634</v>
      </c>
      <c r="J218" s="3">
        <v>123</v>
      </c>
      <c r="K218" s="3">
        <v>7.59</v>
      </c>
      <c r="L218" s="3" t="s">
        <v>643</v>
      </c>
    </row>
    <row r="219" spans="1:12" ht="14.5" x14ac:dyDescent="0.35">
      <c r="A219" s="3" t="s">
        <v>375</v>
      </c>
      <c r="B219" s="3" t="s">
        <v>376</v>
      </c>
      <c r="C219" s="3" t="s">
        <v>987</v>
      </c>
      <c r="D219" s="6"/>
      <c r="E219" s="3" t="s">
        <v>988</v>
      </c>
      <c r="F219" s="3">
        <v>414</v>
      </c>
      <c r="G219" s="3" t="s">
        <v>892</v>
      </c>
      <c r="H219" s="3" t="s">
        <v>633</v>
      </c>
      <c r="I219" s="3" t="s">
        <v>634</v>
      </c>
      <c r="J219" s="3">
        <v>123</v>
      </c>
      <c r="K219" s="3">
        <v>8.17</v>
      </c>
      <c r="L219" s="3" t="s">
        <v>635</v>
      </c>
    </row>
    <row r="220" spans="1:12" ht="14.5" x14ac:dyDescent="0.35">
      <c r="A220" s="3" t="s">
        <v>377</v>
      </c>
      <c r="B220" s="3" t="s">
        <v>378</v>
      </c>
      <c r="C220" s="4">
        <v>37987</v>
      </c>
      <c r="D220" s="3">
        <v>393309117</v>
      </c>
      <c r="E220" s="3" t="s">
        <v>989</v>
      </c>
      <c r="F220" s="3">
        <v>414</v>
      </c>
      <c r="G220" s="3" t="s">
        <v>892</v>
      </c>
      <c r="H220" s="3" t="s">
        <v>633</v>
      </c>
      <c r="I220" s="3" t="s">
        <v>634</v>
      </c>
      <c r="J220" s="3">
        <v>123</v>
      </c>
      <c r="K220" s="3">
        <v>8.2100000000000009</v>
      </c>
      <c r="L220" s="3" t="s">
        <v>635</v>
      </c>
    </row>
    <row r="221" spans="1:12" ht="14.5" x14ac:dyDescent="0.35">
      <c r="A221" s="3" t="s">
        <v>88</v>
      </c>
      <c r="B221" s="3" t="s">
        <v>89</v>
      </c>
      <c r="C221" s="3" t="s">
        <v>990</v>
      </c>
      <c r="D221" s="3">
        <v>379795762</v>
      </c>
      <c r="E221" s="3" t="s">
        <v>991</v>
      </c>
      <c r="F221" s="3">
        <v>414</v>
      </c>
      <c r="G221" s="3" t="s">
        <v>892</v>
      </c>
      <c r="H221" s="3" t="s">
        <v>633</v>
      </c>
      <c r="I221" s="3" t="s">
        <v>634</v>
      </c>
      <c r="J221" s="3">
        <v>123</v>
      </c>
      <c r="K221" s="3">
        <v>8.2200000000000006</v>
      </c>
      <c r="L221" s="3" t="s">
        <v>635</v>
      </c>
    </row>
    <row r="222" spans="1:12" ht="14.5" x14ac:dyDescent="0.35">
      <c r="A222" s="3" t="s">
        <v>119</v>
      </c>
      <c r="B222" s="3" t="s">
        <v>120</v>
      </c>
      <c r="C222" s="3" t="s">
        <v>992</v>
      </c>
      <c r="D222" s="3">
        <v>937939581</v>
      </c>
      <c r="E222" s="3" t="s">
        <v>993</v>
      </c>
      <c r="F222" s="3">
        <v>414</v>
      </c>
      <c r="G222" s="3" t="s">
        <v>892</v>
      </c>
      <c r="H222" s="3" t="s">
        <v>633</v>
      </c>
      <c r="I222" s="3" t="s">
        <v>634</v>
      </c>
      <c r="J222" s="3">
        <v>123</v>
      </c>
      <c r="K222" s="3">
        <v>8.58</v>
      </c>
      <c r="L222" s="3" t="s">
        <v>635</v>
      </c>
    </row>
    <row r="223" spans="1:12" ht="14.5" x14ac:dyDescent="0.35">
      <c r="A223" s="3" t="s">
        <v>48</v>
      </c>
      <c r="B223" s="3" t="s">
        <v>49</v>
      </c>
      <c r="C223" s="4">
        <v>38205</v>
      </c>
      <c r="D223" s="3">
        <v>349095278</v>
      </c>
      <c r="E223" s="3" t="s">
        <v>994</v>
      </c>
      <c r="F223" s="3" t="s">
        <v>995</v>
      </c>
      <c r="G223" s="3" t="s">
        <v>996</v>
      </c>
      <c r="H223" s="3" t="s">
        <v>633</v>
      </c>
      <c r="I223" s="3" t="s">
        <v>634</v>
      </c>
      <c r="J223" s="3">
        <v>123</v>
      </c>
      <c r="K223" s="3">
        <v>7.51</v>
      </c>
      <c r="L223" s="3" t="s">
        <v>643</v>
      </c>
    </row>
    <row r="224" spans="1:12" ht="14.5" x14ac:dyDescent="0.35">
      <c r="A224" s="3" t="s">
        <v>98</v>
      </c>
      <c r="B224" s="3" t="s">
        <v>99</v>
      </c>
      <c r="C224" s="3" t="s">
        <v>997</v>
      </c>
      <c r="D224" s="3">
        <v>868160204</v>
      </c>
      <c r="E224" s="3" t="s">
        <v>998</v>
      </c>
      <c r="F224" s="3" t="s">
        <v>995</v>
      </c>
      <c r="G224" s="3" t="s">
        <v>996</v>
      </c>
      <c r="H224" s="3" t="s">
        <v>633</v>
      </c>
      <c r="I224" s="3" t="s">
        <v>634</v>
      </c>
      <c r="J224" s="3">
        <v>123</v>
      </c>
      <c r="K224" s="3">
        <v>8.73</v>
      </c>
      <c r="L224" s="3" t="s">
        <v>635</v>
      </c>
    </row>
    <row r="225" spans="1:12" ht="14.5" x14ac:dyDescent="0.35">
      <c r="A225" s="3" t="s">
        <v>41</v>
      </c>
      <c r="B225" s="3" t="s">
        <v>42</v>
      </c>
      <c r="C225" s="3" t="s">
        <v>999</v>
      </c>
      <c r="D225" s="3">
        <v>935837785</v>
      </c>
      <c r="E225" s="3" t="s">
        <v>1000</v>
      </c>
      <c r="F225" s="3" t="s">
        <v>995</v>
      </c>
      <c r="G225" s="3" t="s">
        <v>996</v>
      </c>
      <c r="H225" s="3" t="s">
        <v>633</v>
      </c>
      <c r="I225" s="3" t="s">
        <v>673</v>
      </c>
      <c r="J225" s="3">
        <v>120</v>
      </c>
      <c r="K225" s="3">
        <v>7.19</v>
      </c>
      <c r="L225" s="3" t="s">
        <v>643</v>
      </c>
    </row>
    <row r="226" spans="1:12" ht="14.5" x14ac:dyDescent="0.35">
      <c r="A226" s="3" t="s">
        <v>5</v>
      </c>
      <c r="B226" s="3" t="s">
        <v>6</v>
      </c>
      <c r="C226" s="4">
        <v>37997</v>
      </c>
      <c r="D226" s="3">
        <v>942900359</v>
      </c>
      <c r="E226" s="3" t="s">
        <v>1001</v>
      </c>
      <c r="F226" s="3" t="s">
        <v>995</v>
      </c>
      <c r="G226" s="3" t="s">
        <v>996</v>
      </c>
      <c r="H226" s="3" t="s">
        <v>633</v>
      </c>
      <c r="I226" s="3" t="s">
        <v>673</v>
      </c>
      <c r="J226" s="3">
        <v>121</v>
      </c>
      <c r="K226" s="3">
        <v>8.25</v>
      </c>
      <c r="L226" s="3" t="s">
        <v>635</v>
      </c>
    </row>
    <row r="227" spans="1:12" ht="14.5" x14ac:dyDescent="0.35">
      <c r="A227" s="3" t="s">
        <v>121</v>
      </c>
      <c r="B227" s="3" t="s">
        <v>122</v>
      </c>
      <c r="C227" s="4">
        <v>37686</v>
      </c>
      <c r="D227" s="3">
        <v>347120512</v>
      </c>
      <c r="E227" s="3" t="s">
        <v>1002</v>
      </c>
      <c r="F227" s="3" t="s">
        <v>995</v>
      </c>
      <c r="G227" s="3" t="s">
        <v>996</v>
      </c>
      <c r="H227" s="3" t="s">
        <v>633</v>
      </c>
      <c r="I227" s="3" t="s">
        <v>673</v>
      </c>
      <c r="J227" s="3">
        <v>119</v>
      </c>
      <c r="K227" s="3">
        <v>7.49</v>
      </c>
      <c r="L227" s="3" t="s">
        <v>643</v>
      </c>
    </row>
    <row r="228" spans="1:12" ht="14.5" x14ac:dyDescent="0.35">
      <c r="A228" s="3" t="s">
        <v>64</v>
      </c>
      <c r="B228" s="3" t="s">
        <v>65</v>
      </c>
      <c r="C228" s="3" t="s">
        <v>926</v>
      </c>
      <c r="D228" s="3">
        <v>878835304</v>
      </c>
      <c r="E228" s="3" t="s">
        <v>1003</v>
      </c>
      <c r="F228" s="3" t="s">
        <v>995</v>
      </c>
      <c r="G228" s="3" t="s">
        <v>996</v>
      </c>
      <c r="H228" s="3" t="s">
        <v>633</v>
      </c>
      <c r="I228" s="3" t="s">
        <v>634</v>
      </c>
      <c r="J228" s="3">
        <v>123</v>
      </c>
      <c r="K228" s="3">
        <v>8.09</v>
      </c>
      <c r="L228" s="3" t="s">
        <v>635</v>
      </c>
    </row>
    <row r="229" spans="1:12" ht="14.5" x14ac:dyDescent="0.35">
      <c r="A229" s="3" t="s">
        <v>219</v>
      </c>
      <c r="B229" s="3" t="s">
        <v>220</v>
      </c>
      <c r="C229" s="3" t="s">
        <v>959</v>
      </c>
      <c r="D229" s="3">
        <v>933198598</v>
      </c>
      <c r="E229" s="3" t="s">
        <v>1004</v>
      </c>
      <c r="F229" s="3" t="s">
        <v>995</v>
      </c>
      <c r="G229" s="3" t="s">
        <v>996</v>
      </c>
      <c r="H229" s="3" t="s">
        <v>633</v>
      </c>
      <c r="I229" s="3" t="s">
        <v>634</v>
      </c>
      <c r="J229" s="3">
        <v>110</v>
      </c>
      <c r="K229" s="3">
        <v>7.01</v>
      </c>
      <c r="L229" s="3" t="s">
        <v>643</v>
      </c>
    </row>
    <row r="230" spans="1:12" ht="14.5" x14ac:dyDescent="0.35">
      <c r="A230" s="3" t="s">
        <v>239</v>
      </c>
      <c r="B230" s="3" t="s">
        <v>240</v>
      </c>
      <c r="C230" s="3" t="s">
        <v>1005</v>
      </c>
      <c r="D230" s="6"/>
      <c r="E230" s="3" t="s">
        <v>1006</v>
      </c>
      <c r="F230" s="3" t="s">
        <v>995</v>
      </c>
      <c r="G230" s="3" t="s">
        <v>996</v>
      </c>
      <c r="H230" s="3" t="s">
        <v>633</v>
      </c>
      <c r="I230" s="3" t="s">
        <v>634</v>
      </c>
      <c r="J230" s="3">
        <v>123</v>
      </c>
      <c r="K230" s="3">
        <v>8.4</v>
      </c>
      <c r="L230" s="3" t="s">
        <v>635</v>
      </c>
    </row>
    <row r="231" spans="1:12" ht="14.5" x14ac:dyDescent="0.35">
      <c r="A231" s="3" t="s">
        <v>242</v>
      </c>
      <c r="B231" s="3" t="s">
        <v>243</v>
      </c>
      <c r="C231" s="4">
        <v>38057</v>
      </c>
      <c r="D231" s="6"/>
      <c r="E231" s="3" t="s">
        <v>1007</v>
      </c>
      <c r="F231" s="3" t="s">
        <v>995</v>
      </c>
      <c r="G231" s="3" t="s">
        <v>996</v>
      </c>
      <c r="H231" s="3" t="s">
        <v>633</v>
      </c>
      <c r="I231" s="3" t="s">
        <v>634</v>
      </c>
      <c r="J231" s="3">
        <v>123</v>
      </c>
      <c r="K231" s="3">
        <v>8.51</v>
      </c>
      <c r="L231" s="3" t="s">
        <v>635</v>
      </c>
    </row>
    <row r="232" spans="1:12" ht="14.5" x14ac:dyDescent="0.35">
      <c r="A232" s="3" t="s">
        <v>553</v>
      </c>
      <c r="B232" s="3" t="s">
        <v>554</v>
      </c>
      <c r="C232" s="5">
        <v>38302</v>
      </c>
      <c r="D232" s="3">
        <v>961397040</v>
      </c>
      <c r="E232" s="3" t="s">
        <v>1008</v>
      </c>
      <c r="F232" s="3" t="s">
        <v>995</v>
      </c>
      <c r="G232" s="3" t="s">
        <v>996</v>
      </c>
      <c r="H232" s="3" t="s">
        <v>633</v>
      </c>
      <c r="I232" s="3" t="s">
        <v>634</v>
      </c>
      <c r="J232" s="3">
        <v>114</v>
      </c>
      <c r="K232" s="3">
        <v>7.22</v>
      </c>
      <c r="L232" s="3" t="s">
        <v>643</v>
      </c>
    </row>
    <row r="233" spans="1:12" ht="14.5" x14ac:dyDescent="0.35">
      <c r="A233" s="3" t="s">
        <v>165</v>
      </c>
      <c r="B233" s="3" t="s">
        <v>166</v>
      </c>
      <c r="C233" s="3" t="s">
        <v>1009</v>
      </c>
      <c r="D233" s="6"/>
      <c r="E233" s="3" t="s">
        <v>1010</v>
      </c>
      <c r="F233" s="3" t="s">
        <v>995</v>
      </c>
      <c r="G233" s="3" t="s">
        <v>996</v>
      </c>
      <c r="H233" s="3" t="s">
        <v>633</v>
      </c>
      <c r="I233" s="3" t="s">
        <v>634</v>
      </c>
      <c r="J233" s="3">
        <v>123</v>
      </c>
      <c r="K233" s="3">
        <v>7.8</v>
      </c>
      <c r="L233" s="3" t="s">
        <v>643</v>
      </c>
    </row>
    <row r="234" spans="1:12" ht="14.5" x14ac:dyDescent="0.35">
      <c r="A234" s="3" t="s">
        <v>205</v>
      </c>
      <c r="B234" s="3" t="s">
        <v>206</v>
      </c>
      <c r="C234" s="3" t="s">
        <v>677</v>
      </c>
      <c r="D234" s="3">
        <v>368300736</v>
      </c>
      <c r="E234" s="3" t="s">
        <v>1011</v>
      </c>
      <c r="F234" s="3" t="s">
        <v>995</v>
      </c>
      <c r="G234" s="3" t="s">
        <v>996</v>
      </c>
      <c r="H234" s="3" t="s">
        <v>633</v>
      </c>
      <c r="I234" s="3" t="s">
        <v>673</v>
      </c>
      <c r="J234" s="3">
        <v>123</v>
      </c>
      <c r="K234" s="3">
        <v>7.57</v>
      </c>
      <c r="L234" s="3" t="s">
        <v>643</v>
      </c>
    </row>
    <row r="235" spans="1:12" ht="14.5" x14ac:dyDescent="0.35">
      <c r="A235" s="3" t="s">
        <v>90</v>
      </c>
      <c r="B235" s="3" t="s">
        <v>91</v>
      </c>
      <c r="C235" s="3" t="s">
        <v>1012</v>
      </c>
      <c r="D235" s="6"/>
      <c r="E235" s="3" t="s">
        <v>1013</v>
      </c>
      <c r="F235" s="3" t="s">
        <v>995</v>
      </c>
      <c r="G235" s="3" t="s">
        <v>996</v>
      </c>
      <c r="H235" s="3" t="s">
        <v>633</v>
      </c>
      <c r="I235" s="3" t="s">
        <v>634</v>
      </c>
      <c r="J235" s="3">
        <v>123</v>
      </c>
      <c r="K235" s="3">
        <v>8.51</v>
      </c>
      <c r="L235" s="3" t="s">
        <v>635</v>
      </c>
    </row>
    <row r="236" spans="1:12" ht="14.5" x14ac:dyDescent="0.35">
      <c r="A236" s="3" t="s">
        <v>92</v>
      </c>
      <c r="B236" s="3" t="s">
        <v>93</v>
      </c>
      <c r="C236" s="3" t="s">
        <v>1014</v>
      </c>
      <c r="D236" s="3">
        <v>399884721</v>
      </c>
      <c r="E236" s="3" t="s">
        <v>1015</v>
      </c>
      <c r="F236" s="3" t="s">
        <v>995</v>
      </c>
      <c r="G236" s="3" t="s">
        <v>996</v>
      </c>
      <c r="H236" s="3" t="s">
        <v>633</v>
      </c>
      <c r="I236" s="3" t="s">
        <v>634</v>
      </c>
      <c r="J236" s="3">
        <v>123</v>
      </c>
      <c r="K236" s="3">
        <v>7.64</v>
      </c>
      <c r="L236" s="3" t="s">
        <v>643</v>
      </c>
    </row>
    <row r="237" spans="1:12" ht="14.5" x14ac:dyDescent="0.35">
      <c r="A237" s="3" t="s">
        <v>113</v>
      </c>
      <c r="B237" s="3" t="s">
        <v>1016</v>
      </c>
      <c r="C237" s="3" t="s">
        <v>778</v>
      </c>
      <c r="D237" s="3">
        <v>818239100</v>
      </c>
      <c r="E237" s="3" t="s">
        <v>1017</v>
      </c>
      <c r="F237" s="3" t="s">
        <v>995</v>
      </c>
      <c r="G237" s="3" t="s">
        <v>996</v>
      </c>
      <c r="H237" s="3" t="s">
        <v>633</v>
      </c>
      <c r="I237" s="3" t="s">
        <v>634</v>
      </c>
      <c r="J237" s="3">
        <v>123</v>
      </c>
      <c r="K237" s="3">
        <v>8.02</v>
      </c>
      <c r="L237" s="3" t="s">
        <v>635</v>
      </c>
    </row>
    <row r="238" spans="1:12" ht="14.5" x14ac:dyDescent="0.35">
      <c r="A238" s="3" t="s">
        <v>95</v>
      </c>
      <c r="B238" s="3" t="s">
        <v>1018</v>
      </c>
      <c r="C238" s="5">
        <v>38301</v>
      </c>
      <c r="D238" s="3">
        <v>828551004</v>
      </c>
      <c r="E238" s="3" t="s">
        <v>1019</v>
      </c>
      <c r="F238" s="3" t="s">
        <v>995</v>
      </c>
      <c r="G238" s="3" t="s">
        <v>996</v>
      </c>
      <c r="H238" s="3" t="s">
        <v>633</v>
      </c>
      <c r="I238" s="3" t="s">
        <v>634</v>
      </c>
      <c r="J238" s="3">
        <v>123</v>
      </c>
      <c r="K238" s="3">
        <v>8.08</v>
      </c>
      <c r="L238" s="3" t="s">
        <v>635</v>
      </c>
    </row>
    <row r="239" spans="1:12" ht="14.5" x14ac:dyDescent="0.35">
      <c r="A239" s="3" t="s">
        <v>225</v>
      </c>
      <c r="B239" s="3" t="s">
        <v>226</v>
      </c>
      <c r="C239" s="3" t="s">
        <v>992</v>
      </c>
      <c r="D239" s="3">
        <v>902943692</v>
      </c>
      <c r="E239" s="3" t="s">
        <v>1020</v>
      </c>
      <c r="F239" s="3" t="s">
        <v>995</v>
      </c>
      <c r="G239" s="3" t="s">
        <v>996</v>
      </c>
      <c r="H239" s="3" t="s">
        <v>633</v>
      </c>
      <c r="I239" s="3" t="s">
        <v>673</v>
      </c>
      <c r="J239" s="3">
        <v>123</v>
      </c>
      <c r="K239" s="3">
        <v>7.36</v>
      </c>
      <c r="L239" s="3" t="s">
        <v>643</v>
      </c>
    </row>
    <row r="240" spans="1:12" ht="14.5" x14ac:dyDescent="0.35">
      <c r="A240" s="3" t="s">
        <v>168</v>
      </c>
      <c r="B240" s="3" t="s">
        <v>169</v>
      </c>
      <c r="C240" s="4">
        <v>38177</v>
      </c>
      <c r="D240" s="3">
        <v>797367864</v>
      </c>
      <c r="E240" s="3" t="s">
        <v>1021</v>
      </c>
      <c r="F240" s="3" t="s">
        <v>995</v>
      </c>
      <c r="G240" s="3" t="s">
        <v>996</v>
      </c>
      <c r="H240" s="3" t="s">
        <v>633</v>
      </c>
      <c r="I240" s="3" t="s">
        <v>634</v>
      </c>
      <c r="J240" s="3">
        <v>123</v>
      </c>
      <c r="K240" s="3">
        <v>8.36</v>
      </c>
      <c r="L240" s="3" t="s">
        <v>635</v>
      </c>
    </row>
    <row r="241" spans="1:12" ht="14.5" x14ac:dyDescent="0.35">
      <c r="A241" s="3" t="s">
        <v>44</v>
      </c>
      <c r="B241" s="3" t="s">
        <v>45</v>
      </c>
      <c r="C241" s="3" t="s">
        <v>828</v>
      </c>
      <c r="D241" s="3">
        <v>335394616</v>
      </c>
      <c r="E241" s="3" t="s">
        <v>1022</v>
      </c>
      <c r="F241" s="3" t="s">
        <v>995</v>
      </c>
      <c r="G241" s="3" t="s">
        <v>996</v>
      </c>
      <c r="H241" s="3" t="s">
        <v>633</v>
      </c>
      <c r="I241" s="3" t="s">
        <v>634</v>
      </c>
      <c r="J241" s="3">
        <v>123</v>
      </c>
      <c r="K241" s="3">
        <v>8.1999999999999993</v>
      </c>
      <c r="L241" s="3" t="s">
        <v>635</v>
      </c>
    </row>
    <row r="242" spans="1:12" ht="14.5" x14ac:dyDescent="0.35">
      <c r="A242" s="3" t="s">
        <v>228</v>
      </c>
      <c r="B242" s="3" t="s">
        <v>229</v>
      </c>
      <c r="C242" s="4">
        <v>38029</v>
      </c>
      <c r="D242" s="3">
        <v>354642408</v>
      </c>
      <c r="E242" s="3" t="s">
        <v>1023</v>
      </c>
      <c r="F242" s="3" t="s">
        <v>995</v>
      </c>
      <c r="G242" s="3" t="s">
        <v>996</v>
      </c>
      <c r="H242" s="3" t="s">
        <v>633</v>
      </c>
      <c r="I242" s="3" t="s">
        <v>634</v>
      </c>
      <c r="J242" s="3">
        <v>111</v>
      </c>
      <c r="K242" s="3">
        <v>6.76</v>
      </c>
      <c r="L242" s="3" t="s">
        <v>696</v>
      </c>
    </row>
    <row r="243" spans="1:12" ht="14.5" x14ac:dyDescent="0.35">
      <c r="A243" s="3" t="s">
        <v>231</v>
      </c>
      <c r="B243" s="3" t="s">
        <v>232</v>
      </c>
      <c r="C243" s="4">
        <v>38268</v>
      </c>
      <c r="D243" s="3">
        <v>905095331</v>
      </c>
      <c r="E243" s="3" t="s">
        <v>1024</v>
      </c>
      <c r="F243" s="3" t="s">
        <v>995</v>
      </c>
      <c r="G243" s="3" t="s">
        <v>996</v>
      </c>
      <c r="H243" s="3" t="s">
        <v>633</v>
      </c>
      <c r="I243" s="3" t="s">
        <v>634</v>
      </c>
      <c r="J243" s="3">
        <v>123</v>
      </c>
      <c r="K243" s="3">
        <v>7.37</v>
      </c>
      <c r="L243" s="3" t="s">
        <v>643</v>
      </c>
    </row>
    <row r="244" spans="1:12" ht="14.5" x14ac:dyDescent="0.35">
      <c r="A244" s="3" t="s">
        <v>46</v>
      </c>
      <c r="B244" s="3" t="s">
        <v>47</v>
      </c>
      <c r="C244" s="3" t="s">
        <v>1025</v>
      </c>
      <c r="D244" s="3">
        <v>707628369</v>
      </c>
      <c r="E244" s="3" t="s">
        <v>1026</v>
      </c>
      <c r="F244" s="3" t="s">
        <v>995</v>
      </c>
      <c r="G244" s="3" t="s">
        <v>996</v>
      </c>
      <c r="H244" s="3" t="s">
        <v>633</v>
      </c>
      <c r="I244" s="3" t="s">
        <v>634</v>
      </c>
      <c r="J244" s="3">
        <v>123</v>
      </c>
      <c r="K244" s="3">
        <v>8</v>
      </c>
      <c r="L244" s="3" t="s">
        <v>635</v>
      </c>
    </row>
    <row r="245" spans="1:12" ht="14.5" x14ac:dyDescent="0.35">
      <c r="A245" s="3" t="s">
        <v>234</v>
      </c>
      <c r="B245" s="3" t="s">
        <v>235</v>
      </c>
      <c r="C245" s="3" t="s">
        <v>1027</v>
      </c>
      <c r="D245" s="3">
        <v>374546281</v>
      </c>
      <c r="E245" s="3" t="s">
        <v>1028</v>
      </c>
      <c r="F245" s="3" t="s">
        <v>995</v>
      </c>
      <c r="G245" s="3" t="s">
        <v>996</v>
      </c>
      <c r="H245" s="3" t="s">
        <v>633</v>
      </c>
      <c r="I245" s="3" t="s">
        <v>634</v>
      </c>
      <c r="J245" s="3">
        <v>123</v>
      </c>
      <c r="K245" s="3">
        <v>8</v>
      </c>
      <c r="L245" s="3" t="s">
        <v>635</v>
      </c>
    </row>
    <row r="246" spans="1:12" ht="14.5" x14ac:dyDescent="0.35">
      <c r="A246" s="3" t="s">
        <v>237</v>
      </c>
      <c r="B246" s="3" t="s">
        <v>238</v>
      </c>
      <c r="C246" s="3" t="s">
        <v>1029</v>
      </c>
      <c r="D246" s="3">
        <v>931430750</v>
      </c>
      <c r="E246" s="3" t="s">
        <v>1030</v>
      </c>
      <c r="F246" s="3" t="s">
        <v>995</v>
      </c>
      <c r="G246" s="3" t="s">
        <v>996</v>
      </c>
      <c r="H246" s="3" t="s">
        <v>633</v>
      </c>
      <c r="I246" s="3" t="s">
        <v>673</v>
      </c>
      <c r="J246" s="3">
        <v>123</v>
      </c>
      <c r="K246" s="3">
        <v>7.32</v>
      </c>
      <c r="L246" s="3" t="s">
        <v>643</v>
      </c>
    </row>
    <row r="247" spans="1:12" ht="14.5" x14ac:dyDescent="0.35">
      <c r="A247" s="3" t="s">
        <v>613</v>
      </c>
      <c r="B247" s="3" t="s">
        <v>614</v>
      </c>
      <c r="C247" s="4">
        <v>38330</v>
      </c>
      <c r="D247" s="3">
        <v>368331836</v>
      </c>
      <c r="E247" s="3" t="s">
        <v>1031</v>
      </c>
      <c r="F247" s="3" t="s">
        <v>995</v>
      </c>
      <c r="G247" s="3" t="s">
        <v>996</v>
      </c>
      <c r="H247" s="3" t="s">
        <v>633</v>
      </c>
      <c r="I247" s="3" t="s">
        <v>673</v>
      </c>
      <c r="J247" s="3">
        <v>123</v>
      </c>
      <c r="K247" s="3">
        <v>7.58</v>
      </c>
      <c r="L247" s="3" t="s">
        <v>643</v>
      </c>
    </row>
    <row r="248" spans="1:12" ht="14.5" x14ac:dyDescent="0.35">
      <c r="A248" s="3" t="s">
        <v>146</v>
      </c>
      <c r="B248" s="3" t="s">
        <v>147</v>
      </c>
      <c r="C248" s="3" t="s">
        <v>1032</v>
      </c>
      <c r="D248" s="3">
        <v>933614637</v>
      </c>
      <c r="E248" s="3" t="s">
        <v>1033</v>
      </c>
      <c r="F248" s="3" t="s">
        <v>995</v>
      </c>
      <c r="G248" s="3" t="s">
        <v>996</v>
      </c>
      <c r="H248" s="3" t="s">
        <v>633</v>
      </c>
      <c r="I248" s="3" t="s">
        <v>634</v>
      </c>
      <c r="J248" s="3">
        <v>123</v>
      </c>
      <c r="K248" s="3">
        <v>7.75</v>
      </c>
      <c r="L248" s="3" t="s">
        <v>643</v>
      </c>
    </row>
    <row r="249" spans="1:12" ht="14.5" x14ac:dyDescent="0.35">
      <c r="A249" s="3" t="s">
        <v>13</v>
      </c>
      <c r="B249" s="3" t="s">
        <v>1034</v>
      </c>
      <c r="C249" s="4">
        <v>38322</v>
      </c>
      <c r="D249" s="3">
        <v>788826928</v>
      </c>
      <c r="E249" s="3" t="s">
        <v>1035</v>
      </c>
      <c r="F249" s="3" t="s">
        <v>995</v>
      </c>
      <c r="G249" s="3" t="s">
        <v>996</v>
      </c>
      <c r="H249" s="3" t="s">
        <v>633</v>
      </c>
      <c r="I249" s="3" t="s">
        <v>634</v>
      </c>
      <c r="J249" s="3">
        <v>120</v>
      </c>
      <c r="K249" s="3">
        <v>7.47</v>
      </c>
      <c r="L249" s="3" t="s">
        <v>643</v>
      </c>
    </row>
    <row r="250" spans="1:12" ht="14.5" x14ac:dyDescent="0.35">
      <c r="A250" s="3" t="s">
        <v>221</v>
      </c>
      <c r="B250" s="3" t="s">
        <v>222</v>
      </c>
      <c r="C250" s="4">
        <v>38203</v>
      </c>
      <c r="D250" s="3">
        <v>911123200</v>
      </c>
      <c r="E250" s="3" t="s">
        <v>1036</v>
      </c>
      <c r="F250" s="3" t="s">
        <v>995</v>
      </c>
      <c r="G250" s="3" t="s">
        <v>996</v>
      </c>
      <c r="H250" s="3" t="s">
        <v>633</v>
      </c>
      <c r="I250" s="3" t="s">
        <v>673</v>
      </c>
      <c r="J250" s="3">
        <v>123</v>
      </c>
      <c r="K250" s="3">
        <v>7.83</v>
      </c>
      <c r="L250" s="3" t="s">
        <v>643</v>
      </c>
    </row>
    <row r="251" spans="1:12" ht="14.5" x14ac:dyDescent="0.35">
      <c r="A251" s="3" t="s">
        <v>170</v>
      </c>
      <c r="B251" s="3" t="s">
        <v>171</v>
      </c>
      <c r="C251" s="4">
        <v>38079</v>
      </c>
      <c r="D251" s="3">
        <v>903072597</v>
      </c>
      <c r="E251" s="3" t="s">
        <v>1037</v>
      </c>
      <c r="F251" s="3" t="s">
        <v>995</v>
      </c>
      <c r="G251" s="3" t="s">
        <v>996</v>
      </c>
      <c r="H251" s="3" t="s">
        <v>633</v>
      </c>
      <c r="I251" s="3" t="s">
        <v>634</v>
      </c>
      <c r="J251" s="3">
        <v>123</v>
      </c>
      <c r="K251" s="3">
        <v>8.3699999999999992</v>
      </c>
      <c r="L251" s="3" t="s">
        <v>635</v>
      </c>
    </row>
    <row r="252" spans="1:12" ht="14.5" x14ac:dyDescent="0.35">
      <c r="A252" s="3" t="s">
        <v>68</v>
      </c>
      <c r="B252" s="3" t="s">
        <v>69</v>
      </c>
      <c r="C252" s="3" t="s">
        <v>1038</v>
      </c>
      <c r="D252" s="3">
        <v>393364481</v>
      </c>
      <c r="E252" s="3" t="s">
        <v>1039</v>
      </c>
      <c r="F252" s="3" t="s">
        <v>995</v>
      </c>
      <c r="G252" s="3" t="s">
        <v>996</v>
      </c>
      <c r="H252" s="3" t="s">
        <v>633</v>
      </c>
      <c r="I252" s="3" t="s">
        <v>673</v>
      </c>
      <c r="J252" s="3">
        <v>123</v>
      </c>
      <c r="K252" s="3">
        <v>7.78</v>
      </c>
      <c r="L252" s="3" t="s">
        <v>643</v>
      </c>
    </row>
    <row r="253" spans="1:12" ht="14.5" x14ac:dyDescent="0.35">
      <c r="A253" s="3" t="s">
        <v>369</v>
      </c>
      <c r="B253" s="3" t="s">
        <v>370</v>
      </c>
      <c r="C253" s="3" t="s">
        <v>1040</v>
      </c>
      <c r="D253" s="3">
        <v>355434805</v>
      </c>
      <c r="E253" s="3" t="s">
        <v>1041</v>
      </c>
      <c r="F253" s="3" t="s">
        <v>995</v>
      </c>
      <c r="G253" s="3" t="s">
        <v>996</v>
      </c>
      <c r="H253" s="3" t="s">
        <v>633</v>
      </c>
      <c r="I253" s="3" t="s">
        <v>634</v>
      </c>
      <c r="J253" s="3">
        <v>123</v>
      </c>
      <c r="K253" s="3">
        <v>8.1999999999999993</v>
      </c>
      <c r="L253" s="3" t="s">
        <v>635</v>
      </c>
    </row>
    <row r="254" spans="1:12" ht="14.5" x14ac:dyDescent="0.35">
      <c r="A254" s="3" t="s">
        <v>149</v>
      </c>
      <c r="B254" s="3" t="s">
        <v>150</v>
      </c>
      <c r="C254" s="4">
        <v>38297</v>
      </c>
      <c r="D254" s="3">
        <v>782674148</v>
      </c>
      <c r="E254" s="3" t="s">
        <v>1042</v>
      </c>
      <c r="F254" s="3" t="s">
        <v>995</v>
      </c>
      <c r="G254" s="3" t="s">
        <v>996</v>
      </c>
      <c r="H254" s="3" t="s">
        <v>633</v>
      </c>
      <c r="I254" s="3" t="s">
        <v>634</v>
      </c>
      <c r="J254" s="3">
        <v>123</v>
      </c>
      <c r="K254" s="3">
        <v>7.74</v>
      </c>
      <c r="L254" s="3" t="s">
        <v>643</v>
      </c>
    </row>
    <row r="255" spans="1:12" ht="14.5" x14ac:dyDescent="0.35">
      <c r="A255" s="3" t="s">
        <v>116</v>
      </c>
      <c r="B255" s="3" t="s">
        <v>117</v>
      </c>
      <c r="C255" s="3" t="s">
        <v>1043</v>
      </c>
      <c r="D255" s="3">
        <v>909757844</v>
      </c>
      <c r="E255" s="3" t="s">
        <v>1044</v>
      </c>
      <c r="F255" s="3" t="s">
        <v>995</v>
      </c>
      <c r="G255" s="3" t="s">
        <v>996</v>
      </c>
      <c r="H255" s="3" t="s">
        <v>633</v>
      </c>
      <c r="I255" s="3" t="s">
        <v>634</v>
      </c>
      <c r="J255" s="3">
        <v>123</v>
      </c>
      <c r="K255" s="3">
        <v>7.7</v>
      </c>
      <c r="L255" s="3" t="s">
        <v>643</v>
      </c>
    </row>
    <row r="256" spans="1:12" ht="14.5" x14ac:dyDescent="0.35">
      <c r="A256" s="3" t="s">
        <v>223</v>
      </c>
      <c r="B256" s="3" t="s">
        <v>224</v>
      </c>
      <c r="C256" s="3" t="s">
        <v>732</v>
      </c>
      <c r="D256" s="3">
        <v>389538494</v>
      </c>
      <c r="E256" s="3" t="s">
        <v>1045</v>
      </c>
      <c r="F256" s="3" t="s">
        <v>995</v>
      </c>
      <c r="G256" s="3" t="s">
        <v>996</v>
      </c>
      <c r="H256" s="3" t="s">
        <v>633</v>
      </c>
      <c r="I256" s="3" t="s">
        <v>634</v>
      </c>
      <c r="J256" s="3">
        <v>123</v>
      </c>
      <c r="K256" s="3">
        <v>8.18</v>
      </c>
      <c r="L256" s="3" t="s">
        <v>635</v>
      </c>
    </row>
    <row r="257" spans="1:12" ht="14.5" x14ac:dyDescent="0.35">
      <c r="A257" s="3" t="s">
        <v>395</v>
      </c>
      <c r="B257" s="3" t="s">
        <v>396</v>
      </c>
      <c r="C257" s="3" t="s">
        <v>1046</v>
      </c>
      <c r="D257" s="3">
        <v>336920248</v>
      </c>
      <c r="E257" s="3" t="s">
        <v>1047</v>
      </c>
      <c r="F257" s="3" t="s">
        <v>995</v>
      </c>
      <c r="G257" s="3" t="s">
        <v>996</v>
      </c>
      <c r="H257" s="3" t="s">
        <v>633</v>
      </c>
      <c r="I257" s="3" t="s">
        <v>634</v>
      </c>
      <c r="J257" s="3">
        <v>123</v>
      </c>
      <c r="K257" s="3">
        <v>7.5</v>
      </c>
      <c r="L257" s="3" t="s">
        <v>643</v>
      </c>
    </row>
    <row r="258" spans="1:12" ht="14.5" x14ac:dyDescent="0.35">
      <c r="A258" s="3" t="s">
        <v>381</v>
      </c>
      <c r="B258" s="3" t="s">
        <v>382</v>
      </c>
      <c r="C258" s="3" t="s">
        <v>1048</v>
      </c>
      <c r="D258" s="6"/>
      <c r="E258" s="3" t="s">
        <v>1049</v>
      </c>
      <c r="F258" s="3">
        <v>414</v>
      </c>
      <c r="G258" s="3" t="s">
        <v>892</v>
      </c>
      <c r="H258" s="3" t="s">
        <v>633</v>
      </c>
      <c r="I258" s="3" t="s">
        <v>634</v>
      </c>
      <c r="J258" s="3">
        <v>123</v>
      </c>
      <c r="K258" s="3">
        <v>7.66</v>
      </c>
      <c r="L258" s="3" t="s">
        <v>643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sheetViews>
  <sheetFormatPr defaultColWidth="12.54296875" defaultRowHeight="15" customHeight="1" x14ac:dyDescent="0.25"/>
  <sheetData>
    <row r="1" spans="1:3" ht="15" customHeight="1" x14ac:dyDescent="0.25">
      <c r="B1" s="7" t="s">
        <v>4</v>
      </c>
      <c r="C1" s="7" t="s">
        <v>1050</v>
      </c>
    </row>
    <row r="2" spans="1:3" ht="15" customHeight="1" x14ac:dyDescent="0.25">
      <c r="A2" s="7" t="s">
        <v>1051</v>
      </c>
      <c r="B2" s="7">
        <v>1</v>
      </c>
      <c r="C2" s="7" t="e">
        <f>COUNTIF('Phân công'!#REF!,B2)</f>
        <v>#REF!</v>
      </c>
    </row>
    <row r="3" spans="1:3" ht="15" customHeight="1" x14ac:dyDescent="0.25">
      <c r="A3" s="7" t="s">
        <v>1051</v>
      </c>
      <c r="B3" s="7">
        <v>2</v>
      </c>
      <c r="C3" s="7" t="e">
        <f>COUNTIF('Phân công'!#REF!,B3)</f>
        <v>#REF!</v>
      </c>
    </row>
    <row r="4" spans="1:3" ht="15" customHeight="1" x14ac:dyDescent="0.25">
      <c r="A4" s="7" t="s">
        <v>1051</v>
      </c>
      <c r="B4" s="7">
        <v>3</v>
      </c>
      <c r="C4" s="7" t="e">
        <f>COUNTIF('Phân công'!#REF!,B4)</f>
        <v>#REF!</v>
      </c>
    </row>
    <row r="5" spans="1:3" ht="15" customHeight="1" x14ac:dyDescent="0.25">
      <c r="A5" s="7" t="s">
        <v>1051</v>
      </c>
      <c r="B5" s="7">
        <v>4</v>
      </c>
      <c r="C5" s="7" t="e">
        <f>COUNTIF('Phân công'!#REF!,B5)</f>
        <v>#REF!</v>
      </c>
    </row>
    <row r="6" spans="1:3" ht="15" customHeight="1" x14ac:dyDescent="0.25">
      <c r="A6" s="7" t="s">
        <v>1051</v>
      </c>
      <c r="B6" s="7">
        <v>5</v>
      </c>
      <c r="C6" s="7" t="e">
        <f>COUNTIF('Phân công'!#REF!,B6)</f>
        <v>#REF!</v>
      </c>
    </row>
    <row r="7" spans="1:3" ht="15" customHeight="1" x14ac:dyDescent="0.25">
      <c r="A7" s="7" t="s">
        <v>1051</v>
      </c>
      <c r="B7" s="7">
        <v>6</v>
      </c>
      <c r="C7" s="7" t="e">
        <f>COUNTIF('Phân công'!#REF!,B7)</f>
        <v>#REF!</v>
      </c>
    </row>
    <row r="8" spans="1:3" ht="15" customHeight="1" x14ac:dyDescent="0.25">
      <c r="A8" s="7" t="s">
        <v>1051</v>
      </c>
      <c r="B8" s="7">
        <v>7</v>
      </c>
      <c r="C8" s="7" t="e">
        <f>COUNTIF('Phân công'!#REF!,B8)</f>
        <v>#REF!</v>
      </c>
    </row>
    <row r="9" spans="1:3" ht="15" customHeight="1" x14ac:dyDescent="0.25">
      <c r="A9" s="7" t="s">
        <v>1051</v>
      </c>
      <c r="B9" s="7">
        <v>8</v>
      </c>
      <c r="C9" s="7" t="e">
        <f>COUNTIF('Phân công'!#REF!,B9)</f>
        <v>#REF!</v>
      </c>
    </row>
    <row r="10" spans="1:3" ht="15" customHeight="1" x14ac:dyDescent="0.25">
      <c r="A10" s="7" t="s">
        <v>631</v>
      </c>
      <c r="B10" s="7">
        <v>9</v>
      </c>
      <c r="C10" s="7" t="e">
        <f>COUNTIF('Phân công'!#REF!,B10)</f>
        <v>#REF!</v>
      </c>
    </row>
    <row r="11" spans="1:3" ht="15" customHeight="1" x14ac:dyDescent="0.25">
      <c r="A11" s="7" t="s">
        <v>1052</v>
      </c>
      <c r="B11" s="7">
        <v>10</v>
      </c>
      <c r="C11" s="7" t="e">
        <f>COUNTIF('Phân công'!#REF!,B11)</f>
        <v>#REF!</v>
      </c>
    </row>
    <row r="12" spans="1:3" ht="15" customHeight="1" x14ac:dyDescent="0.25">
      <c r="A12" s="7" t="s">
        <v>1053</v>
      </c>
      <c r="B12" s="7">
        <v>11</v>
      </c>
      <c r="C12" s="7" t="e">
        <f>COUNTIF('Phân công'!#REF!,B12)</f>
        <v>#REF!</v>
      </c>
    </row>
    <row r="13" spans="1:3" ht="15" customHeight="1" x14ac:dyDescent="0.25">
      <c r="A13" s="7" t="s">
        <v>1053</v>
      </c>
      <c r="B13" s="7">
        <v>12</v>
      </c>
      <c r="C13" s="7" t="e">
        <f>COUNTIF('Phân công'!#REF!,B13)</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O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4296875" defaultRowHeight="15" customHeight="1" x14ac:dyDescent="0.25"/>
  <cols>
    <col min="1" max="1" width="26.26953125" customWidth="1"/>
    <col min="2" max="57" width="5.54296875" customWidth="1"/>
    <col min="58" max="58" width="16.81640625" customWidth="1"/>
    <col min="59" max="62" width="14.1796875" customWidth="1"/>
    <col min="63" max="63" width="17.26953125" customWidth="1"/>
    <col min="64" max="64" width="25.7265625" customWidth="1"/>
    <col min="65" max="65" width="12.7265625" customWidth="1"/>
    <col min="66" max="66" width="19.453125" customWidth="1"/>
    <col min="67" max="67" width="12.7265625" customWidth="1"/>
  </cols>
  <sheetData>
    <row r="1" spans="1:67" ht="15.75" customHeight="1" x14ac:dyDescent="0.35">
      <c r="A1" s="8"/>
      <c r="B1" s="66" t="s">
        <v>2</v>
      </c>
      <c r="C1" s="67"/>
      <c r="D1" s="67"/>
      <c r="E1" s="67"/>
      <c r="F1" s="67"/>
      <c r="G1" s="67"/>
      <c r="H1" s="67"/>
      <c r="I1" s="68"/>
      <c r="J1" s="66" t="s">
        <v>1054</v>
      </c>
      <c r="K1" s="67"/>
      <c r="L1" s="67"/>
      <c r="M1" s="67"/>
      <c r="N1" s="67"/>
      <c r="O1" s="67"/>
      <c r="P1" s="67"/>
      <c r="Q1" s="68"/>
      <c r="R1" s="66" t="s">
        <v>1055</v>
      </c>
      <c r="S1" s="67"/>
      <c r="T1" s="67"/>
      <c r="U1" s="67"/>
      <c r="V1" s="67"/>
      <c r="W1" s="67"/>
      <c r="X1" s="67"/>
      <c r="Y1" s="68"/>
      <c r="Z1" s="66" t="s">
        <v>1056</v>
      </c>
      <c r="AA1" s="67"/>
      <c r="AB1" s="67"/>
      <c r="AC1" s="67"/>
      <c r="AD1" s="67"/>
      <c r="AE1" s="67"/>
      <c r="AF1" s="67"/>
      <c r="AG1" s="68"/>
      <c r="AH1" s="66" t="s">
        <v>1057</v>
      </c>
      <c r="AI1" s="67"/>
      <c r="AJ1" s="67"/>
      <c r="AK1" s="67"/>
      <c r="AL1" s="67"/>
      <c r="AM1" s="67"/>
      <c r="AN1" s="67"/>
      <c r="AO1" s="68"/>
      <c r="AP1" s="66" t="s">
        <v>1058</v>
      </c>
      <c r="AQ1" s="67"/>
      <c r="AR1" s="67"/>
      <c r="AS1" s="67"/>
      <c r="AT1" s="67"/>
      <c r="AU1" s="67"/>
      <c r="AV1" s="67"/>
      <c r="AW1" s="68"/>
      <c r="AX1" s="66" t="s">
        <v>1059</v>
      </c>
      <c r="AY1" s="67"/>
      <c r="AZ1" s="67"/>
      <c r="BA1" s="67"/>
      <c r="BB1" s="67"/>
      <c r="BC1" s="67"/>
      <c r="BD1" s="67"/>
      <c r="BE1" s="68"/>
      <c r="BF1" s="9" t="s">
        <v>1060</v>
      </c>
      <c r="BG1" s="9" t="s">
        <v>1055</v>
      </c>
      <c r="BH1" s="9" t="s">
        <v>1056</v>
      </c>
      <c r="BI1" s="9" t="s">
        <v>1061</v>
      </c>
      <c r="BJ1" s="9" t="s">
        <v>1062</v>
      </c>
      <c r="BK1" s="9" t="s">
        <v>1054</v>
      </c>
      <c r="BL1" s="64" t="s">
        <v>1063</v>
      </c>
      <c r="BM1" s="64" t="s">
        <v>1064</v>
      </c>
      <c r="BN1" s="64" t="s">
        <v>1065</v>
      </c>
      <c r="BO1" s="64" t="s">
        <v>1066</v>
      </c>
    </row>
    <row r="2" spans="1:67" ht="15.75" customHeight="1" x14ac:dyDescent="0.35">
      <c r="A2" s="10" t="s">
        <v>1067</v>
      </c>
      <c r="B2" s="11">
        <v>404</v>
      </c>
      <c r="C2" s="12">
        <v>412</v>
      </c>
      <c r="D2" s="13">
        <v>414</v>
      </c>
      <c r="E2" s="13" t="s">
        <v>631</v>
      </c>
      <c r="F2" s="14" t="s">
        <v>631</v>
      </c>
      <c r="G2" s="14" t="s">
        <v>995</v>
      </c>
      <c r="H2" s="14" t="s">
        <v>995</v>
      </c>
      <c r="I2" s="15" t="s">
        <v>1053</v>
      </c>
      <c r="J2" s="11">
        <v>404</v>
      </c>
      <c r="K2" s="12">
        <v>412</v>
      </c>
      <c r="L2" s="13">
        <v>414</v>
      </c>
      <c r="M2" s="13" t="s">
        <v>631</v>
      </c>
      <c r="N2" s="14" t="s">
        <v>631</v>
      </c>
      <c r="O2" s="14" t="s">
        <v>995</v>
      </c>
      <c r="P2" s="14" t="s">
        <v>995</v>
      </c>
      <c r="Q2" s="15" t="s">
        <v>1053</v>
      </c>
      <c r="R2" s="11">
        <v>404</v>
      </c>
      <c r="S2" s="12">
        <v>412</v>
      </c>
      <c r="T2" s="13">
        <v>414</v>
      </c>
      <c r="U2" s="13" t="s">
        <v>631</v>
      </c>
      <c r="V2" s="14" t="s">
        <v>631</v>
      </c>
      <c r="W2" s="14" t="s">
        <v>995</v>
      </c>
      <c r="X2" s="14" t="s">
        <v>995</v>
      </c>
      <c r="Y2" s="15" t="s">
        <v>1053</v>
      </c>
      <c r="Z2" s="11">
        <v>404</v>
      </c>
      <c r="AA2" s="12">
        <v>412</v>
      </c>
      <c r="AB2" s="13">
        <v>414</v>
      </c>
      <c r="AC2" s="13" t="s">
        <v>631</v>
      </c>
      <c r="AD2" s="14" t="s">
        <v>631</v>
      </c>
      <c r="AE2" s="14" t="s">
        <v>995</v>
      </c>
      <c r="AF2" s="14" t="s">
        <v>995</v>
      </c>
      <c r="AG2" s="15" t="s">
        <v>1053</v>
      </c>
      <c r="AH2" s="11">
        <v>404</v>
      </c>
      <c r="AI2" s="12">
        <v>412</v>
      </c>
      <c r="AJ2" s="13">
        <v>414</v>
      </c>
      <c r="AK2" s="13" t="s">
        <v>631</v>
      </c>
      <c r="AL2" s="14" t="s">
        <v>631</v>
      </c>
      <c r="AM2" s="14" t="s">
        <v>995</v>
      </c>
      <c r="AN2" s="14" t="s">
        <v>995</v>
      </c>
      <c r="AO2" s="15" t="s">
        <v>1053</v>
      </c>
      <c r="AP2" s="11">
        <v>404</v>
      </c>
      <c r="AQ2" s="12">
        <v>412</v>
      </c>
      <c r="AR2" s="13">
        <v>414</v>
      </c>
      <c r="AS2" s="13" t="s">
        <v>631</v>
      </c>
      <c r="AT2" s="14" t="s">
        <v>631</v>
      </c>
      <c r="AU2" s="14" t="s">
        <v>995</v>
      </c>
      <c r="AV2" s="14" t="s">
        <v>995</v>
      </c>
      <c r="AW2" s="15" t="s">
        <v>1053</v>
      </c>
      <c r="AX2" s="11">
        <v>404</v>
      </c>
      <c r="AY2" s="12">
        <v>412</v>
      </c>
      <c r="AZ2" s="13">
        <v>414</v>
      </c>
      <c r="BA2" s="13" t="s">
        <v>631</v>
      </c>
      <c r="BB2" s="14" t="s">
        <v>631</v>
      </c>
      <c r="BC2" s="14" t="s">
        <v>995</v>
      </c>
      <c r="BD2" s="14" t="s">
        <v>995</v>
      </c>
      <c r="BE2" s="15" t="s">
        <v>1053</v>
      </c>
      <c r="BF2" s="16">
        <v>420000</v>
      </c>
      <c r="BG2" s="16">
        <v>240000</v>
      </c>
      <c r="BH2" s="16">
        <v>150000</v>
      </c>
      <c r="BI2" s="16">
        <v>150000</v>
      </c>
      <c r="BJ2" s="17">
        <v>150000</v>
      </c>
      <c r="BK2" s="16">
        <v>720000</v>
      </c>
      <c r="BL2" s="65"/>
      <c r="BM2" s="65"/>
      <c r="BN2" s="65"/>
      <c r="BO2" s="65"/>
    </row>
    <row r="3" spans="1:67" ht="15.75" customHeight="1" x14ac:dyDescent="0.35">
      <c r="A3" s="18" t="s">
        <v>1068</v>
      </c>
      <c r="B3" s="19">
        <v>1</v>
      </c>
      <c r="C3" s="20">
        <v>1</v>
      </c>
      <c r="D3" s="21">
        <v>1</v>
      </c>
      <c r="E3" s="21">
        <v>1.5</v>
      </c>
      <c r="F3" s="21">
        <v>3</v>
      </c>
      <c r="G3" s="21">
        <v>1.5</v>
      </c>
      <c r="H3" s="22">
        <v>3</v>
      </c>
      <c r="I3" s="22">
        <v>3</v>
      </c>
      <c r="J3" s="19">
        <v>1</v>
      </c>
      <c r="K3" s="20">
        <v>1</v>
      </c>
      <c r="L3" s="21">
        <v>1</v>
      </c>
      <c r="M3" s="21">
        <v>1.5</v>
      </c>
      <c r="N3" s="21">
        <v>3</v>
      </c>
      <c r="O3" s="21">
        <v>1.5</v>
      </c>
      <c r="P3" s="22">
        <v>3</v>
      </c>
      <c r="Q3" s="22">
        <v>3</v>
      </c>
      <c r="R3" s="19">
        <v>1</v>
      </c>
      <c r="S3" s="20">
        <v>1</v>
      </c>
      <c r="T3" s="21">
        <v>1</v>
      </c>
      <c r="U3" s="21">
        <v>1.5</v>
      </c>
      <c r="V3" s="21">
        <v>3</v>
      </c>
      <c r="W3" s="21">
        <v>1.5</v>
      </c>
      <c r="X3" s="22">
        <v>3</v>
      </c>
      <c r="Y3" s="22">
        <v>3</v>
      </c>
      <c r="Z3" s="19">
        <v>1</v>
      </c>
      <c r="AA3" s="20">
        <v>1</v>
      </c>
      <c r="AB3" s="21">
        <v>1</v>
      </c>
      <c r="AC3" s="21">
        <v>1.5</v>
      </c>
      <c r="AD3" s="21">
        <v>3</v>
      </c>
      <c r="AE3" s="21">
        <v>1.5</v>
      </c>
      <c r="AF3" s="22">
        <v>3</v>
      </c>
      <c r="AG3" s="22">
        <v>3</v>
      </c>
      <c r="AH3" s="19">
        <v>1</v>
      </c>
      <c r="AI3" s="20">
        <v>1</v>
      </c>
      <c r="AJ3" s="21">
        <v>1</v>
      </c>
      <c r="AK3" s="21">
        <v>1.5</v>
      </c>
      <c r="AL3" s="21">
        <v>3</v>
      </c>
      <c r="AM3" s="21">
        <v>1.5</v>
      </c>
      <c r="AN3" s="22">
        <v>3</v>
      </c>
      <c r="AO3" s="22">
        <v>3</v>
      </c>
      <c r="AP3" s="19">
        <v>1</v>
      </c>
      <c r="AQ3" s="20">
        <v>1</v>
      </c>
      <c r="AR3" s="21">
        <v>1</v>
      </c>
      <c r="AS3" s="21">
        <v>1.5</v>
      </c>
      <c r="AT3" s="21">
        <v>3</v>
      </c>
      <c r="AU3" s="21">
        <v>1.5</v>
      </c>
      <c r="AV3" s="22">
        <v>3</v>
      </c>
      <c r="AW3" s="22">
        <v>3</v>
      </c>
      <c r="AX3" s="19">
        <v>1</v>
      </c>
      <c r="AY3" s="20">
        <v>1</v>
      </c>
      <c r="AZ3" s="21">
        <v>1</v>
      </c>
      <c r="BA3" s="21">
        <v>1.5</v>
      </c>
      <c r="BB3" s="21">
        <v>3</v>
      </c>
      <c r="BC3" s="21">
        <v>1.5</v>
      </c>
      <c r="BD3" s="22">
        <v>3</v>
      </c>
      <c r="BE3" s="22">
        <v>3</v>
      </c>
      <c r="BF3" s="23"/>
      <c r="BG3" s="23"/>
      <c r="BH3" s="23"/>
      <c r="BI3" s="23"/>
      <c r="BJ3" s="24"/>
      <c r="BK3" s="23"/>
      <c r="BL3" s="9"/>
      <c r="BM3" s="9"/>
      <c r="BN3" s="9"/>
      <c r="BO3" s="9"/>
    </row>
    <row r="4" spans="1:67" ht="15.75" customHeight="1" x14ac:dyDescent="0.35">
      <c r="A4" s="2" t="s">
        <v>418</v>
      </c>
      <c r="B4" s="25" t="e">
        <f>SUMPRODUCT(('Phân công'!$D$2:$D$259=$A4)*('Phân công'!#REF!="X")*(RIGHT('Phân công'!$C$2:$C$259,3)="404"))</f>
        <v>#REF!</v>
      </c>
      <c r="C4" s="26" t="e">
        <f>SUMPRODUCT(('Phân công'!$D$2:$D$259=$A4)*('Phân công'!#REF!="X")*(RIGHT('Phân công'!$C$2:$C$259,3)="412"))</f>
        <v>#REF!</v>
      </c>
      <c r="D4" s="26" t="e">
        <f>SUMPRODUCT(('Phân công'!$D$2:$D$259=$A4)*('Phân công'!#REF!="X")*(RIGHT('Phân công'!$C$2:$C$259,3)="414"))</f>
        <v>#REF!</v>
      </c>
      <c r="E4" s="26" t="e">
        <f>SUMPRODUCT(('Phân công'!$D$2:$D$259=$A4)*('Phân công'!#REF!="X")*(RIGHT('Phân công'!$C$2:$C$259,4)="404C")*('Phân công'!#REF!="Tiếng Việt"))</f>
        <v>#REF!</v>
      </c>
      <c r="F4" s="26" t="e">
        <f>SUMPRODUCT(('Phân công'!$D$2:$D$259=$A4)*('Phân công'!#REF!="X")*(RIGHT('Phân công'!$C$2:$C$259,4)="404C")*('Phân công'!#REF!="Tiếng Anh"))</f>
        <v>#REF!</v>
      </c>
      <c r="G4" s="26" t="e">
        <f>SUMPRODUCT(('Phân công'!$D$2:$D$259=$A4)*('Phân công'!#REF!="X")*(RIGHT('Phân công'!$C$2:$C$259,4)="414C")*('Phân công'!#REF!="Tiếng Việt"))</f>
        <v>#REF!</v>
      </c>
      <c r="H4" s="27" t="e">
        <f>SUMPRODUCT(('Phân công'!$D$2:$D$259=$A4)*('Phân công'!#REF!="X")*(RIGHT('Phân công'!$C$2:$C$259,4)="414C")*('Phân công'!#REF!="Tiếng Anh"))</f>
        <v>#REF!</v>
      </c>
      <c r="I4" s="28" t="e">
        <f>SUMPRODUCT(('Phân công'!$D$2:$D$259=$A4)*('Phân công'!#REF!="X")*(RIGHT('Phân công'!$C$2:$C$259,5)="404CA"))</f>
        <v>#REF!</v>
      </c>
      <c r="J4" s="25" t="e">
        <f>SUMPRODUCT(('Phân công'!$D$2:$D$259=$A4)*('Phân công'!#REF!="X")*(RIGHT('Phân công'!$C$2:$C$259,3)="404"))</f>
        <v>#REF!</v>
      </c>
      <c r="K4" s="26" t="e">
        <f>SUMPRODUCT(('Phân công'!$D$2:$D$259=$A4)*('Phân công'!#REF!="X")*(RIGHT('Phân công'!$C$2:$C$259,3)="412"))</f>
        <v>#REF!</v>
      </c>
      <c r="L4" s="26" t="e">
        <f>SUMPRODUCT(('Phân công'!$D$2:$D$259=$A4)*('Phân công'!#REF!="X")*(RIGHT('Phân công'!$C$2:$C$259,3)="414"))</f>
        <v>#REF!</v>
      </c>
      <c r="M4" s="26" t="e">
        <f>SUMPRODUCT(('Phân công'!$D$2:$D$259=$A4)*('Phân công'!#REF!="X")*(RIGHT('Phân công'!$C$2:$C$259,3)="04C")*('Phân công'!#REF!="Tiếng Việt"))</f>
        <v>#REF!</v>
      </c>
      <c r="N4" s="26" t="e">
        <f>SUMPRODUCT(('Phân công'!$D$2:$D$259=$A4)*('Phân công'!#REF!="X")*(RIGHT('Phân công'!$C$2:$C$259,3)="04C")*('Phân công'!#REF!="Tiếng Anh"))</f>
        <v>#REF!</v>
      </c>
      <c r="O4" s="26" t="e">
        <f>SUMPRODUCT(('Phân công'!$D$2:$D$259=$A4)*('Phân công'!#REF!="X")*(RIGHT('Phân công'!$C$2:$C$259,3)="14C")*('Phân công'!#REF!="Tiếng Việt"))</f>
        <v>#REF!</v>
      </c>
      <c r="P4" s="27" t="e">
        <f>SUMPRODUCT(('Phân công'!$D$2:$D$259=$A4)*('Phân công'!#REF!="X")*(RIGHT('Phân công'!$C$2:$C$259,3)="14C")*('Phân công'!#REF!="Tiếng Anh"))</f>
        <v>#REF!</v>
      </c>
      <c r="Q4" s="28" t="e">
        <f>SUMPRODUCT(('Phân công'!$D$2:$D$259=$A4)*('Phân công'!#REF!="X")*(RIGHT('Phân công'!$C$2:$C$259,3)="4CA"))</f>
        <v>#REF!</v>
      </c>
      <c r="R4" s="25" t="e">
        <f>SUMPRODUCT(('Phân công'!#REF!='Thù lao'!A4)*(RIGHT('Phân công'!$C$2:$C$259,3)="404"))</f>
        <v>#REF!</v>
      </c>
      <c r="S4" s="29" t="e">
        <f>SUMPRODUCT(('Phân công'!#REF!='Thù lao'!A4)*(RIGHT('Phân công'!$C$2:$C$259,3)="412"))</f>
        <v>#REF!</v>
      </c>
      <c r="T4" s="29" t="e">
        <f>SUMPRODUCT(('Phân công'!#REF!='Thù lao'!A4)*(RIGHT('Phân công'!$C$2:$C$259,3)="414"))</f>
        <v>#REF!</v>
      </c>
      <c r="U4" s="26" t="e">
        <f>SUMPRODUCT(('Phân công'!#REF!='Thù lao'!A4)*(RIGHT('Phân công'!$C$2:$C$259,3)="04C")*('Phân công'!#REF!="Tiếng Việt"))</f>
        <v>#REF!</v>
      </c>
      <c r="V4" s="26" t="e">
        <f>SUMPRODUCT(('Phân công'!#REF!='Thù lao'!A4)*(RIGHT('Phân công'!$C$2:$C$259,3)="04C")*('Phân công'!#REF!="Tiếng Anh"))</f>
        <v>#REF!</v>
      </c>
      <c r="W4" s="26" t="e">
        <f>SUMPRODUCT(('Phân công'!#REF!='Thù lao'!A4)*(RIGHT('Phân công'!$C$2:$C$259,3)="14C")*('Phân công'!#REF!="Tiếng Việt"))</f>
        <v>#REF!</v>
      </c>
      <c r="X4" s="27" t="e">
        <f>SUMPRODUCT(('Phân công'!#REF!='Thù lao'!A4)*(RIGHT('Phân công'!$C$2:$C$259,3)="14C")*('Phân công'!#REF!="Tiếng Anh"))</f>
        <v>#REF!</v>
      </c>
      <c r="Y4" s="26" t="e">
        <f>SUMPRODUCT(('Phân công'!#REF!='Thù lao'!A4)*(RIGHT('Phân công'!$C$2:$C$259,3)="4CA"))</f>
        <v>#REF!</v>
      </c>
      <c r="Z4" s="25" t="e">
        <f>SUMPRODUCT(('Phân công'!#REF!='Thù lao'!A4)*(RIGHT('Phân công'!$C$2:$C$259,3)="404"))</f>
        <v>#REF!</v>
      </c>
      <c r="AA4" s="29" t="e">
        <f>SUMPRODUCT(('Phân công'!#REF!='Thù lao'!A4)*(RIGHT('Phân công'!$C$2:$C$259,3)="412"))</f>
        <v>#REF!</v>
      </c>
      <c r="AB4" s="29" t="e">
        <f>SUMPRODUCT(('Phân công'!#REF!='Thù lao'!A4)*(RIGHT('Phân công'!$C$2:$C$259,3)="414"))</f>
        <v>#REF!</v>
      </c>
      <c r="AC4" s="26" t="e">
        <f>SUMPRODUCT(('Phân công'!#REF!='Thù lao'!A4)*(RIGHT('Phân công'!$C$2:$C$259,3)="04C")*('Phân công'!#REF!="Tiếng Việt"))</f>
        <v>#REF!</v>
      </c>
      <c r="AD4" s="26" t="e">
        <f>SUMPRODUCT(('Phân công'!#REF!='Thù lao'!A4)*(RIGHT('Phân công'!$C$2:$C$259,3)="04C")*('Phân công'!#REF!="Tiếng Anh"))</f>
        <v>#REF!</v>
      </c>
      <c r="AE4" s="26" t="e">
        <f>SUMPRODUCT(('Phân công'!#REF!='Thù lao'!A4)*(RIGHT('Phân công'!$C$2:$C$259,3)="14C")*('Phân công'!#REF!="Tiếng Việt"))</f>
        <v>#REF!</v>
      </c>
      <c r="AF4" s="27" t="e">
        <f>SUMPRODUCT(('Phân công'!#REF!='Thù lao'!A4)*(RIGHT('Phân công'!$C$2:$C$259,3)="14C")*('Phân công'!#REF!="Tiếng Anh"))</f>
        <v>#REF!</v>
      </c>
      <c r="AG4" s="26" t="e">
        <f>SUMPRODUCT(('Phân công'!#REF!='Thù lao'!A4)*(RIGHT('Phân công'!$C$2:$C$259,3)="4CA"))</f>
        <v>#REF!</v>
      </c>
      <c r="AH4" s="25" t="e">
        <f>SUMPRODUCT(('Phân công'!#REF!='Thù lao'!A4)*(RIGHT('Phân công'!$C$2:$C$259,3)="404"))</f>
        <v>#REF!</v>
      </c>
      <c r="AI4" s="29" t="e">
        <f>SUMPRODUCT(('Phân công'!#REF!='Thù lao'!A4)*(RIGHT('Phân công'!$C$2:$C$259,3)="412"))</f>
        <v>#REF!</v>
      </c>
      <c r="AJ4" s="29" t="e">
        <f>SUMPRODUCT(('Phân công'!#REF!='Thù lao'!A4)*(RIGHT('Phân công'!$C$2:$C$259,3)="414"))</f>
        <v>#REF!</v>
      </c>
      <c r="AK4" s="26" t="e">
        <f>SUMPRODUCT(('Phân công'!#REF!='Thù lao'!A4)*(RIGHT('Phân công'!$C$2:$C$259,3)="04C")*('Phân công'!#REF!="Tiếng Việt"))</f>
        <v>#REF!</v>
      </c>
      <c r="AL4" s="26" t="e">
        <f>SUMPRODUCT(('Phân công'!#REF!='Thù lao'!A4)*(RIGHT('Phân công'!$C$2:$C$259,3)="04C")*('Phân công'!#REF!="Tiếng Anh"))</f>
        <v>#REF!</v>
      </c>
      <c r="AM4" s="26" t="e">
        <f>SUMPRODUCT(('Phân công'!#REF!='Thù lao'!A4)*(RIGHT('Phân công'!$C$2:$C$259,3)="14C")*('Phân công'!#REF!="Tiếng Việt"))</f>
        <v>#REF!</v>
      </c>
      <c r="AN4" s="27" t="e">
        <f>SUMPRODUCT(('Phân công'!#REF!='Thù lao'!A4)*(RIGHT('Phân công'!$C$2:$C$259,3)="14C")*('Phân công'!#REF!="Tiếng Anh"))</f>
        <v>#REF!</v>
      </c>
      <c r="AO4" s="26" t="e">
        <f>SUMPRODUCT(('Phân công'!#REF!='Thù lao'!A4)*(RIGHT('Phân công'!$C$2:$C$259,3)="4CA"))</f>
        <v>#REF!</v>
      </c>
      <c r="AP4" s="25" t="e">
        <f>SUMPRODUCT(('Phân công'!#REF!='Thù lao'!A4)*(RIGHT('Phân công'!$C$2:$C$259,3)="404"))</f>
        <v>#REF!</v>
      </c>
      <c r="AQ4" s="29" t="e">
        <f>SUMPRODUCT(('Phân công'!#REF!='Thù lao'!A4)*(RIGHT('Phân công'!$C$2:$C$259,3)="412"))</f>
        <v>#REF!</v>
      </c>
      <c r="AR4" s="29" t="e">
        <f>SUMPRODUCT(('Phân công'!#REF!='Thù lao'!A4)*(RIGHT('Phân công'!$C$2:$C$259,3)="414"))</f>
        <v>#REF!</v>
      </c>
      <c r="AS4" s="26" t="e">
        <f>SUMPRODUCT(('Phân công'!#REF!='Thù lao'!A4)*(RIGHT('Phân công'!$C$2:$C$259,3)="04C")*('Phân công'!#REF!="Tiếng Việt"))</f>
        <v>#REF!</v>
      </c>
      <c r="AT4" s="26" t="e">
        <f>SUMPRODUCT(('Phân công'!#REF!='Thù lao'!A4)*(RIGHT('Phân công'!$C$2:$C$259,3)="04C")*('Phân công'!#REF!="Tiếng Anh"))</f>
        <v>#REF!</v>
      </c>
      <c r="AU4" s="26" t="e">
        <f>SUMPRODUCT(('Phân công'!#REF!='Thù lao'!A4)*(RIGHT('Phân công'!$C$2:$C$259,3)="14C")*('Phân công'!#REF!="Tiếng Việt"))</f>
        <v>#REF!</v>
      </c>
      <c r="AV4" s="27" t="e">
        <f>SUMPRODUCT(('Phân công'!#REF!='Thù lao'!A4)*(RIGHT('Phân công'!$C$2:$C$259,3)="14C")*('Phân công'!#REF!="Tiếng Anh"))</f>
        <v>#REF!</v>
      </c>
      <c r="AW4" s="26" t="e">
        <f>SUMPRODUCT(('Phân công'!#REF!='Thù lao'!A4)*(RIGHT('Phân công'!$C$2:$C$259,3)="4CA"))</f>
        <v>#REF!</v>
      </c>
      <c r="AX4" s="25" t="e">
        <f t="shared" ref="AX4:BE4" si="0">AP4+AH4+Z4+R4</f>
        <v>#REF!</v>
      </c>
      <c r="AY4" s="25" t="e">
        <f t="shared" si="0"/>
        <v>#REF!</v>
      </c>
      <c r="AZ4" s="25" t="e">
        <f t="shared" si="0"/>
        <v>#REF!</v>
      </c>
      <c r="BA4" s="25" t="e">
        <f t="shared" si="0"/>
        <v>#REF!</v>
      </c>
      <c r="BB4" s="25" t="e">
        <f t="shared" si="0"/>
        <v>#REF!</v>
      </c>
      <c r="BC4" s="25" t="e">
        <f t="shared" si="0"/>
        <v>#REF!</v>
      </c>
      <c r="BD4" s="25" t="e">
        <f t="shared" si="0"/>
        <v>#REF!</v>
      </c>
      <c r="BE4" s="25" t="e">
        <f t="shared" si="0"/>
        <v>#REF!</v>
      </c>
      <c r="BF4" s="30" t="e">
        <f t="shared" ref="BF4:BF22" si="1">SUMPRODUCT((B4:I4),($B$3:$I$3))*$BF$2</f>
        <v>#REF!</v>
      </c>
      <c r="BG4" s="30" t="e">
        <f t="shared" ref="BG4:BG22" si="2">SUMPRODUCT(R4:Y4,$R$3:$Y$3)*$BG$2</f>
        <v>#REF!</v>
      </c>
      <c r="BH4" s="30" t="e">
        <f t="shared" ref="BH4:BH22" si="3">SUMPRODUCT(Z4:AG4,$Z$3:$AG$3)*$BH$2</f>
        <v>#REF!</v>
      </c>
      <c r="BI4" s="30" t="e">
        <f t="shared" ref="BI4:BI22" si="4">SUMPRODUCT(AH4:AO4,$AH$3:$AO$3)*$BI$2</f>
        <v>#REF!</v>
      </c>
      <c r="BJ4" s="30" t="e">
        <f t="shared" ref="BJ4:BJ22" si="5">SUMPRODUCT(AP4:AW4,$AP$3:$AW$3)*$BJ$2</f>
        <v>#REF!</v>
      </c>
      <c r="BK4" s="30" t="e">
        <f t="shared" ref="BK4:BK22" si="6">SUMPRODUCT((J4:Q4),($J$3:$Q$3))*$BK$2</f>
        <v>#REF!</v>
      </c>
      <c r="BL4" s="31" t="e">
        <f t="shared" ref="BL4:BL22" si="7">BF4+BK4</f>
        <v>#REF!</v>
      </c>
      <c r="BM4" s="31" t="e">
        <f t="shared" ref="BM4:BM22" si="8">SUM(BG4:BJ4)</f>
        <v>#REF!</v>
      </c>
      <c r="BN4" s="31" t="e">
        <f t="shared" ref="BN4:BN22" si="9">BM4+BK4</f>
        <v>#REF!</v>
      </c>
      <c r="BO4" s="31" t="e">
        <f t="shared" ref="BO4:BO22" si="10">BL4+BM4</f>
        <v>#REF!</v>
      </c>
    </row>
    <row r="5" spans="1:67" ht="15.75" customHeight="1" x14ac:dyDescent="0.35">
      <c r="A5" s="2" t="s">
        <v>310</v>
      </c>
      <c r="B5" s="25" t="e">
        <f>SUMPRODUCT(('Phân công'!$D$2:$D$259=$A5)*('Phân công'!#REF!="X")*(RIGHT('Phân công'!$C$2:$C$259,3)="404"))</f>
        <v>#REF!</v>
      </c>
      <c r="C5" s="26" t="e">
        <f>SUMPRODUCT(('Phân công'!$D$2:$D$259=$A5)*('Phân công'!#REF!="X")*(RIGHT('Phân công'!$C$2:$C$259,3)="412"))</f>
        <v>#REF!</v>
      </c>
      <c r="D5" s="26" t="e">
        <f>SUMPRODUCT(('Phân công'!$D$2:$D$259=$A5)*('Phân công'!#REF!="X")*(RIGHT('Phân công'!$C$2:$C$259,3)="414"))</f>
        <v>#REF!</v>
      </c>
      <c r="E5" s="26" t="e">
        <f>SUMPRODUCT(('Phân công'!$D$2:$D$259=$A5)*('Phân công'!#REF!="X")*(RIGHT('Phân công'!$C$2:$C$259,4)="404C")*('Phân công'!#REF!="Tiếng Việt"))</f>
        <v>#REF!</v>
      </c>
      <c r="F5" s="26" t="e">
        <f>SUMPRODUCT(('Phân công'!$D$2:$D$259=$A5)*('Phân công'!#REF!="X")*(RIGHT('Phân công'!$C$2:$C$259,4)="404C")*('Phân công'!#REF!="Tiếng Anh"))</f>
        <v>#REF!</v>
      </c>
      <c r="G5" s="26" t="e">
        <f>SUMPRODUCT(('Phân công'!$D$2:$D$259=$A5)*('Phân công'!#REF!="X")*(RIGHT('Phân công'!$C$2:$C$259,4)="414C")*('Phân công'!#REF!="Tiếng Việt"))</f>
        <v>#REF!</v>
      </c>
      <c r="H5" s="27" t="e">
        <f>SUMPRODUCT(('Phân công'!$D$2:$D$259=$A5)*('Phân công'!#REF!="X")*(RIGHT('Phân công'!$C$2:$C$259,4)="414C")*('Phân công'!#REF!="Tiếng Anh"))</f>
        <v>#REF!</v>
      </c>
      <c r="I5" s="28" t="e">
        <f>SUMPRODUCT(('Phân công'!$D$2:$D$259=$A5)*('Phân công'!#REF!="X")*(RIGHT('Phân công'!$C$2:$C$259,5)="404CA"))</f>
        <v>#REF!</v>
      </c>
      <c r="J5" s="25" t="e">
        <f>SUMPRODUCT(('Phân công'!$D$2:$D$259=$A5)*('Phân công'!#REF!="X")*(RIGHT('Phân công'!$C$2:$C$259,3)="404"))</f>
        <v>#REF!</v>
      </c>
      <c r="K5" s="26" t="e">
        <f>SUMPRODUCT(('Phân công'!$D$2:$D$259=$A5)*('Phân công'!#REF!="X")*(RIGHT('Phân công'!$C$2:$C$259,3)="412"))</f>
        <v>#REF!</v>
      </c>
      <c r="L5" s="26" t="e">
        <f>SUMPRODUCT(('Phân công'!$D$2:$D$259=$A5)*('Phân công'!#REF!="X")*(RIGHT('Phân công'!$C$2:$C$259,3)="414"))</f>
        <v>#REF!</v>
      </c>
      <c r="M5" s="26" t="e">
        <f>SUMPRODUCT(('Phân công'!$D$2:$D$259=$A5)*('Phân công'!#REF!="X")*(RIGHT('Phân công'!$C$2:$C$259,3)="04C")*('Phân công'!#REF!="Tiếng Việt"))</f>
        <v>#REF!</v>
      </c>
      <c r="N5" s="26" t="e">
        <f>SUMPRODUCT(('Phân công'!$D$2:$D$259=$A5)*('Phân công'!#REF!="X")*(RIGHT('Phân công'!$C$2:$C$259,3)="04C")*('Phân công'!#REF!="Tiếng Anh"))</f>
        <v>#REF!</v>
      </c>
      <c r="O5" s="26" t="e">
        <f>SUMPRODUCT(('Phân công'!$D$2:$D$259=$A5)*('Phân công'!#REF!="X")*(RIGHT('Phân công'!$C$2:$C$259,3)="14C")*('Phân công'!#REF!="Tiếng Việt"))</f>
        <v>#REF!</v>
      </c>
      <c r="P5" s="27" t="e">
        <f>SUMPRODUCT(('Phân công'!$D$2:$D$259=$A5)*('Phân công'!#REF!="X")*(RIGHT('Phân công'!$C$2:$C$259,3)="14C")*('Phân công'!#REF!="Tiếng Anh"))</f>
        <v>#REF!</v>
      </c>
      <c r="Q5" s="28" t="e">
        <f>SUMPRODUCT(('Phân công'!$D$2:$D$259=$A5)*('Phân công'!#REF!="X")*(RIGHT('Phân công'!$C$2:$C$259,3)="4CA"))</f>
        <v>#REF!</v>
      </c>
      <c r="R5" s="25" t="e">
        <f>SUMPRODUCT(('Phân công'!#REF!='Thù lao'!A5)*(RIGHT('Phân công'!$C$2:$C$259,3)="404"))</f>
        <v>#REF!</v>
      </c>
      <c r="S5" s="29" t="e">
        <f>SUMPRODUCT(('Phân công'!#REF!='Thù lao'!A5)*(RIGHT('Phân công'!$C$2:$C$259,3)="412"))</f>
        <v>#REF!</v>
      </c>
      <c r="T5" s="29" t="e">
        <f>SUMPRODUCT(('Phân công'!#REF!='Thù lao'!A5)*(RIGHT('Phân công'!$C$2:$C$259,3)="414"))</f>
        <v>#REF!</v>
      </c>
      <c r="U5" s="26" t="e">
        <f>SUMPRODUCT(('Phân công'!#REF!='Thù lao'!A5)*(RIGHT('Phân công'!$C$2:$C$259,3)="04C")*('Phân công'!#REF!="Tiếng Việt"))</f>
        <v>#REF!</v>
      </c>
      <c r="V5" s="26" t="e">
        <f>SUMPRODUCT(('Phân công'!#REF!='Thù lao'!A5)*(RIGHT('Phân công'!$C$2:$C$259,3)="04C")*('Phân công'!#REF!="Tiếng Anh"))</f>
        <v>#REF!</v>
      </c>
      <c r="W5" s="26" t="e">
        <f>SUMPRODUCT(('Phân công'!#REF!='Thù lao'!A5)*(RIGHT('Phân công'!$C$2:$C$259,3)="14C")*('Phân công'!#REF!="Tiếng Việt"))</f>
        <v>#REF!</v>
      </c>
      <c r="X5" s="27" t="e">
        <f>SUMPRODUCT(('Phân công'!#REF!='Thù lao'!A5)*(RIGHT('Phân công'!$C$2:$C$259,3)="14C")*('Phân công'!#REF!="Tiếng Anh"))</f>
        <v>#REF!</v>
      </c>
      <c r="Y5" s="26" t="e">
        <f>SUMPRODUCT(('Phân công'!#REF!='Thù lao'!A5)*(RIGHT('Phân công'!$C$10:$C$259,3)="4CA"))</f>
        <v>#REF!</v>
      </c>
      <c r="Z5" s="25" t="e">
        <f>SUMPRODUCT(('Phân công'!#REF!='Thù lao'!A5)*(RIGHT('Phân công'!$C$2:$C$259,3)="404"))</f>
        <v>#REF!</v>
      </c>
      <c r="AA5" s="29" t="e">
        <f>SUMPRODUCT(('Phân công'!#REF!='Thù lao'!A5)*(RIGHT('Phân công'!$C$2:$C$259,3)="412"))</f>
        <v>#REF!</v>
      </c>
      <c r="AB5" s="29" t="e">
        <f>SUMPRODUCT(('Phân công'!#REF!='Thù lao'!A5)*(RIGHT('Phân công'!$C$2:$C$259,3)="414"))</f>
        <v>#REF!</v>
      </c>
      <c r="AC5" s="26" t="e">
        <f>SUMPRODUCT(('Phân công'!#REF!='Thù lao'!A5)*(RIGHT('Phân công'!$C$2:$C$259,3)="04C")*('Phân công'!#REF!="Tiếng Việt"))</f>
        <v>#REF!</v>
      </c>
      <c r="AD5" s="26" t="e">
        <f>SUMPRODUCT(('Phân công'!#REF!='Thù lao'!A5)*(RIGHT('Phân công'!$C$2:$C$259,3)="04C")*('Phân công'!#REF!="Tiếng Anh"))</f>
        <v>#REF!</v>
      </c>
      <c r="AE5" s="26" t="e">
        <f>SUMPRODUCT(('Phân công'!#REF!='Thù lao'!A5)*(RIGHT('Phân công'!$C$2:$C$259,3)="14C")*('Phân công'!#REF!="Tiếng Việt"))</f>
        <v>#REF!</v>
      </c>
      <c r="AF5" s="27" t="e">
        <f>SUMPRODUCT(('Phân công'!#REF!='Thù lao'!A5)*(RIGHT('Phân công'!$C$2:$C$259,3)="14C")*('Phân công'!#REF!="Tiếng Anh"))</f>
        <v>#REF!</v>
      </c>
      <c r="AG5" s="26" t="e">
        <f>SUMPRODUCT(('Phân công'!#REF!='Thù lao'!A5)*(RIGHT('Phân công'!$C$2:$C$259,3)="4CA"))</f>
        <v>#REF!</v>
      </c>
      <c r="AH5" s="25" t="e">
        <f>SUMPRODUCT(('Phân công'!#REF!='Thù lao'!A5)*(RIGHT('Phân công'!$C$2:$C$259,3)="404"))</f>
        <v>#REF!</v>
      </c>
      <c r="AI5" s="29" t="e">
        <f>SUMPRODUCT(('Phân công'!#REF!='Thù lao'!A5)*(RIGHT('Phân công'!$C$2:$C$259,3)="412"))</f>
        <v>#REF!</v>
      </c>
      <c r="AJ5" s="29" t="e">
        <f>SUMPRODUCT(('Phân công'!#REF!='Thù lao'!A5)*(RIGHT('Phân công'!$C$2:$C$259,3)="414"))</f>
        <v>#REF!</v>
      </c>
      <c r="AK5" s="26" t="e">
        <f>SUMPRODUCT(('Phân công'!#REF!='Thù lao'!A5)*(RIGHT('Phân công'!$C$2:$C$259,3)="04C")*('Phân công'!#REF!="Tiếng Việt"))</f>
        <v>#REF!</v>
      </c>
      <c r="AL5" s="26" t="e">
        <f>SUMPRODUCT(('Phân công'!#REF!='Thù lao'!A5)*(RIGHT('Phân công'!$C$2:$C$259,3)="04C")*('Phân công'!#REF!="Tiếng Anh"))</f>
        <v>#REF!</v>
      </c>
      <c r="AM5" s="26" t="e">
        <f>SUMPRODUCT(('Phân công'!#REF!='Thù lao'!A5)*(RIGHT('Phân công'!$C$2:$C$259,3)="14C")*('Phân công'!#REF!="Tiếng Việt"))</f>
        <v>#REF!</v>
      </c>
      <c r="AN5" s="27" t="e">
        <f>SUMPRODUCT(('Phân công'!#REF!='Thù lao'!A5)*(RIGHT('Phân công'!$C$2:$C$259,3)="14C")*('Phân công'!#REF!="Tiếng Anh"))</f>
        <v>#REF!</v>
      </c>
      <c r="AO5" s="26" t="e">
        <f>SUMPRODUCT(('Phân công'!#REF!='Thù lao'!A5)*(RIGHT('Phân công'!$C$2:$C$259,3)="4CA"))</f>
        <v>#REF!</v>
      </c>
      <c r="AP5" s="25" t="e">
        <f>SUMPRODUCT(('Phân công'!#REF!='Thù lao'!A5)*(RIGHT('Phân công'!$C$2:$C$259,3)="404"))</f>
        <v>#REF!</v>
      </c>
      <c r="AQ5" s="29" t="e">
        <f>SUMPRODUCT(('Phân công'!#REF!='Thù lao'!A5)*(RIGHT('Phân công'!$C$2:$C$259,3)="412"))</f>
        <v>#REF!</v>
      </c>
      <c r="AR5" s="29" t="e">
        <f>SUMPRODUCT(('Phân công'!#REF!='Thù lao'!A5)*(RIGHT('Phân công'!$C$2:$C$259,3)="414"))</f>
        <v>#REF!</v>
      </c>
      <c r="AS5" s="26" t="e">
        <f>SUMPRODUCT(('Phân công'!#REF!='Thù lao'!A5)*(RIGHT('Phân công'!$C$2:$C$259,3)="04C")*('Phân công'!#REF!="Tiếng Việt"))</f>
        <v>#REF!</v>
      </c>
      <c r="AT5" s="26" t="e">
        <f>SUMPRODUCT(('Phân công'!#REF!='Thù lao'!A5)*(RIGHT('Phân công'!$C$2:$C$259,3)="04C")*('Phân công'!#REF!="Tiếng Anh"))</f>
        <v>#REF!</v>
      </c>
      <c r="AU5" s="26" t="e">
        <f>SUMPRODUCT(('Phân công'!#REF!='Thù lao'!A5)*(RIGHT('Phân công'!$C$2:$C$259,3)="14C")*('Phân công'!#REF!="Tiếng Việt"))</f>
        <v>#REF!</v>
      </c>
      <c r="AV5" s="27" t="e">
        <f>SUMPRODUCT(('Phân công'!#REF!='Thù lao'!A5)*(RIGHT('Phân công'!$C$2:$C$259,3)="14C")*('Phân công'!#REF!="Tiếng Anh"))</f>
        <v>#REF!</v>
      </c>
      <c r="AW5" s="26" t="e">
        <f>SUMPRODUCT(('Phân công'!#REF!='Thù lao'!A5)*(RIGHT('Phân công'!$C$2:$C$259,3)="4CA"))</f>
        <v>#REF!</v>
      </c>
      <c r="AX5" s="25" t="e">
        <f t="shared" ref="AX5:BE5" si="11">AP5+AH5+Z5+R5</f>
        <v>#REF!</v>
      </c>
      <c r="AY5" s="25" t="e">
        <f t="shared" si="11"/>
        <v>#REF!</v>
      </c>
      <c r="AZ5" s="25" t="e">
        <f t="shared" si="11"/>
        <v>#REF!</v>
      </c>
      <c r="BA5" s="25" t="e">
        <f t="shared" si="11"/>
        <v>#REF!</v>
      </c>
      <c r="BB5" s="25" t="e">
        <f t="shared" si="11"/>
        <v>#REF!</v>
      </c>
      <c r="BC5" s="25" t="e">
        <f t="shared" si="11"/>
        <v>#REF!</v>
      </c>
      <c r="BD5" s="25" t="e">
        <f t="shared" si="11"/>
        <v>#REF!</v>
      </c>
      <c r="BE5" s="25" t="e">
        <f t="shared" si="11"/>
        <v>#REF!</v>
      </c>
      <c r="BF5" s="30" t="e">
        <f t="shared" si="1"/>
        <v>#REF!</v>
      </c>
      <c r="BG5" s="30" t="e">
        <f t="shared" si="2"/>
        <v>#REF!</v>
      </c>
      <c r="BH5" s="30" t="e">
        <f t="shared" si="3"/>
        <v>#REF!</v>
      </c>
      <c r="BI5" s="30" t="e">
        <f t="shared" si="4"/>
        <v>#REF!</v>
      </c>
      <c r="BJ5" s="30" t="e">
        <f t="shared" si="5"/>
        <v>#REF!</v>
      </c>
      <c r="BK5" s="30" t="e">
        <f t="shared" si="6"/>
        <v>#REF!</v>
      </c>
      <c r="BL5" s="31" t="e">
        <f t="shared" si="7"/>
        <v>#REF!</v>
      </c>
      <c r="BM5" s="31" t="e">
        <f t="shared" si="8"/>
        <v>#REF!</v>
      </c>
      <c r="BN5" s="31" t="e">
        <f t="shared" si="9"/>
        <v>#REF!</v>
      </c>
      <c r="BO5" s="31" t="e">
        <f t="shared" si="10"/>
        <v>#REF!</v>
      </c>
    </row>
    <row r="6" spans="1:67" ht="15.75" customHeight="1" x14ac:dyDescent="0.35">
      <c r="A6" s="2" t="s">
        <v>257</v>
      </c>
      <c r="B6" s="25" t="e">
        <f>SUMPRODUCT(('Phân công'!$D$2:$D$259=$A6)*('Phân công'!#REF!="X")*(RIGHT('Phân công'!$C$2:$C$259,3)="404"))</f>
        <v>#REF!</v>
      </c>
      <c r="C6" s="26" t="e">
        <f>SUMPRODUCT(('Phân công'!$D$2:$D$259=$A6)*('Phân công'!#REF!="X")*(RIGHT('Phân công'!$C$2:$C$259,3)="412"))</f>
        <v>#REF!</v>
      </c>
      <c r="D6" s="26" t="e">
        <f>SUMPRODUCT(('Phân công'!$D$2:$D$259=$A6)*('Phân công'!#REF!="X")*(RIGHT('Phân công'!$C$2:$C$259,3)="414"))</f>
        <v>#REF!</v>
      </c>
      <c r="E6" s="26" t="e">
        <f>SUMPRODUCT(('Phân công'!$D$2:$D$259=$A6)*('Phân công'!#REF!="X")*(RIGHT('Phân công'!$C$2:$C$259,4)="404C")*('Phân công'!#REF!="Tiếng Việt"))</f>
        <v>#REF!</v>
      </c>
      <c r="F6" s="26" t="e">
        <f>SUMPRODUCT(('Phân công'!$D$2:$D$259=$A6)*('Phân công'!#REF!="X")*(RIGHT('Phân công'!$C$2:$C$259,4)="404C")*('Phân công'!#REF!="Tiếng Anh"))</f>
        <v>#REF!</v>
      </c>
      <c r="G6" s="26" t="e">
        <f>SUMPRODUCT(('Phân công'!$D$2:$D$259=$A6)*('Phân công'!#REF!="X")*(RIGHT('Phân công'!$C$2:$C$259,4)="414C")*('Phân công'!#REF!="Tiếng Việt"))</f>
        <v>#REF!</v>
      </c>
      <c r="H6" s="27" t="e">
        <f>SUMPRODUCT(('Phân công'!$D$2:$D$259=$A6)*('Phân công'!#REF!="X")*(RIGHT('Phân công'!$C$2:$C$259,4)="414C")*('Phân công'!#REF!="Tiếng Anh"))</f>
        <v>#REF!</v>
      </c>
      <c r="I6" s="28" t="e">
        <f>SUMPRODUCT(('Phân công'!$D$2:$D$259=$A6)*('Phân công'!#REF!="X")*(RIGHT('Phân công'!$C$2:$C$259,5)="404CA"))</f>
        <v>#REF!</v>
      </c>
      <c r="J6" s="25" t="e">
        <f>SUMPRODUCT(('Phân công'!$D$2:$D$259=$A6)*('Phân công'!#REF!="X")*(RIGHT('Phân công'!$C$2:$C$259,3)="404"))</f>
        <v>#REF!</v>
      </c>
      <c r="K6" s="26" t="e">
        <f>SUMPRODUCT(('Phân công'!$D$2:$D$259=$A6)*('Phân công'!#REF!="X")*(RIGHT('Phân công'!$C$2:$C$259,3)="412"))</f>
        <v>#REF!</v>
      </c>
      <c r="L6" s="26" t="e">
        <f>SUMPRODUCT(('Phân công'!$D$2:$D$259=$A6)*('Phân công'!#REF!="X")*(RIGHT('Phân công'!$C$2:$C$259,3)="414"))</f>
        <v>#REF!</v>
      </c>
      <c r="M6" s="26" t="e">
        <f>SUMPRODUCT(('Phân công'!$D$2:$D$259=$A6)*('Phân công'!#REF!="X")*(RIGHT('Phân công'!$C$2:$C$259,3)="04C")*('Phân công'!#REF!="Tiếng Việt"))</f>
        <v>#REF!</v>
      </c>
      <c r="N6" s="26" t="e">
        <f>SUMPRODUCT(('Phân công'!$D$2:$D$259=$A6)*('Phân công'!#REF!="X")*(RIGHT('Phân công'!$C$2:$C$259,3)="04C")*('Phân công'!#REF!="Tiếng Anh"))</f>
        <v>#REF!</v>
      </c>
      <c r="O6" s="26" t="e">
        <f>SUMPRODUCT(('Phân công'!$D$2:$D$259=$A6)*('Phân công'!#REF!="X")*(RIGHT('Phân công'!$C$2:$C$259,3)="14C")*('Phân công'!#REF!="Tiếng Việt"))</f>
        <v>#REF!</v>
      </c>
      <c r="P6" s="27" t="e">
        <f>SUMPRODUCT(('Phân công'!$D$2:$D$259=$A6)*('Phân công'!#REF!="X")*(RIGHT('Phân công'!$C$2:$C$259,3)="14C")*('Phân công'!#REF!="Tiếng Anh"))</f>
        <v>#REF!</v>
      </c>
      <c r="Q6" s="28" t="e">
        <f>SUMPRODUCT(('Phân công'!$D$2:$D$259=$A6)*('Phân công'!#REF!="X")*(RIGHT('Phân công'!$C$2:$C$259,3)="4CA"))</f>
        <v>#REF!</v>
      </c>
      <c r="R6" s="25" t="e">
        <f>SUMPRODUCT(('Phân công'!#REF!='Thù lao'!A6)*(RIGHT('Phân công'!$C$2:$C$259,3)="404"))</f>
        <v>#REF!</v>
      </c>
      <c r="S6" s="29" t="e">
        <f>SUMPRODUCT(('Phân công'!#REF!='Thù lao'!A6)*(RIGHT('Phân công'!$C$2:$C$259,3)="412"))</f>
        <v>#REF!</v>
      </c>
      <c r="T6" s="29" t="e">
        <f>SUMPRODUCT(('Phân công'!#REF!='Thù lao'!A6)*(RIGHT('Phân công'!$C$2:$C$259,3)="414"))</f>
        <v>#REF!</v>
      </c>
      <c r="U6" s="26" t="e">
        <f>SUMPRODUCT(('Phân công'!#REF!='Thù lao'!A6)*(RIGHT('Phân công'!$C$2:$C$259,3)="04C")*('Phân công'!#REF!="Tiếng Việt"))</f>
        <v>#REF!</v>
      </c>
      <c r="V6" s="26" t="e">
        <f>SUMPRODUCT(('Phân công'!#REF!='Thù lao'!A6)*(RIGHT('Phân công'!$C$2:$C$259,3)="04C")*('Phân công'!#REF!="Tiếng Anh"))</f>
        <v>#REF!</v>
      </c>
      <c r="W6" s="26" t="e">
        <f>SUMPRODUCT(('Phân công'!#REF!='Thù lao'!A6)*(RIGHT('Phân công'!$C$2:$C$259,3)="14C")*('Phân công'!#REF!="Tiếng Việt"))</f>
        <v>#REF!</v>
      </c>
      <c r="X6" s="27" t="e">
        <f>SUMPRODUCT(('Phân công'!#REF!='Thù lao'!A6)*(RIGHT('Phân công'!$C$2:$C$259,3)="14C")*('Phân công'!#REF!="Tiếng Anh"))</f>
        <v>#REF!</v>
      </c>
      <c r="Y6" s="26" t="e">
        <f>SUMPRODUCT(('Phân công'!#REF!='Thù lao'!A6)*(RIGHT('Phân công'!$C$10:$C$259,3)="4CA"))</f>
        <v>#REF!</v>
      </c>
      <c r="Z6" s="25" t="e">
        <f>SUMPRODUCT(('Phân công'!#REF!='Thù lao'!A6)*(RIGHT('Phân công'!$C$2:$C$259,3)="404"))</f>
        <v>#REF!</v>
      </c>
      <c r="AA6" s="29" t="e">
        <f>SUMPRODUCT(('Phân công'!#REF!='Thù lao'!A6)*(RIGHT('Phân công'!$C$2:$C$259,3)="412"))</f>
        <v>#REF!</v>
      </c>
      <c r="AB6" s="29" t="e">
        <f>SUMPRODUCT(('Phân công'!#REF!='Thù lao'!A6)*(RIGHT('Phân công'!$C$2:$C$259,3)="414"))</f>
        <v>#REF!</v>
      </c>
      <c r="AC6" s="26" t="e">
        <f>SUMPRODUCT(('Phân công'!#REF!='Thù lao'!A6)*(RIGHT('Phân công'!$C$2:$C$259,3)="04C")*('Phân công'!#REF!="Tiếng Việt"))</f>
        <v>#REF!</v>
      </c>
      <c r="AD6" s="26" t="e">
        <f>SUMPRODUCT(('Phân công'!#REF!='Thù lao'!A6)*(RIGHT('Phân công'!$C$2:$C$259,3)="04C")*('Phân công'!#REF!="Tiếng Anh"))</f>
        <v>#REF!</v>
      </c>
      <c r="AE6" s="26" t="e">
        <f>SUMPRODUCT(('Phân công'!#REF!='Thù lao'!A6)*(RIGHT('Phân công'!$C$2:$C$259,3)="14C")*('Phân công'!#REF!="Tiếng Việt"))</f>
        <v>#REF!</v>
      </c>
      <c r="AF6" s="27" t="e">
        <f>SUMPRODUCT(('Phân công'!#REF!='Thù lao'!A6)*(RIGHT('Phân công'!$C$2:$C$259,3)="14C")*('Phân công'!#REF!="Tiếng Anh"))</f>
        <v>#REF!</v>
      </c>
      <c r="AG6" s="26" t="e">
        <f>SUMPRODUCT(('Phân công'!#REF!='Thù lao'!A6)*(RIGHT('Phân công'!$C$2:$C$259,3)="4CA"))</f>
        <v>#REF!</v>
      </c>
      <c r="AH6" s="25" t="e">
        <f>SUMPRODUCT(('Phân công'!#REF!='Thù lao'!A6)*(RIGHT('Phân công'!$C$2:$C$259,3)="404"))</f>
        <v>#REF!</v>
      </c>
      <c r="AI6" s="29" t="e">
        <f>SUMPRODUCT(('Phân công'!#REF!='Thù lao'!A6)*(RIGHT('Phân công'!$C$2:$C$259,3)="412"))</f>
        <v>#REF!</v>
      </c>
      <c r="AJ6" s="29" t="e">
        <f>SUMPRODUCT(('Phân công'!#REF!='Thù lao'!A6)*(RIGHT('Phân công'!$C$2:$C$259,3)="414"))</f>
        <v>#REF!</v>
      </c>
      <c r="AK6" s="26" t="e">
        <f>SUMPRODUCT(('Phân công'!#REF!='Thù lao'!A6)*(RIGHT('Phân công'!$C$2:$C$259,3)="04C")*('Phân công'!#REF!="Tiếng Việt"))</f>
        <v>#REF!</v>
      </c>
      <c r="AL6" s="26" t="e">
        <f>SUMPRODUCT(('Phân công'!#REF!='Thù lao'!A6)*(RIGHT('Phân công'!$C$2:$C$259,3)="04C")*('Phân công'!#REF!="Tiếng Anh"))</f>
        <v>#REF!</v>
      </c>
      <c r="AM6" s="26" t="e">
        <f>SUMPRODUCT(('Phân công'!#REF!='Thù lao'!A6)*(RIGHT('Phân công'!$C$2:$C$259,3)="14C")*('Phân công'!#REF!="Tiếng Việt"))</f>
        <v>#REF!</v>
      </c>
      <c r="AN6" s="27" t="e">
        <f>SUMPRODUCT(('Phân công'!#REF!='Thù lao'!A6)*(RIGHT('Phân công'!$C$2:$C$259,3)="14C")*('Phân công'!#REF!="Tiếng Anh"))</f>
        <v>#REF!</v>
      </c>
      <c r="AO6" s="26" t="e">
        <f>SUMPRODUCT(('Phân công'!#REF!='Thù lao'!A6)*(RIGHT('Phân công'!$C$2:$C$259,3)="4CA"))</f>
        <v>#REF!</v>
      </c>
      <c r="AP6" s="25" t="e">
        <f>SUMPRODUCT(('Phân công'!#REF!='Thù lao'!A6)*(RIGHT('Phân công'!$C$2:$C$259,3)="404"))</f>
        <v>#REF!</v>
      </c>
      <c r="AQ6" s="29" t="e">
        <f>SUMPRODUCT(('Phân công'!#REF!='Thù lao'!A6)*(RIGHT('Phân công'!$C$2:$C$259,3)="412"))</f>
        <v>#REF!</v>
      </c>
      <c r="AR6" s="29" t="e">
        <f>SUMPRODUCT(('Phân công'!#REF!='Thù lao'!A6)*(RIGHT('Phân công'!$C$2:$C$259,3)="414"))</f>
        <v>#REF!</v>
      </c>
      <c r="AS6" s="26" t="e">
        <f>SUMPRODUCT(('Phân công'!#REF!='Thù lao'!A6)*(RIGHT('Phân công'!$C$2:$C$259,3)="04C")*('Phân công'!#REF!="Tiếng Việt"))</f>
        <v>#REF!</v>
      </c>
      <c r="AT6" s="26" t="e">
        <f>SUMPRODUCT(('Phân công'!#REF!='Thù lao'!A6)*(RIGHT('Phân công'!$C$2:$C$259,3)="04C")*('Phân công'!#REF!="Tiếng Anh"))</f>
        <v>#REF!</v>
      </c>
      <c r="AU6" s="26" t="e">
        <f>SUMPRODUCT(('Phân công'!#REF!='Thù lao'!A6)*(RIGHT('Phân công'!$C$2:$C$259,3)="14C")*('Phân công'!#REF!="Tiếng Việt"))</f>
        <v>#REF!</v>
      </c>
      <c r="AV6" s="27" t="e">
        <f>SUMPRODUCT(('Phân công'!#REF!='Thù lao'!A6)*(RIGHT('Phân công'!$C$2:$C$259,3)="14C")*('Phân công'!#REF!="Tiếng Anh"))</f>
        <v>#REF!</v>
      </c>
      <c r="AW6" s="26" t="e">
        <f>SUMPRODUCT(('Phân công'!#REF!='Thù lao'!A6)*(RIGHT('Phân công'!$C$2:$C$259,3)="4CA"))</f>
        <v>#REF!</v>
      </c>
      <c r="AX6" s="25" t="e">
        <f t="shared" ref="AX6:BE6" si="12">AP6+AH6+Z6+R6</f>
        <v>#REF!</v>
      </c>
      <c r="AY6" s="25" t="e">
        <f t="shared" si="12"/>
        <v>#REF!</v>
      </c>
      <c r="AZ6" s="25" t="e">
        <f t="shared" si="12"/>
        <v>#REF!</v>
      </c>
      <c r="BA6" s="25" t="e">
        <f t="shared" si="12"/>
        <v>#REF!</v>
      </c>
      <c r="BB6" s="25" t="e">
        <f t="shared" si="12"/>
        <v>#REF!</v>
      </c>
      <c r="BC6" s="25" t="e">
        <f t="shared" si="12"/>
        <v>#REF!</v>
      </c>
      <c r="BD6" s="25" t="e">
        <f t="shared" si="12"/>
        <v>#REF!</v>
      </c>
      <c r="BE6" s="25" t="e">
        <f t="shared" si="12"/>
        <v>#REF!</v>
      </c>
      <c r="BF6" s="30" t="e">
        <f t="shared" si="1"/>
        <v>#REF!</v>
      </c>
      <c r="BG6" s="30" t="e">
        <f t="shared" si="2"/>
        <v>#REF!</v>
      </c>
      <c r="BH6" s="30" t="e">
        <f t="shared" si="3"/>
        <v>#REF!</v>
      </c>
      <c r="BI6" s="30" t="e">
        <f t="shared" si="4"/>
        <v>#REF!</v>
      </c>
      <c r="BJ6" s="30" t="e">
        <f t="shared" si="5"/>
        <v>#REF!</v>
      </c>
      <c r="BK6" s="30" t="e">
        <f t="shared" si="6"/>
        <v>#REF!</v>
      </c>
      <c r="BL6" s="31" t="e">
        <f t="shared" si="7"/>
        <v>#REF!</v>
      </c>
      <c r="BM6" s="31" t="e">
        <f t="shared" si="8"/>
        <v>#REF!</v>
      </c>
      <c r="BN6" s="31" t="e">
        <f t="shared" si="9"/>
        <v>#REF!</v>
      </c>
      <c r="BO6" s="31" t="e">
        <f t="shared" si="10"/>
        <v>#REF!</v>
      </c>
    </row>
    <row r="7" spans="1:67" ht="15.75" customHeight="1" x14ac:dyDescent="0.35">
      <c r="A7" s="2" t="s">
        <v>11</v>
      </c>
      <c r="B7" s="25" t="e">
        <f>SUMPRODUCT(('Phân công'!$D$2:$D$259=$A7)*('Phân công'!#REF!="X")*(RIGHT('Phân công'!$C$2:$C$259,3)="404"))</f>
        <v>#REF!</v>
      </c>
      <c r="C7" s="26" t="e">
        <f>SUMPRODUCT(('Phân công'!$D$2:$D$259=$A7)*('Phân công'!#REF!="X")*(RIGHT('Phân công'!$C$2:$C$259,3)="412"))</f>
        <v>#REF!</v>
      </c>
      <c r="D7" s="26" t="e">
        <f>SUMPRODUCT(('Phân công'!$D$2:$D$259=$A7)*('Phân công'!#REF!="X")*(RIGHT('Phân công'!$C$2:$C$259,3)="414"))</f>
        <v>#REF!</v>
      </c>
      <c r="E7" s="26" t="e">
        <f>SUMPRODUCT(('Phân công'!$D$2:$D$259=$A7)*('Phân công'!#REF!="X")*(RIGHT('Phân công'!$C$2:$C$259,4)="404C")*('Phân công'!#REF!="Tiếng Việt"))</f>
        <v>#REF!</v>
      </c>
      <c r="F7" s="26" t="e">
        <f>SUMPRODUCT(('Phân công'!$D$2:$D$259=$A7)*('Phân công'!#REF!="X")*(RIGHT('Phân công'!$C$2:$C$259,4)="404C")*('Phân công'!#REF!="Tiếng Anh"))</f>
        <v>#REF!</v>
      </c>
      <c r="G7" s="26" t="e">
        <f>SUMPRODUCT(('Phân công'!$D$2:$D$259=$A7)*('Phân công'!#REF!="X")*(RIGHT('Phân công'!$C$2:$C$259,4)="414C")*('Phân công'!#REF!="Tiếng Việt"))</f>
        <v>#REF!</v>
      </c>
      <c r="H7" s="27" t="e">
        <f>SUMPRODUCT(('Phân công'!$D$2:$D$259=$A7)*('Phân công'!#REF!="X")*(RIGHT('Phân công'!$C$2:$C$259,4)="414C")*('Phân công'!#REF!="Tiếng Anh"))</f>
        <v>#REF!</v>
      </c>
      <c r="I7" s="28" t="e">
        <f>SUMPRODUCT(('Phân công'!$D$2:$D$259=$A7)*('Phân công'!#REF!="X")*(RIGHT('Phân công'!$C$2:$C$259,5)="404CA"))</f>
        <v>#REF!</v>
      </c>
      <c r="J7" s="25" t="e">
        <f>SUMPRODUCT(('Phân công'!$D$2:$D$259=$A7)*('Phân công'!#REF!="X")*(RIGHT('Phân công'!$C$2:$C$259,3)="404"))</f>
        <v>#REF!</v>
      </c>
      <c r="K7" s="26" t="e">
        <f>SUMPRODUCT(('Phân công'!$D$2:$D$259=$A7)*('Phân công'!#REF!="X")*(RIGHT('Phân công'!$C$2:$C$259,3)="412"))</f>
        <v>#REF!</v>
      </c>
      <c r="L7" s="26" t="e">
        <f>SUMPRODUCT(('Phân công'!$D$2:$D$259=$A7)*('Phân công'!#REF!="X")*(RIGHT('Phân công'!$C$2:$C$259,3)="414"))</f>
        <v>#REF!</v>
      </c>
      <c r="M7" s="26" t="e">
        <f>SUMPRODUCT(('Phân công'!$D$2:$D$259=$A7)*('Phân công'!#REF!="X")*(RIGHT('Phân công'!$C$2:$C$259,3)="04C")*('Phân công'!#REF!="Tiếng Việt"))</f>
        <v>#REF!</v>
      </c>
      <c r="N7" s="26" t="e">
        <f>SUMPRODUCT(('Phân công'!$D$2:$D$259=$A7)*('Phân công'!#REF!="X")*(RIGHT('Phân công'!$C$2:$C$259,3)="04C")*('Phân công'!#REF!="Tiếng Anh"))</f>
        <v>#REF!</v>
      </c>
      <c r="O7" s="26" t="e">
        <f>SUMPRODUCT(('Phân công'!$D$2:$D$259=$A7)*('Phân công'!#REF!="X")*(RIGHT('Phân công'!$C$2:$C$259,3)="14C")*('Phân công'!#REF!="Tiếng Việt"))</f>
        <v>#REF!</v>
      </c>
      <c r="P7" s="27" t="e">
        <f>SUMPRODUCT(('Phân công'!$D$2:$D$259=$A7)*('Phân công'!#REF!="X")*(RIGHT('Phân công'!$C$2:$C$259,3)="14C")*('Phân công'!#REF!="Tiếng Anh"))</f>
        <v>#REF!</v>
      </c>
      <c r="Q7" s="28" t="e">
        <f>SUMPRODUCT(('Phân công'!$D$2:$D$259=$A7)*('Phân công'!#REF!="X")*(RIGHT('Phân công'!$C$2:$C$259,3)="4CA"))</f>
        <v>#REF!</v>
      </c>
      <c r="R7" s="25" t="e">
        <f>SUMPRODUCT(('Phân công'!#REF!='Thù lao'!A7)*(RIGHT('Phân công'!$C$2:$C$259,3)="404"))</f>
        <v>#REF!</v>
      </c>
      <c r="S7" s="29" t="e">
        <f>SUMPRODUCT(('Phân công'!#REF!='Thù lao'!A7)*(RIGHT('Phân công'!$C$2:$C$259,3)="412"))</f>
        <v>#REF!</v>
      </c>
      <c r="T7" s="29" t="e">
        <f>SUMPRODUCT(('Phân công'!#REF!='Thù lao'!A7)*(RIGHT('Phân công'!$C$2:$C$259,3)="414"))</f>
        <v>#REF!</v>
      </c>
      <c r="U7" s="26" t="e">
        <f>SUMPRODUCT(('Phân công'!#REF!='Thù lao'!A7)*(RIGHT('Phân công'!$C$2:$C$259,3)="04C")*('Phân công'!#REF!="Tiếng Việt"))</f>
        <v>#REF!</v>
      </c>
      <c r="V7" s="26" t="e">
        <f>SUMPRODUCT(('Phân công'!#REF!='Thù lao'!A7)*(RIGHT('Phân công'!$C$2:$C$259,3)="04C")*('Phân công'!#REF!="Tiếng Anh"))</f>
        <v>#REF!</v>
      </c>
      <c r="W7" s="26" t="e">
        <f>SUMPRODUCT(('Phân công'!#REF!='Thù lao'!A7)*(RIGHT('Phân công'!$C$2:$C$259,3)="14C")*('Phân công'!#REF!="Tiếng Việt"))</f>
        <v>#REF!</v>
      </c>
      <c r="X7" s="27" t="e">
        <f>SUMPRODUCT(('Phân công'!#REF!='Thù lao'!A7)*(RIGHT('Phân công'!$C$2:$C$259,3)="14C")*('Phân công'!#REF!="Tiếng Anh"))</f>
        <v>#REF!</v>
      </c>
      <c r="Y7" s="26" t="e">
        <f>SUMPRODUCT(('Phân công'!#REF!='Thù lao'!A7)*(RIGHT('Phân công'!$C$10:$C$259,3)="4CA"))</f>
        <v>#REF!</v>
      </c>
      <c r="Z7" s="25" t="e">
        <f>SUMPRODUCT(('Phân công'!#REF!='Thù lao'!A7)*(RIGHT('Phân công'!$C$2:$C$259,3)="404"))</f>
        <v>#REF!</v>
      </c>
      <c r="AA7" s="29" t="e">
        <f>SUMPRODUCT(('Phân công'!#REF!='Thù lao'!A7)*(RIGHT('Phân công'!$C$2:$C$259,3)="412"))</f>
        <v>#REF!</v>
      </c>
      <c r="AB7" s="29" t="e">
        <f>SUMPRODUCT(('Phân công'!#REF!='Thù lao'!A7)*(RIGHT('Phân công'!$C$2:$C$259,3)="414"))</f>
        <v>#REF!</v>
      </c>
      <c r="AC7" s="26" t="e">
        <f>SUMPRODUCT(('Phân công'!#REF!='Thù lao'!A7)*(RIGHT('Phân công'!$C$2:$C$259,3)="04C")*('Phân công'!#REF!="Tiếng Việt"))</f>
        <v>#REF!</v>
      </c>
      <c r="AD7" s="26" t="e">
        <f>SUMPRODUCT(('Phân công'!#REF!='Thù lao'!A7)*(RIGHT('Phân công'!$C$2:$C$259,3)="04C")*('Phân công'!#REF!="Tiếng Anh"))</f>
        <v>#REF!</v>
      </c>
      <c r="AE7" s="26" t="e">
        <f>SUMPRODUCT(('Phân công'!#REF!='Thù lao'!A7)*(RIGHT('Phân công'!$C$2:$C$259,3)="14C")*('Phân công'!#REF!="Tiếng Việt"))</f>
        <v>#REF!</v>
      </c>
      <c r="AF7" s="27" t="e">
        <f>SUMPRODUCT(('Phân công'!#REF!='Thù lao'!A7)*(RIGHT('Phân công'!$C$2:$C$259,3)="14C")*('Phân công'!#REF!="Tiếng Anh"))</f>
        <v>#REF!</v>
      </c>
      <c r="AG7" s="26" t="e">
        <f>SUMPRODUCT(('Phân công'!#REF!='Thù lao'!A7)*(RIGHT('Phân công'!$C$2:$C$259,3)="4CA"))</f>
        <v>#REF!</v>
      </c>
      <c r="AH7" s="25" t="e">
        <f>SUMPRODUCT(('Phân công'!#REF!='Thù lao'!A7)*(RIGHT('Phân công'!$C$2:$C$259,3)="404"))</f>
        <v>#REF!</v>
      </c>
      <c r="AI7" s="29" t="e">
        <f>SUMPRODUCT(('Phân công'!#REF!='Thù lao'!A7)*(RIGHT('Phân công'!$C$2:$C$259,3)="412"))</f>
        <v>#REF!</v>
      </c>
      <c r="AJ7" s="29" t="e">
        <f>SUMPRODUCT(('Phân công'!#REF!='Thù lao'!A7)*(RIGHT('Phân công'!$C$2:$C$259,3)="414"))</f>
        <v>#REF!</v>
      </c>
      <c r="AK7" s="26" t="e">
        <f>SUMPRODUCT(('Phân công'!#REF!='Thù lao'!A7)*(RIGHT('Phân công'!$C$2:$C$259,3)="04C")*('Phân công'!#REF!="Tiếng Việt"))</f>
        <v>#REF!</v>
      </c>
      <c r="AL7" s="26" t="e">
        <f>SUMPRODUCT(('Phân công'!#REF!='Thù lao'!A7)*(RIGHT('Phân công'!$C$2:$C$259,3)="04C")*('Phân công'!#REF!="Tiếng Anh"))</f>
        <v>#REF!</v>
      </c>
      <c r="AM7" s="26" t="e">
        <f>SUMPRODUCT(('Phân công'!#REF!='Thù lao'!A7)*(RIGHT('Phân công'!$C$2:$C$259,3)="14C")*('Phân công'!#REF!="Tiếng Việt"))</f>
        <v>#REF!</v>
      </c>
      <c r="AN7" s="27" t="e">
        <f>SUMPRODUCT(('Phân công'!#REF!='Thù lao'!A7)*(RIGHT('Phân công'!$C$2:$C$259,3)="14C")*('Phân công'!#REF!="Tiếng Anh"))</f>
        <v>#REF!</v>
      </c>
      <c r="AO7" s="26" t="e">
        <f>SUMPRODUCT(('Phân công'!#REF!='Thù lao'!A7)*(RIGHT('Phân công'!$C$2:$C$259,3)="4CA"))</f>
        <v>#REF!</v>
      </c>
      <c r="AP7" s="25" t="e">
        <f>SUMPRODUCT(('Phân công'!#REF!='Thù lao'!A7)*(RIGHT('Phân công'!$C$2:$C$259,3)="404"))</f>
        <v>#REF!</v>
      </c>
      <c r="AQ7" s="29" t="e">
        <f>SUMPRODUCT(('Phân công'!#REF!='Thù lao'!A7)*(RIGHT('Phân công'!$C$2:$C$259,3)="412"))</f>
        <v>#REF!</v>
      </c>
      <c r="AR7" s="29" t="e">
        <f>SUMPRODUCT(('Phân công'!#REF!='Thù lao'!A7)*(RIGHT('Phân công'!$C$2:$C$259,3)="414"))</f>
        <v>#REF!</v>
      </c>
      <c r="AS7" s="26" t="e">
        <f>SUMPRODUCT(('Phân công'!#REF!='Thù lao'!A7)*(RIGHT('Phân công'!$C$2:$C$259,3)="04C")*('Phân công'!#REF!="Tiếng Việt"))</f>
        <v>#REF!</v>
      </c>
      <c r="AT7" s="26" t="e">
        <f>SUMPRODUCT(('Phân công'!#REF!='Thù lao'!A7)*(RIGHT('Phân công'!$C$2:$C$259,3)="04C")*('Phân công'!#REF!="Tiếng Anh"))</f>
        <v>#REF!</v>
      </c>
      <c r="AU7" s="26" t="e">
        <f>SUMPRODUCT(('Phân công'!#REF!='Thù lao'!A7)*(RIGHT('Phân công'!$C$2:$C$259,3)="14C")*('Phân công'!#REF!="Tiếng Việt"))</f>
        <v>#REF!</v>
      </c>
      <c r="AV7" s="27" t="e">
        <f>SUMPRODUCT(('Phân công'!#REF!='Thù lao'!A7)*(RIGHT('Phân công'!$C$2:$C$259,3)="14C")*('Phân công'!#REF!="Tiếng Anh"))</f>
        <v>#REF!</v>
      </c>
      <c r="AW7" s="26" t="e">
        <f>SUMPRODUCT(('Phân công'!#REF!='Thù lao'!A7)*(RIGHT('Phân công'!$C$2:$C$259,3)="4CA"))</f>
        <v>#REF!</v>
      </c>
      <c r="AX7" s="25" t="e">
        <f t="shared" ref="AX7:BE7" si="13">AP7+AH7+Z7+R7</f>
        <v>#REF!</v>
      </c>
      <c r="AY7" s="25" t="e">
        <f t="shared" si="13"/>
        <v>#REF!</v>
      </c>
      <c r="AZ7" s="25" t="e">
        <f t="shared" si="13"/>
        <v>#REF!</v>
      </c>
      <c r="BA7" s="25" t="e">
        <f t="shared" si="13"/>
        <v>#REF!</v>
      </c>
      <c r="BB7" s="25" t="e">
        <f t="shared" si="13"/>
        <v>#REF!</v>
      </c>
      <c r="BC7" s="25" t="e">
        <f t="shared" si="13"/>
        <v>#REF!</v>
      </c>
      <c r="BD7" s="25" t="e">
        <f t="shared" si="13"/>
        <v>#REF!</v>
      </c>
      <c r="BE7" s="25" t="e">
        <f t="shared" si="13"/>
        <v>#REF!</v>
      </c>
      <c r="BF7" s="30" t="e">
        <f t="shared" si="1"/>
        <v>#REF!</v>
      </c>
      <c r="BG7" s="30" t="e">
        <f t="shared" si="2"/>
        <v>#REF!</v>
      </c>
      <c r="BH7" s="30" t="e">
        <f t="shared" si="3"/>
        <v>#REF!</v>
      </c>
      <c r="BI7" s="30" t="e">
        <f t="shared" si="4"/>
        <v>#REF!</v>
      </c>
      <c r="BJ7" s="30" t="e">
        <f t="shared" si="5"/>
        <v>#REF!</v>
      </c>
      <c r="BK7" s="30" t="e">
        <f t="shared" si="6"/>
        <v>#REF!</v>
      </c>
      <c r="BL7" s="31" t="e">
        <f t="shared" si="7"/>
        <v>#REF!</v>
      </c>
      <c r="BM7" s="31" t="e">
        <f t="shared" si="8"/>
        <v>#REF!</v>
      </c>
      <c r="BN7" s="31" t="e">
        <f t="shared" si="9"/>
        <v>#REF!</v>
      </c>
      <c r="BO7" s="31" t="e">
        <f t="shared" si="10"/>
        <v>#REF!</v>
      </c>
    </row>
    <row r="8" spans="1:67" ht="15.75" customHeight="1" x14ac:dyDescent="0.35">
      <c r="A8" s="2" t="s">
        <v>67</v>
      </c>
      <c r="B8" s="25" t="e">
        <f>SUMPRODUCT(('Phân công'!$D$2:$D$259=$A8)*('Phân công'!#REF!="X")*(RIGHT('Phân công'!$C$2:$C$259,3)="404"))</f>
        <v>#REF!</v>
      </c>
      <c r="C8" s="26" t="e">
        <f>SUMPRODUCT(('Phân công'!$D$2:$D$259=$A8)*('Phân công'!#REF!="X")*(RIGHT('Phân công'!$C$2:$C$259,3)="412"))</f>
        <v>#REF!</v>
      </c>
      <c r="D8" s="26" t="e">
        <f>SUMPRODUCT(('Phân công'!$D$2:$D$259=$A8)*('Phân công'!#REF!="X")*(RIGHT('Phân công'!$C$2:$C$259,3)="414"))</f>
        <v>#REF!</v>
      </c>
      <c r="E8" s="26" t="e">
        <f>SUMPRODUCT(('Phân công'!$D$2:$D$259=$A8)*('Phân công'!#REF!="X")*(RIGHT('Phân công'!$C$2:$C$259,4)="404C")*('Phân công'!#REF!="Tiếng Việt"))</f>
        <v>#REF!</v>
      </c>
      <c r="F8" s="26" t="e">
        <f>SUMPRODUCT(('Phân công'!$D$2:$D$259=$A8)*('Phân công'!#REF!="X")*(RIGHT('Phân công'!$C$2:$C$259,4)="404C")*('Phân công'!#REF!="Tiếng Anh"))</f>
        <v>#REF!</v>
      </c>
      <c r="G8" s="26" t="e">
        <f>SUMPRODUCT(('Phân công'!$D$2:$D$259=$A8)*('Phân công'!#REF!="X")*(RIGHT('Phân công'!$C$2:$C$259,4)="414C")*('Phân công'!#REF!="Tiếng Việt"))</f>
        <v>#REF!</v>
      </c>
      <c r="H8" s="27" t="e">
        <f>SUMPRODUCT(('Phân công'!$D$2:$D$259=$A8)*('Phân công'!#REF!="X")*(RIGHT('Phân công'!$C$2:$C$259,4)="414C")*('Phân công'!#REF!="Tiếng Anh"))</f>
        <v>#REF!</v>
      </c>
      <c r="I8" s="28" t="e">
        <f>SUMPRODUCT(('Phân công'!$D$2:$D$259=$A8)*('Phân công'!#REF!="X")*(RIGHT('Phân công'!$C$2:$C$259,5)="404CA"))</f>
        <v>#REF!</v>
      </c>
      <c r="J8" s="25" t="e">
        <f>SUMPRODUCT(('Phân công'!$D$2:$D$259=$A8)*('Phân công'!#REF!="X")*(RIGHT('Phân công'!$C$2:$C$259,3)="404"))</f>
        <v>#REF!</v>
      </c>
      <c r="K8" s="26" t="e">
        <f>SUMPRODUCT(('Phân công'!$D$2:$D$259=$A8)*('Phân công'!#REF!="X")*(RIGHT('Phân công'!$C$2:$C$259,3)="412"))</f>
        <v>#REF!</v>
      </c>
      <c r="L8" s="26" t="e">
        <f>SUMPRODUCT(('Phân công'!$D$2:$D$259=$A8)*('Phân công'!#REF!="X")*(RIGHT('Phân công'!$C$2:$C$259,3)="414"))</f>
        <v>#REF!</v>
      </c>
      <c r="M8" s="26" t="e">
        <f>SUMPRODUCT(('Phân công'!$D$2:$D$259=$A8)*('Phân công'!#REF!="X")*(RIGHT('Phân công'!$C$2:$C$259,3)="04C")*('Phân công'!#REF!="Tiếng Việt"))</f>
        <v>#REF!</v>
      </c>
      <c r="N8" s="26" t="e">
        <f>SUMPRODUCT(('Phân công'!$D$2:$D$259=$A8)*('Phân công'!#REF!="X")*(RIGHT('Phân công'!$C$2:$C$259,3)="04C")*('Phân công'!#REF!="Tiếng Anh"))</f>
        <v>#REF!</v>
      </c>
      <c r="O8" s="26" t="e">
        <f>SUMPRODUCT(('Phân công'!$D$2:$D$259=$A8)*('Phân công'!#REF!="X")*(RIGHT('Phân công'!$C$2:$C$259,3)="14C")*('Phân công'!#REF!="Tiếng Việt"))</f>
        <v>#REF!</v>
      </c>
      <c r="P8" s="27" t="e">
        <f>SUMPRODUCT(('Phân công'!$D$2:$D$259=$A8)*('Phân công'!#REF!="X")*(RIGHT('Phân công'!$C$2:$C$259,3)="14C")*('Phân công'!#REF!="Tiếng Anh"))</f>
        <v>#REF!</v>
      </c>
      <c r="Q8" s="28" t="e">
        <f>SUMPRODUCT(('Phân công'!$D$2:$D$259=$A8)*('Phân công'!#REF!="X")*(RIGHT('Phân công'!$C$2:$C$259,3)="4CA"))</f>
        <v>#REF!</v>
      </c>
      <c r="R8" s="25" t="e">
        <f>SUMPRODUCT(('Phân công'!#REF!='Thù lao'!A8)*(RIGHT('Phân công'!$C$2:$C$259,3)="404"))</f>
        <v>#REF!</v>
      </c>
      <c r="S8" s="29" t="e">
        <f>SUMPRODUCT(('Phân công'!#REF!='Thù lao'!A8)*(RIGHT('Phân công'!$C$2:$C$259,3)="412"))</f>
        <v>#REF!</v>
      </c>
      <c r="T8" s="29" t="e">
        <f>SUMPRODUCT(('Phân công'!#REF!='Thù lao'!A8)*(RIGHT('Phân công'!$C$2:$C$259,3)="414"))</f>
        <v>#REF!</v>
      </c>
      <c r="U8" s="26" t="e">
        <f>SUMPRODUCT(('Phân công'!#REF!='Thù lao'!A8)*(RIGHT('Phân công'!$C$2:$C$259,3)="04C")*('Phân công'!#REF!="Tiếng Việt"))</f>
        <v>#REF!</v>
      </c>
      <c r="V8" s="26" t="e">
        <f>SUMPRODUCT(('Phân công'!#REF!='Thù lao'!A8)*(RIGHT('Phân công'!$C$2:$C$259,3)="04C")*('Phân công'!#REF!="Tiếng Anh"))</f>
        <v>#REF!</v>
      </c>
      <c r="W8" s="26" t="e">
        <f>SUMPRODUCT(('Phân công'!#REF!='Thù lao'!A8)*(RIGHT('Phân công'!$C$2:$C$259,3)="14C")*('Phân công'!#REF!="Tiếng Việt"))</f>
        <v>#REF!</v>
      </c>
      <c r="X8" s="27" t="e">
        <f>SUMPRODUCT(('Phân công'!#REF!='Thù lao'!A8)*(RIGHT('Phân công'!$C$2:$C$259,3)="14C")*('Phân công'!#REF!="Tiếng Anh"))</f>
        <v>#REF!</v>
      </c>
      <c r="Y8" s="26" t="e">
        <f>SUMPRODUCT(('Phân công'!#REF!='Thù lao'!A8)*(RIGHT('Phân công'!$C$10:$C$259,3)="4CA"))</f>
        <v>#REF!</v>
      </c>
      <c r="Z8" s="25" t="e">
        <f>SUMPRODUCT(('Phân công'!#REF!='Thù lao'!A8)*(RIGHT('Phân công'!$C$2:$C$259,3)="404"))</f>
        <v>#REF!</v>
      </c>
      <c r="AA8" s="29" t="e">
        <f>SUMPRODUCT(('Phân công'!#REF!='Thù lao'!A8)*(RIGHT('Phân công'!$C$2:$C$259,3)="412"))</f>
        <v>#REF!</v>
      </c>
      <c r="AB8" s="29" t="e">
        <f>SUMPRODUCT(('Phân công'!#REF!='Thù lao'!A8)*(RIGHT('Phân công'!$C$2:$C$259,3)="414"))</f>
        <v>#REF!</v>
      </c>
      <c r="AC8" s="26" t="e">
        <f>SUMPRODUCT(('Phân công'!#REF!='Thù lao'!A8)*(RIGHT('Phân công'!$C$2:$C$259,3)="04C")*('Phân công'!#REF!="Tiếng Việt"))</f>
        <v>#REF!</v>
      </c>
      <c r="AD8" s="26" t="e">
        <f>SUMPRODUCT(('Phân công'!#REF!='Thù lao'!A8)*(RIGHT('Phân công'!$C$2:$C$259,3)="04C")*('Phân công'!#REF!="Tiếng Anh"))</f>
        <v>#REF!</v>
      </c>
      <c r="AE8" s="26" t="e">
        <f>SUMPRODUCT(('Phân công'!#REF!='Thù lao'!A8)*(RIGHT('Phân công'!$C$2:$C$259,3)="14C")*('Phân công'!#REF!="Tiếng Việt"))</f>
        <v>#REF!</v>
      </c>
      <c r="AF8" s="27" t="e">
        <f>SUMPRODUCT(('Phân công'!#REF!='Thù lao'!A8)*(RIGHT('Phân công'!$C$2:$C$259,3)="14C")*('Phân công'!#REF!="Tiếng Anh"))</f>
        <v>#REF!</v>
      </c>
      <c r="AG8" s="26" t="e">
        <f>SUMPRODUCT(('Phân công'!#REF!='Thù lao'!A8)*(RIGHT('Phân công'!$C$2:$C$259,3)="4CA"))</f>
        <v>#REF!</v>
      </c>
      <c r="AH8" s="25" t="e">
        <f>SUMPRODUCT(('Phân công'!#REF!='Thù lao'!A8)*(RIGHT('Phân công'!$C$2:$C$259,3)="404"))</f>
        <v>#REF!</v>
      </c>
      <c r="AI8" s="29" t="e">
        <f>SUMPRODUCT(('Phân công'!#REF!='Thù lao'!A8)*(RIGHT('Phân công'!$C$2:$C$259,3)="412"))</f>
        <v>#REF!</v>
      </c>
      <c r="AJ8" s="29" t="e">
        <f>SUMPRODUCT(('Phân công'!#REF!='Thù lao'!A8)*(RIGHT('Phân công'!$C$2:$C$259,3)="414"))</f>
        <v>#REF!</v>
      </c>
      <c r="AK8" s="26" t="e">
        <f>SUMPRODUCT(('Phân công'!#REF!='Thù lao'!A8)*(RIGHT('Phân công'!$C$2:$C$259,3)="04C")*('Phân công'!#REF!="Tiếng Việt"))</f>
        <v>#REF!</v>
      </c>
      <c r="AL8" s="26" t="e">
        <f>SUMPRODUCT(('Phân công'!#REF!='Thù lao'!A8)*(RIGHT('Phân công'!$C$2:$C$259,3)="04C")*('Phân công'!#REF!="Tiếng Anh"))</f>
        <v>#REF!</v>
      </c>
      <c r="AM8" s="26" t="e">
        <f>SUMPRODUCT(('Phân công'!#REF!='Thù lao'!A8)*(RIGHT('Phân công'!$C$2:$C$259,3)="14C")*('Phân công'!#REF!="Tiếng Việt"))</f>
        <v>#REF!</v>
      </c>
      <c r="AN8" s="27" t="e">
        <f>SUMPRODUCT(('Phân công'!#REF!='Thù lao'!A8)*(RIGHT('Phân công'!$C$2:$C$259,3)="14C")*('Phân công'!#REF!="Tiếng Anh"))</f>
        <v>#REF!</v>
      </c>
      <c r="AO8" s="26" t="e">
        <f>SUMPRODUCT(('Phân công'!#REF!='Thù lao'!A8)*(RIGHT('Phân công'!$C$2:$C$259,3)="4CA"))</f>
        <v>#REF!</v>
      </c>
      <c r="AP8" s="25" t="e">
        <f>SUMPRODUCT(('Phân công'!#REF!='Thù lao'!A8)*(RIGHT('Phân công'!$C$2:$C$259,3)="404"))</f>
        <v>#REF!</v>
      </c>
      <c r="AQ8" s="29" t="e">
        <f>SUMPRODUCT(('Phân công'!#REF!='Thù lao'!A8)*(RIGHT('Phân công'!$C$2:$C$259,3)="412"))</f>
        <v>#REF!</v>
      </c>
      <c r="AR8" s="29" t="e">
        <f>SUMPRODUCT(('Phân công'!#REF!='Thù lao'!A8)*(RIGHT('Phân công'!$C$2:$C$259,3)="414"))</f>
        <v>#REF!</v>
      </c>
      <c r="AS8" s="26" t="e">
        <f>SUMPRODUCT(('Phân công'!#REF!='Thù lao'!A8)*(RIGHT('Phân công'!$C$2:$C$259,3)="04C")*('Phân công'!#REF!="Tiếng Việt"))</f>
        <v>#REF!</v>
      </c>
      <c r="AT8" s="26" t="e">
        <f>SUMPRODUCT(('Phân công'!#REF!='Thù lao'!A8)*(RIGHT('Phân công'!$C$2:$C$259,3)="04C")*('Phân công'!#REF!="Tiếng Anh"))</f>
        <v>#REF!</v>
      </c>
      <c r="AU8" s="26" t="e">
        <f>SUMPRODUCT(('Phân công'!#REF!='Thù lao'!A8)*(RIGHT('Phân công'!$C$2:$C$259,3)="14C")*('Phân công'!#REF!="Tiếng Việt"))</f>
        <v>#REF!</v>
      </c>
      <c r="AV8" s="27" t="e">
        <f>SUMPRODUCT(('Phân công'!#REF!='Thù lao'!A8)*(RIGHT('Phân công'!$C$2:$C$259,3)="14C")*('Phân công'!#REF!="Tiếng Anh"))</f>
        <v>#REF!</v>
      </c>
      <c r="AW8" s="26" t="e">
        <f>SUMPRODUCT(('Phân công'!#REF!='Thù lao'!A8)*(RIGHT('Phân công'!$C$2:$C$259,3)="4CA"))</f>
        <v>#REF!</v>
      </c>
      <c r="AX8" s="25" t="e">
        <f t="shared" ref="AX8:BE8" si="14">AP8+AH8+Z8+R8</f>
        <v>#REF!</v>
      </c>
      <c r="AY8" s="25" t="e">
        <f t="shared" si="14"/>
        <v>#REF!</v>
      </c>
      <c r="AZ8" s="25" t="e">
        <f t="shared" si="14"/>
        <v>#REF!</v>
      </c>
      <c r="BA8" s="25" t="e">
        <f t="shared" si="14"/>
        <v>#REF!</v>
      </c>
      <c r="BB8" s="25" t="e">
        <f t="shared" si="14"/>
        <v>#REF!</v>
      </c>
      <c r="BC8" s="25" t="e">
        <f t="shared" si="14"/>
        <v>#REF!</v>
      </c>
      <c r="BD8" s="25" t="e">
        <f t="shared" si="14"/>
        <v>#REF!</v>
      </c>
      <c r="BE8" s="25" t="e">
        <f t="shared" si="14"/>
        <v>#REF!</v>
      </c>
      <c r="BF8" s="30" t="e">
        <f t="shared" si="1"/>
        <v>#REF!</v>
      </c>
      <c r="BG8" s="30" t="e">
        <f t="shared" si="2"/>
        <v>#REF!</v>
      </c>
      <c r="BH8" s="30" t="e">
        <f t="shared" si="3"/>
        <v>#REF!</v>
      </c>
      <c r="BI8" s="30" t="e">
        <f t="shared" si="4"/>
        <v>#REF!</v>
      </c>
      <c r="BJ8" s="30" t="e">
        <f t="shared" si="5"/>
        <v>#REF!</v>
      </c>
      <c r="BK8" s="30" t="e">
        <f t="shared" si="6"/>
        <v>#REF!</v>
      </c>
      <c r="BL8" s="31" t="e">
        <f t="shared" si="7"/>
        <v>#REF!</v>
      </c>
      <c r="BM8" s="31" t="e">
        <f t="shared" si="8"/>
        <v>#REF!</v>
      </c>
      <c r="BN8" s="31" t="e">
        <f t="shared" si="9"/>
        <v>#REF!</v>
      </c>
      <c r="BO8" s="31" t="e">
        <f t="shared" si="10"/>
        <v>#REF!</v>
      </c>
    </row>
    <row r="9" spans="1:67" ht="15.75" customHeight="1" x14ac:dyDescent="0.35">
      <c r="A9" s="2" t="s">
        <v>10</v>
      </c>
      <c r="B9" s="25" t="e">
        <f>SUMPRODUCT(('Phân công'!$D$2:$D$259=$A9)*('Phân công'!#REF!="X")*(RIGHT('Phân công'!$C$2:$C$259,3)="404"))</f>
        <v>#REF!</v>
      </c>
      <c r="C9" s="26" t="e">
        <f>SUMPRODUCT(('Phân công'!$D$2:$D$259=$A9)*('Phân công'!#REF!="X")*(RIGHT('Phân công'!$C$2:$C$259,3)="412"))</f>
        <v>#REF!</v>
      </c>
      <c r="D9" s="26" t="e">
        <f>SUMPRODUCT(('Phân công'!$D$2:$D$259=$A9)*('Phân công'!#REF!="X")*(RIGHT('Phân công'!$C$2:$C$259,3)="414"))</f>
        <v>#REF!</v>
      </c>
      <c r="E9" s="26" t="e">
        <f>SUMPRODUCT(('Phân công'!$D$2:$D$259=$A9)*('Phân công'!#REF!="X")*(RIGHT('Phân công'!$C$2:$C$259,4)="404C")*('Phân công'!#REF!="Tiếng Việt"))</f>
        <v>#REF!</v>
      </c>
      <c r="F9" s="26" t="e">
        <f>SUMPRODUCT(('Phân công'!$D$2:$D$259=$A9)*('Phân công'!#REF!="X")*(RIGHT('Phân công'!$C$2:$C$259,4)="404C")*('Phân công'!#REF!="Tiếng Anh"))</f>
        <v>#REF!</v>
      </c>
      <c r="G9" s="26" t="e">
        <f>SUMPRODUCT(('Phân công'!$D$2:$D$259=$A9)*('Phân công'!#REF!="X")*(RIGHT('Phân công'!$C$2:$C$259,4)="414C")*('Phân công'!#REF!="Tiếng Việt"))</f>
        <v>#REF!</v>
      </c>
      <c r="H9" s="27" t="e">
        <f>SUMPRODUCT(('Phân công'!$D$2:$D$259=$A9)*('Phân công'!#REF!="X")*(RIGHT('Phân công'!$C$2:$C$259,4)="414C")*('Phân công'!#REF!="Tiếng Anh"))</f>
        <v>#REF!</v>
      </c>
      <c r="I9" s="28" t="e">
        <f>SUMPRODUCT(('Phân công'!$D$2:$D$259=$A9)*('Phân công'!#REF!="X")*(RIGHT('Phân công'!$C$2:$C$259,5)="404CA"))</f>
        <v>#REF!</v>
      </c>
      <c r="J9" s="25" t="e">
        <f>SUMPRODUCT(('Phân công'!$D$2:$D$259=$A9)*('Phân công'!#REF!="X")*(RIGHT('Phân công'!$C$2:$C$259,3)="404"))</f>
        <v>#REF!</v>
      </c>
      <c r="K9" s="26" t="e">
        <f>SUMPRODUCT(('Phân công'!$D$2:$D$259=$A9)*('Phân công'!#REF!="X")*(RIGHT('Phân công'!$C$2:$C$259,3)="412"))</f>
        <v>#REF!</v>
      </c>
      <c r="L9" s="26" t="e">
        <f>SUMPRODUCT(('Phân công'!$D$2:$D$259=$A9)*('Phân công'!#REF!="X")*(RIGHT('Phân công'!$C$2:$C$259,3)="414"))</f>
        <v>#REF!</v>
      </c>
      <c r="M9" s="26" t="e">
        <f>SUMPRODUCT(('Phân công'!$D$2:$D$259=$A9)*('Phân công'!#REF!="X")*(RIGHT('Phân công'!$C$2:$C$259,3)="04C")*('Phân công'!#REF!="Tiếng Việt"))</f>
        <v>#REF!</v>
      </c>
      <c r="N9" s="26" t="e">
        <f>SUMPRODUCT(('Phân công'!$D$2:$D$259=$A9)*('Phân công'!#REF!="X")*(RIGHT('Phân công'!$C$2:$C$259,3)="04C")*('Phân công'!#REF!="Tiếng Anh"))</f>
        <v>#REF!</v>
      </c>
      <c r="O9" s="26" t="e">
        <f>SUMPRODUCT(('Phân công'!$D$2:$D$259=$A9)*('Phân công'!#REF!="X")*(RIGHT('Phân công'!$C$2:$C$259,3)="14C")*('Phân công'!#REF!="Tiếng Việt"))</f>
        <v>#REF!</v>
      </c>
      <c r="P9" s="27" t="e">
        <f>SUMPRODUCT(('Phân công'!$D$2:$D$259=$A9)*('Phân công'!#REF!="X")*(RIGHT('Phân công'!$C$2:$C$259,3)="14C")*('Phân công'!#REF!="Tiếng Anh"))</f>
        <v>#REF!</v>
      </c>
      <c r="Q9" s="28" t="e">
        <f>SUMPRODUCT(('Phân công'!$D$2:$D$259=$A9)*('Phân công'!#REF!="X")*(RIGHT('Phân công'!$C$2:$C$259,3)="4CA"))</f>
        <v>#REF!</v>
      </c>
      <c r="R9" s="25" t="e">
        <f>SUMPRODUCT(('Phân công'!#REF!='Thù lao'!A9)*(RIGHT('Phân công'!$C$2:$C$259,3)="404"))</f>
        <v>#REF!</v>
      </c>
      <c r="S9" s="29" t="e">
        <f>SUMPRODUCT(('Phân công'!#REF!='Thù lao'!A9)*(RIGHT('Phân công'!$C$2:$C$259,3)="412"))</f>
        <v>#REF!</v>
      </c>
      <c r="T9" s="29" t="e">
        <f>SUMPRODUCT(('Phân công'!#REF!='Thù lao'!A9)*(RIGHT('Phân công'!$C$2:$C$259,3)="414"))</f>
        <v>#REF!</v>
      </c>
      <c r="U9" s="26" t="e">
        <f>SUMPRODUCT(('Phân công'!#REF!='Thù lao'!A9)*(RIGHT('Phân công'!$C$2:$C$259,3)="04C")*('Phân công'!#REF!="Tiếng Việt"))</f>
        <v>#REF!</v>
      </c>
      <c r="V9" s="26" t="e">
        <f>SUMPRODUCT(('Phân công'!#REF!='Thù lao'!A9)*(RIGHT('Phân công'!$C$2:$C$259,3)="04C")*('Phân công'!#REF!="Tiếng Anh"))</f>
        <v>#REF!</v>
      </c>
      <c r="W9" s="26" t="e">
        <f>SUMPRODUCT(('Phân công'!#REF!='Thù lao'!A9)*(RIGHT('Phân công'!$C$2:$C$259,3)="14C")*('Phân công'!#REF!="Tiếng Việt"))</f>
        <v>#REF!</v>
      </c>
      <c r="X9" s="27" t="e">
        <f>SUMPRODUCT(('Phân công'!#REF!='Thù lao'!A9)*(RIGHT('Phân công'!$C$2:$C$259,3)="14C")*('Phân công'!#REF!="Tiếng Anh"))</f>
        <v>#REF!</v>
      </c>
      <c r="Y9" s="26" t="e">
        <f>SUMPRODUCT(('Phân công'!#REF!='Thù lao'!A9)*(RIGHT('Phân công'!$C$10:$C$259,3)="4CA"))</f>
        <v>#REF!</v>
      </c>
      <c r="Z9" s="25" t="e">
        <f>SUMPRODUCT(('Phân công'!#REF!='Thù lao'!A9)*(RIGHT('Phân công'!$C$2:$C$259,3)="404"))</f>
        <v>#REF!</v>
      </c>
      <c r="AA9" s="29" t="e">
        <f>SUMPRODUCT(('Phân công'!#REF!='Thù lao'!A9)*(RIGHT('Phân công'!$C$2:$C$259,3)="412"))</f>
        <v>#REF!</v>
      </c>
      <c r="AB9" s="29" t="e">
        <f>SUMPRODUCT(('Phân công'!#REF!='Thù lao'!A9)*(RIGHT('Phân công'!$C$2:$C$259,3)="414"))</f>
        <v>#REF!</v>
      </c>
      <c r="AC9" s="26" t="e">
        <f>SUMPRODUCT(('Phân công'!#REF!='Thù lao'!A9)*(RIGHT('Phân công'!$C$2:$C$259,3)="04C")*('Phân công'!#REF!="Tiếng Việt"))</f>
        <v>#REF!</v>
      </c>
      <c r="AD9" s="26" t="e">
        <f>SUMPRODUCT(('Phân công'!#REF!='Thù lao'!A9)*(RIGHT('Phân công'!$C$2:$C$259,3)="04C")*('Phân công'!#REF!="Tiếng Anh"))</f>
        <v>#REF!</v>
      </c>
      <c r="AE9" s="26" t="e">
        <f>SUMPRODUCT(('Phân công'!#REF!='Thù lao'!A9)*(RIGHT('Phân công'!$C$2:$C$259,3)="14C")*('Phân công'!#REF!="Tiếng Việt"))</f>
        <v>#REF!</v>
      </c>
      <c r="AF9" s="27" t="e">
        <f>SUMPRODUCT(('Phân công'!#REF!='Thù lao'!A9)*(RIGHT('Phân công'!$C$2:$C$259,3)="14C")*('Phân công'!#REF!="Tiếng Anh"))</f>
        <v>#REF!</v>
      </c>
      <c r="AG9" s="26" t="e">
        <f>SUMPRODUCT(('Phân công'!#REF!='Thù lao'!A9)*(RIGHT('Phân công'!$C$2:$C$259,3)="4CA"))</f>
        <v>#REF!</v>
      </c>
      <c r="AH9" s="25" t="e">
        <f>SUMPRODUCT(('Phân công'!#REF!='Thù lao'!A9)*(RIGHT('Phân công'!$C$2:$C$259,3)="404"))</f>
        <v>#REF!</v>
      </c>
      <c r="AI9" s="29" t="e">
        <f>SUMPRODUCT(('Phân công'!#REF!='Thù lao'!A9)*(RIGHT('Phân công'!$C$2:$C$259,3)="412"))</f>
        <v>#REF!</v>
      </c>
      <c r="AJ9" s="29" t="e">
        <f>SUMPRODUCT(('Phân công'!#REF!='Thù lao'!A9)*(RIGHT('Phân công'!$C$2:$C$259,3)="414"))</f>
        <v>#REF!</v>
      </c>
      <c r="AK9" s="26" t="e">
        <f>SUMPRODUCT(('Phân công'!#REF!='Thù lao'!A9)*(RIGHT('Phân công'!$C$2:$C$259,3)="04C")*('Phân công'!#REF!="Tiếng Việt"))</f>
        <v>#REF!</v>
      </c>
      <c r="AL9" s="26" t="e">
        <f>SUMPRODUCT(('Phân công'!#REF!='Thù lao'!A9)*(RIGHT('Phân công'!$C$2:$C$259,3)="04C")*('Phân công'!#REF!="Tiếng Anh"))</f>
        <v>#REF!</v>
      </c>
      <c r="AM9" s="26" t="e">
        <f>SUMPRODUCT(('Phân công'!#REF!='Thù lao'!A9)*(RIGHT('Phân công'!$C$2:$C$259,3)="14C")*('Phân công'!#REF!="Tiếng Việt"))</f>
        <v>#REF!</v>
      </c>
      <c r="AN9" s="27" t="e">
        <f>SUMPRODUCT(('Phân công'!#REF!='Thù lao'!A9)*(RIGHT('Phân công'!$C$2:$C$259,3)="14C")*('Phân công'!#REF!="Tiếng Anh"))</f>
        <v>#REF!</v>
      </c>
      <c r="AO9" s="26" t="e">
        <f>SUMPRODUCT(('Phân công'!#REF!='Thù lao'!A9)*(RIGHT('Phân công'!$C$2:$C$259,3)="4CA"))</f>
        <v>#REF!</v>
      </c>
      <c r="AP9" s="25" t="e">
        <f>SUMPRODUCT(('Phân công'!#REF!='Thù lao'!A9)*(RIGHT('Phân công'!$C$2:$C$259,3)="404"))</f>
        <v>#REF!</v>
      </c>
      <c r="AQ9" s="29" t="e">
        <f>SUMPRODUCT(('Phân công'!#REF!='Thù lao'!A9)*(RIGHT('Phân công'!$C$2:$C$259,3)="412"))</f>
        <v>#REF!</v>
      </c>
      <c r="AR9" s="29" t="e">
        <f>SUMPRODUCT(('Phân công'!#REF!='Thù lao'!A9)*(RIGHT('Phân công'!$C$2:$C$259,3)="414"))</f>
        <v>#REF!</v>
      </c>
      <c r="AS9" s="26" t="e">
        <f>SUMPRODUCT(('Phân công'!#REF!='Thù lao'!A9)*(RIGHT('Phân công'!$C$2:$C$259,3)="04C")*('Phân công'!#REF!="Tiếng Việt"))</f>
        <v>#REF!</v>
      </c>
      <c r="AT9" s="26" t="e">
        <f>SUMPRODUCT(('Phân công'!#REF!='Thù lao'!A9)*(RIGHT('Phân công'!$C$2:$C$259,3)="04C")*('Phân công'!#REF!="Tiếng Anh"))</f>
        <v>#REF!</v>
      </c>
      <c r="AU9" s="26" t="e">
        <f>SUMPRODUCT(('Phân công'!#REF!='Thù lao'!A9)*(RIGHT('Phân công'!$C$2:$C$259,3)="14C")*('Phân công'!#REF!="Tiếng Việt"))</f>
        <v>#REF!</v>
      </c>
      <c r="AV9" s="27" t="e">
        <f>SUMPRODUCT(('Phân công'!#REF!='Thù lao'!A9)*(RIGHT('Phân công'!$C$2:$C$259,3)="14C")*('Phân công'!#REF!="Tiếng Anh"))</f>
        <v>#REF!</v>
      </c>
      <c r="AW9" s="26" t="e">
        <f>SUMPRODUCT(('Phân công'!#REF!='Thù lao'!A9)*(RIGHT('Phân công'!$C$2:$C$259,3)="4CA"))</f>
        <v>#REF!</v>
      </c>
      <c r="AX9" s="25" t="e">
        <f t="shared" ref="AX9:BE9" si="15">AP9+AH9+Z9+R9</f>
        <v>#REF!</v>
      </c>
      <c r="AY9" s="25" t="e">
        <f t="shared" si="15"/>
        <v>#REF!</v>
      </c>
      <c r="AZ9" s="25" t="e">
        <f t="shared" si="15"/>
        <v>#REF!</v>
      </c>
      <c r="BA9" s="25" t="e">
        <f t="shared" si="15"/>
        <v>#REF!</v>
      </c>
      <c r="BB9" s="25" t="e">
        <f t="shared" si="15"/>
        <v>#REF!</v>
      </c>
      <c r="BC9" s="25" t="e">
        <f t="shared" si="15"/>
        <v>#REF!</v>
      </c>
      <c r="BD9" s="25" t="e">
        <f t="shared" si="15"/>
        <v>#REF!</v>
      </c>
      <c r="BE9" s="25" t="e">
        <f t="shared" si="15"/>
        <v>#REF!</v>
      </c>
      <c r="BF9" s="30" t="e">
        <f t="shared" si="1"/>
        <v>#REF!</v>
      </c>
      <c r="BG9" s="30" t="e">
        <f t="shared" si="2"/>
        <v>#REF!</v>
      </c>
      <c r="BH9" s="30" t="e">
        <f t="shared" si="3"/>
        <v>#REF!</v>
      </c>
      <c r="BI9" s="30" t="e">
        <f t="shared" si="4"/>
        <v>#REF!</v>
      </c>
      <c r="BJ9" s="30" t="e">
        <f t="shared" si="5"/>
        <v>#REF!</v>
      </c>
      <c r="BK9" s="30" t="e">
        <f t="shared" si="6"/>
        <v>#REF!</v>
      </c>
      <c r="BL9" s="31" t="e">
        <f t="shared" si="7"/>
        <v>#REF!</v>
      </c>
      <c r="BM9" s="31" t="e">
        <f t="shared" si="8"/>
        <v>#REF!</v>
      </c>
      <c r="BN9" s="31" t="e">
        <f t="shared" si="9"/>
        <v>#REF!</v>
      </c>
      <c r="BO9" s="31" t="e">
        <f t="shared" si="10"/>
        <v>#REF!</v>
      </c>
    </row>
    <row r="10" spans="1:67" ht="15.75" customHeight="1" x14ac:dyDescent="0.35">
      <c r="A10" s="2" t="s">
        <v>102</v>
      </c>
      <c r="B10" s="25" t="e">
        <f>SUMPRODUCT(('Phân công'!$D$2:$D$259=$A10)*('Phân công'!#REF!="X")*(RIGHT('Phân công'!$C$2:$C$259,3)="404"))</f>
        <v>#REF!</v>
      </c>
      <c r="C10" s="26" t="e">
        <f>SUMPRODUCT(('Phân công'!$D$2:$D$259=$A10)*('Phân công'!#REF!="X")*(RIGHT('Phân công'!$C$2:$C$259,3)="412"))</f>
        <v>#REF!</v>
      </c>
      <c r="D10" s="26" t="e">
        <f>SUMPRODUCT(('Phân công'!$D$2:$D$259=$A10)*('Phân công'!#REF!="X")*(RIGHT('Phân công'!$C$2:$C$259,3)="414"))</f>
        <v>#REF!</v>
      </c>
      <c r="E10" s="26" t="e">
        <f>SUMPRODUCT(('Phân công'!$D$2:$D$259=$A10)*('Phân công'!#REF!="X")*(RIGHT('Phân công'!$C$2:$C$259,4)="404C")*('Phân công'!#REF!="Tiếng Việt"))</f>
        <v>#REF!</v>
      </c>
      <c r="F10" s="26" t="e">
        <f>SUMPRODUCT(('Phân công'!$D$2:$D$259=$A10)*('Phân công'!#REF!="X")*(RIGHT('Phân công'!$C$2:$C$259,4)="404C")*('Phân công'!#REF!="Tiếng Anh"))</f>
        <v>#REF!</v>
      </c>
      <c r="G10" s="26" t="e">
        <f>SUMPRODUCT(('Phân công'!$D$2:$D$259=$A10)*('Phân công'!#REF!="X")*(RIGHT('Phân công'!$C$2:$C$259,4)="414C")*('Phân công'!#REF!="Tiếng Việt"))</f>
        <v>#REF!</v>
      </c>
      <c r="H10" s="27" t="e">
        <f>SUMPRODUCT(('Phân công'!$D$2:$D$259=$A10)*('Phân công'!#REF!="X")*(RIGHT('Phân công'!$C$2:$C$259,4)="414C")*('Phân công'!#REF!="Tiếng Anh"))</f>
        <v>#REF!</v>
      </c>
      <c r="I10" s="28" t="e">
        <f>SUMPRODUCT(('Phân công'!$D$2:$D$259=$A10)*('Phân công'!#REF!="X")*(RIGHT('Phân công'!$C$2:$C$259,5)="404CA"))</f>
        <v>#REF!</v>
      </c>
      <c r="J10" s="25" t="e">
        <f>SUMPRODUCT(('Phân công'!$D$2:$D$259=$A10)*('Phân công'!#REF!="X")*(RIGHT('Phân công'!$C$2:$C$259,3)="404"))</f>
        <v>#REF!</v>
      </c>
      <c r="K10" s="26" t="e">
        <f>SUMPRODUCT(('Phân công'!$D$2:$D$259=$A10)*('Phân công'!#REF!="X")*(RIGHT('Phân công'!$C$2:$C$259,3)="412"))</f>
        <v>#REF!</v>
      </c>
      <c r="L10" s="26" t="e">
        <f>SUMPRODUCT(('Phân công'!$D$2:$D$259=$A10)*('Phân công'!#REF!="X")*(RIGHT('Phân công'!$C$2:$C$259,3)="414"))</f>
        <v>#REF!</v>
      </c>
      <c r="M10" s="26" t="e">
        <f>SUMPRODUCT(('Phân công'!$D$2:$D$259=$A10)*('Phân công'!#REF!="X")*(RIGHT('Phân công'!$C$2:$C$259,3)="04C")*('Phân công'!#REF!="Tiếng Việt"))</f>
        <v>#REF!</v>
      </c>
      <c r="N10" s="26" t="e">
        <f>SUMPRODUCT(('Phân công'!$D$2:$D$259=$A10)*('Phân công'!#REF!="X")*(RIGHT('Phân công'!$C$2:$C$259,3)="04C")*('Phân công'!#REF!="Tiếng Anh"))</f>
        <v>#REF!</v>
      </c>
      <c r="O10" s="26" t="e">
        <f>SUMPRODUCT(('Phân công'!$D$2:$D$259=$A10)*('Phân công'!#REF!="X")*(RIGHT('Phân công'!$C$2:$C$259,3)="14C")*('Phân công'!#REF!="Tiếng Việt"))</f>
        <v>#REF!</v>
      </c>
      <c r="P10" s="27" t="e">
        <f>SUMPRODUCT(('Phân công'!$D$2:$D$259=$A10)*('Phân công'!#REF!="X")*(RIGHT('Phân công'!$C$2:$C$259,3)="14C")*('Phân công'!#REF!="Tiếng Anh"))</f>
        <v>#REF!</v>
      </c>
      <c r="Q10" s="28" t="e">
        <f>SUMPRODUCT(('Phân công'!$D$2:$D$259=$A10)*('Phân công'!#REF!="X")*(RIGHT('Phân công'!$C$2:$C$259,3)="4CA"))</f>
        <v>#REF!</v>
      </c>
      <c r="R10" s="25" t="e">
        <f>SUMPRODUCT(('Phân công'!#REF!='Thù lao'!A10)*(RIGHT('Phân công'!$C$2:$C$259,3)="404"))</f>
        <v>#REF!</v>
      </c>
      <c r="S10" s="29" t="e">
        <f>SUMPRODUCT(('Phân công'!#REF!='Thù lao'!A10)*(RIGHT('Phân công'!$C$2:$C$259,3)="412"))</f>
        <v>#REF!</v>
      </c>
      <c r="T10" s="29" t="e">
        <f>SUMPRODUCT(('Phân công'!#REF!='Thù lao'!A10)*(RIGHT('Phân công'!$C$2:$C$259,3)="414"))</f>
        <v>#REF!</v>
      </c>
      <c r="U10" s="26" t="e">
        <f>SUMPRODUCT(('Phân công'!#REF!='Thù lao'!A10)*(RIGHT('Phân công'!$C$2:$C$259,3)="04C")*('Phân công'!#REF!="Tiếng Việt"))</f>
        <v>#REF!</v>
      </c>
      <c r="V10" s="26" t="e">
        <f>SUMPRODUCT(('Phân công'!#REF!='Thù lao'!A10)*(RIGHT('Phân công'!$C$2:$C$259,3)="04C")*('Phân công'!#REF!="Tiếng Anh"))</f>
        <v>#REF!</v>
      </c>
      <c r="W10" s="26" t="e">
        <f>SUMPRODUCT(('Phân công'!#REF!='Thù lao'!A10)*(RIGHT('Phân công'!$C$2:$C$259,3)="14C")*('Phân công'!#REF!="Tiếng Việt"))</f>
        <v>#REF!</v>
      </c>
      <c r="X10" s="27" t="e">
        <f>SUMPRODUCT(('Phân công'!#REF!='Thù lao'!A10)*(RIGHT('Phân công'!$C$2:$C$259,3)="14C")*('Phân công'!#REF!="Tiếng Anh"))</f>
        <v>#REF!</v>
      </c>
      <c r="Y10" s="26" t="e">
        <f>SUMPRODUCT(('Phân công'!#REF!='Thù lao'!A10)*(RIGHT('Phân công'!$C$10:$C$259,3)="4CA"))</f>
        <v>#REF!</v>
      </c>
      <c r="Z10" s="25" t="e">
        <f>SUMPRODUCT(('Phân công'!#REF!='Thù lao'!A10)*(RIGHT('Phân công'!$C$2:$C$259,3)="404"))</f>
        <v>#REF!</v>
      </c>
      <c r="AA10" s="29" t="e">
        <f>SUMPRODUCT(('Phân công'!#REF!='Thù lao'!A10)*(RIGHT('Phân công'!$C$2:$C$259,3)="412"))</f>
        <v>#REF!</v>
      </c>
      <c r="AB10" s="29" t="e">
        <f>SUMPRODUCT(('Phân công'!#REF!='Thù lao'!A10)*(RIGHT('Phân công'!$C$2:$C$259,3)="414"))</f>
        <v>#REF!</v>
      </c>
      <c r="AC10" s="26" t="e">
        <f>SUMPRODUCT(('Phân công'!#REF!='Thù lao'!A10)*(RIGHT('Phân công'!$C$2:$C$259,3)="04C")*('Phân công'!#REF!="Tiếng Việt"))</f>
        <v>#REF!</v>
      </c>
      <c r="AD10" s="26" t="e">
        <f>SUMPRODUCT(('Phân công'!#REF!='Thù lao'!A10)*(RIGHT('Phân công'!$C$2:$C$259,3)="04C")*('Phân công'!#REF!="Tiếng Anh"))</f>
        <v>#REF!</v>
      </c>
      <c r="AE10" s="26" t="e">
        <f>SUMPRODUCT(('Phân công'!#REF!='Thù lao'!A10)*(RIGHT('Phân công'!$C$2:$C$259,3)="14C")*('Phân công'!#REF!="Tiếng Việt"))</f>
        <v>#REF!</v>
      </c>
      <c r="AF10" s="27" t="e">
        <f>SUMPRODUCT(('Phân công'!#REF!='Thù lao'!A10)*(RIGHT('Phân công'!$C$2:$C$259,3)="14C")*('Phân công'!#REF!="Tiếng Anh"))</f>
        <v>#REF!</v>
      </c>
      <c r="AG10" s="26" t="e">
        <f>SUMPRODUCT(('Phân công'!#REF!='Thù lao'!A10)*(RIGHT('Phân công'!$C$2:$C$259,3)="4CA"))</f>
        <v>#REF!</v>
      </c>
      <c r="AH10" s="25" t="e">
        <f>SUMPRODUCT(('Phân công'!#REF!='Thù lao'!A10)*(RIGHT('Phân công'!$C$2:$C$259,3)="404"))</f>
        <v>#REF!</v>
      </c>
      <c r="AI10" s="29" t="e">
        <f>SUMPRODUCT(('Phân công'!#REF!='Thù lao'!A10)*(RIGHT('Phân công'!$C$2:$C$259,3)="412"))</f>
        <v>#REF!</v>
      </c>
      <c r="AJ10" s="29" t="e">
        <f>SUMPRODUCT(('Phân công'!#REF!='Thù lao'!A10)*(RIGHT('Phân công'!$C$2:$C$259,3)="414"))</f>
        <v>#REF!</v>
      </c>
      <c r="AK10" s="26" t="e">
        <f>SUMPRODUCT(('Phân công'!#REF!='Thù lao'!A10)*(RIGHT('Phân công'!$C$2:$C$259,3)="04C")*('Phân công'!#REF!="Tiếng Việt"))</f>
        <v>#REF!</v>
      </c>
      <c r="AL10" s="26" t="e">
        <f>SUMPRODUCT(('Phân công'!#REF!='Thù lao'!A10)*(RIGHT('Phân công'!$C$2:$C$259,3)="04C")*('Phân công'!#REF!="Tiếng Anh"))</f>
        <v>#REF!</v>
      </c>
      <c r="AM10" s="26" t="e">
        <f>SUMPRODUCT(('Phân công'!#REF!='Thù lao'!A10)*(RIGHT('Phân công'!$C$2:$C$259,3)="14C")*('Phân công'!#REF!="Tiếng Việt"))</f>
        <v>#REF!</v>
      </c>
      <c r="AN10" s="27" t="e">
        <f>SUMPRODUCT(('Phân công'!#REF!='Thù lao'!A10)*(RIGHT('Phân công'!$C$2:$C$259,3)="14C")*('Phân công'!#REF!="Tiếng Anh"))</f>
        <v>#REF!</v>
      </c>
      <c r="AO10" s="26" t="e">
        <f>SUMPRODUCT(('Phân công'!#REF!='Thù lao'!A10)*(RIGHT('Phân công'!$C$2:$C$259,3)="4CA"))</f>
        <v>#REF!</v>
      </c>
      <c r="AP10" s="25" t="e">
        <f>SUMPRODUCT(('Phân công'!#REF!='Thù lao'!A10)*(RIGHT('Phân công'!$C$2:$C$259,3)="404"))</f>
        <v>#REF!</v>
      </c>
      <c r="AQ10" s="29" t="e">
        <f>SUMPRODUCT(('Phân công'!#REF!='Thù lao'!A10)*(RIGHT('Phân công'!$C$2:$C$259,3)="412"))</f>
        <v>#REF!</v>
      </c>
      <c r="AR10" s="29" t="e">
        <f>SUMPRODUCT(('Phân công'!#REF!='Thù lao'!A10)*(RIGHT('Phân công'!$C$2:$C$259,3)="414"))</f>
        <v>#REF!</v>
      </c>
      <c r="AS10" s="26" t="e">
        <f>SUMPRODUCT(('Phân công'!#REF!='Thù lao'!A10)*(RIGHT('Phân công'!$C$2:$C$259,3)="04C")*('Phân công'!#REF!="Tiếng Việt"))</f>
        <v>#REF!</v>
      </c>
      <c r="AT10" s="26" t="e">
        <f>SUMPRODUCT(('Phân công'!#REF!='Thù lao'!A10)*(RIGHT('Phân công'!$C$2:$C$259,3)="04C")*('Phân công'!#REF!="Tiếng Anh"))</f>
        <v>#REF!</v>
      </c>
      <c r="AU10" s="26" t="e">
        <f>SUMPRODUCT(('Phân công'!#REF!='Thù lao'!A10)*(RIGHT('Phân công'!$C$2:$C$259,3)="14C")*('Phân công'!#REF!="Tiếng Việt"))</f>
        <v>#REF!</v>
      </c>
      <c r="AV10" s="27" t="e">
        <f>SUMPRODUCT(('Phân công'!#REF!='Thù lao'!A10)*(RIGHT('Phân công'!$C$2:$C$259,3)="14C")*('Phân công'!#REF!="Tiếng Anh"))</f>
        <v>#REF!</v>
      </c>
      <c r="AW10" s="26" t="e">
        <f>SUMPRODUCT(('Phân công'!#REF!='Thù lao'!A10)*(RIGHT('Phân công'!$C$2:$C$259,3)="4CA"))</f>
        <v>#REF!</v>
      </c>
      <c r="AX10" s="25" t="e">
        <f t="shared" ref="AX10:BE10" si="16">AP10+AH10+Z10+R10</f>
        <v>#REF!</v>
      </c>
      <c r="AY10" s="25" t="e">
        <f t="shared" si="16"/>
        <v>#REF!</v>
      </c>
      <c r="AZ10" s="25" t="e">
        <f t="shared" si="16"/>
        <v>#REF!</v>
      </c>
      <c r="BA10" s="25" t="e">
        <f t="shared" si="16"/>
        <v>#REF!</v>
      </c>
      <c r="BB10" s="25" t="e">
        <f t="shared" si="16"/>
        <v>#REF!</v>
      </c>
      <c r="BC10" s="25" t="e">
        <f t="shared" si="16"/>
        <v>#REF!</v>
      </c>
      <c r="BD10" s="25" t="e">
        <f t="shared" si="16"/>
        <v>#REF!</v>
      </c>
      <c r="BE10" s="25" t="e">
        <f t="shared" si="16"/>
        <v>#REF!</v>
      </c>
      <c r="BF10" s="30" t="e">
        <f t="shared" si="1"/>
        <v>#REF!</v>
      </c>
      <c r="BG10" s="30" t="e">
        <f t="shared" si="2"/>
        <v>#REF!</v>
      </c>
      <c r="BH10" s="30" t="e">
        <f t="shared" si="3"/>
        <v>#REF!</v>
      </c>
      <c r="BI10" s="30" t="e">
        <f t="shared" si="4"/>
        <v>#REF!</v>
      </c>
      <c r="BJ10" s="30" t="e">
        <f t="shared" si="5"/>
        <v>#REF!</v>
      </c>
      <c r="BK10" s="30" t="e">
        <f t="shared" si="6"/>
        <v>#REF!</v>
      </c>
      <c r="BL10" s="31" t="e">
        <f t="shared" si="7"/>
        <v>#REF!</v>
      </c>
      <c r="BM10" s="31" t="e">
        <f t="shared" si="8"/>
        <v>#REF!</v>
      </c>
      <c r="BN10" s="31" t="e">
        <f t="shared" si="9"/>
        <v>#REF!</v>
      </c>
      <c r="BO10" s="31" t="e">
        <f t="shared" si="10"/>
        <v>#REF!</v>
      </c>
    </row>
    <row r="11" spans="1:67" ht="15.75" customHeight="1" x14ac:dyDescent="0.35">
      <c r="A11" s="2" t="s">
        <v>75</v>
      </c>
      <c r="B11" s="25" t="e">
        <f>SUMPRODUCT(('Phân công'!$D$2:$D$259=$A11)*('Phân công'!#REF!="X")*(RIGHT('Phân công'!$C$2:$C$259,3)="404"))</f>
        <v>#REF!</v>
      </c>
      <c r="C11" s="26" t="e">
        <f>SUMPRODUCT(('Phân công'!$D$2:$D$259=$A11)*('Phân công'!#REF!="X")*(RIGHT('Phân công'!$C$2:$C$259,3)="412"))</f>
        <v>#REF!</v>
      </c>
      <c r="D11" s="26" t="e">
        <f>SUMPRODUCT(('Phân công'!$D$2:$D$259=$A11)*('Phân công'!#REF!="X")*(RIGHT('Phân công'!$C$2:$C$259,3)="414"))</f>
        <v>#REF!</v>
      </c>
      <c r="E11" s="26" t="e">
        <f>SUMPRODUCT(('Phân công'!$D$2:$D$259=$A11)*('Phân công'!#REF!="X")*(RIGHT('Phân công'!$C$2:$C$259,4)="404C")*('Phân công'!#REF!="Tiếng Việt"))</f>
        <v>#REF!</v>
      </c>
      <c r="F11" s="26" t="e">
        <f>SUMPRODUCT(('Phân công'!$D$2:$D$259=$A11)*('Phân công'!#REF!="X")*(RIGHT('Phân công'!$C$2:$C$259,4)="404C")*('Phân công'!#REF!="Tiếng Anh"))</f>
        <v>#REF!</v>
      </c>
      <c r="G11" s="26" t="e">
        <f>SUMPRODUCT(('Phân công'!$D$2:$D$259=$A11)*('Phân công'!#REF!="X")*(RIGHT('Phân công'!$C$2:$C$259,4)="414C")*('Phân công'!#REF!="Tiếng Việt"))</f>
        <v>#REF!</v>
      </c>
      <c r="H11" s="27" t="e">
        <f>SUMPRODUCT(('Phân công'!$D$2:$D$259=$A11)*('Phân công'!#REF!="X")*(RIGHT('Phân công'!$C$2:$C$259,4)="414C")*('Phân công'!#REF!="Tiếng Anh"))</f>
        <v>#REF!</v>
      </c>
      <c r="I11" s="28" t="e">
        <f>SUMPRODUCT(('Phân công'!$D$2:$D$259=$A11)*('Phân công'!#REF!="X")*(RIGHT('Phân công'!$C$2:$C$259,5)="404CA"))</f>
        <v>#REF!</v>
      </c>
      <c r="J11" s="25" t="e">
        <f>SUMPRODUCT(('Phân công'!$D$2:$D$259=$A11)*('Phân công'!#REF!="X")*(RIGHT('Phân công'!$C$2:$C$259,3)="404"))</f>
        <v>#REF!</v>
      </c>
      <c r="K11" s="26" t="e">
        <f>SUMPRODUCT(('Phân công'!$D$2:$D$259=$A11)*('Phân công'!#REF!="X")*(RIGHT('Phân công'!$C$2:$C$259,3)="412"))</f>
        <v>#REF!</v>
      </c>
      <c r="L11" s="26" t="e">
        <f>SUMPRODUCT(('Phân công'!$D$2:$D$259=$A11)*('Phân công'!#REF!="X")*(RIGHT('Phân công'!$C$2:$C$259,3)="414"))</f>
        <v>#REF!</v>
      </c>
      <c r="M11" s="26" t="e">
        <f>SUMPRODUCT(('Phân công'!$D$2:$D$259=$A11)*('Phân công'!#REF!="X")*(RIGHT('Phân công'!$C$2:$C$259,3)="04C")*('Phân công'!#REF!="Tiếng Việt"))</f>
        <v>#REF!</v>
      </c>
      <c r="N11" s="26" t="e">
        <f>SUMPRODUCT(('Phân công'!$D$2:$D$259=$A11)*('Phân công'!#REF!="X")*(RIGHT('Phân công'!$C$2:$C$259,3)="04C")*('Phân công'!#REF!="Tiếng Anh"))</f>
        <v>#REF!</v>
      </c>
      <c r="O11" s="26" t="e">
        <f>SUMPRODUCT(('Phân công'!$D$2:$D$259=$A11)*('Phân công'!#REF!="X")*(RIGHT('Phân công'!$C$2:$C$259,3)="14C")*('Phân công'!#REF!="Tiếng Việt"))</f>
        <v>#REF!</v>
      </c>
      <c r="P11" s="27" t="e">
        <f>SUMPRODUCT(('Phân công'!$D$2:$D$259=$A11)*('Phân công'!#REF!="X")*(RIGHT('Phân công'!$C$2:$C$259,3)="14C")*('Phân công'!#REF!="Tiếng Anh"))</f>
        <v>#REF!</v>
      </c>
      <c r="Q11" s="28" t="e">
        <f>SUMPRODUCT(('Phân công'!$D$2:$D$259=$A11)*('Phân công'!#REF!="X")*(RIGHT('Phân công'!$C$2:$C$259,3)="4CA"))</f>
        <v>#REF!</v>
      </c>
      <c r="R11" s="25" t="e">
        <f>SUMPRODUCT(('Phân công'!#REF!='Thù lao'!A11)*(RIGHT('Phân công'!$C$2:$C$259,3)="404"))</f>
        <v>#REF!</v>
      </c>
      <c r="S11" s="29" t="e">
        <f>SUMPRODUCT(('Phân công'!#REF!='Thù lao'!A11)*(RIGHT('Phân công'!$C$2:$C$259,3)="412"))</f>
        <v>#REF!</v>
      </c>
      <c r="T11" s="29" t="e">
        <f>SUMPRODUCT(('Phân công'!#REF!='Thù lao'!A11)*(RIGHT('Phân công'!$C$2:$C$259,3)="414"))</f>
        <v>#REF!</v>
      </c>
      <c r="U11" s="26" t="e">
        <f>SUMPRODUCT(('Phân công'!#REF!='Thù lao'!A11)*(RIGHT('Phân công'!$C$2:$C$259,3)="04C")*('Phân công'!#REF!="Tiếng Việt"))</f>
        <v>#REF!</v>
      </c>
      <c r="V11" s="26" t="e">
        <f>SUMPRODUCT(('Phân công'!#REF!='Thù lao'!A11)*(RIGHT('Phân công'!$C$2:$C$259,3)="04C")*('Phân công'!#REF!="Tiếng Anh"))</f>
        <v>#REF!</v>
      </c>
      <c r="W11" s="26" t="e">
        <f>SUMPRODUCT(('Phân công'!#REF!='Thù lao'!A11)*(RIGHT('Phân công'!$C$2:$C$259,3)="14C")*('Phân công'!#REF!="Tiếng Việt"))</f>
        <v>#REF!</v>
      </c>
      <c r="X11" s="27" t="e">
        <f>SUMPRODUCT(('Phân công'!#REF!='Thù lao'!A11)*(RIGHT('Phân công'!$C$2:$C$259,3)="14C")*('Phân công'!#REF!="Tiếng Anh"))</f>
        <v>#REF!</v>
      </c>
      <c r="Y11" s="26" t="e">
        <f>SUMPRODUCT(('Phân công'!#REF!='Thù lao'!A11)*(RIGHT('Phân công'!$C$10:$C$259,3)="4CA"))</f>
        <v>#REF!</v>
      </c>
      <c r="Z11" s="25" t="e">
        <f>SUMPRODUCT(('Phân công'!#REF!='Thù lao'!A11)*(RIGHT('Phân công'!$C$2:$C$259,3)="404"))</f>
        <v>#REF!</v>
      </c>
      <c r="AA11" s="29" t="e">
        <f>SUMPRODUCT(('Phân công'!#REF!='Thù lao'!A11)*(RIGHT('Phân công'!$C$2:$C$259,3)="412"))</f>
        <v>#REF!</v>
      </c>
      <c r="AB11" s="29" t="e">
        <f>SUMPRODUCT(('Phân công'!#REF!='Thù lao'!A11)*(RIGHT('Phân công'!$C$2:$C$259,3)="414"))</f>
        <v>#REF!</v>
      </c>
      <c r="AC11" s="26" t="e">
        <f>SUMPRODUCT(('Phân công'!#REF!='Thù lao'!A11)*(RIGHT('Phân công'!$C$2:$C$259,3)="04C")*('Phân công'!#REF!="Tiếng Việt"))</f>
        <v>#REF!</v>
      </c>
      <c r="AD11" s="26" t="e">
        <f>SUMPRODUCT(('Phân công'!#REF!='Thù lao'!A11)*(RIGHT('Phân công'!$C$2:$C$259,3)="04C")*('Phân công'!#REF!="Tiếng Anh"))</f>
        <v>#REF!</v>
      </c>
      <c r="AE11" s="26" t="e">
        <f>SUMPRODUCT(('Phân công'!#REF!='Thù lao'!A11)*(RIGHT('Phân công'!$C$2:$C$259,3)="14C")*('Phân công'!#REF!="Tiếng Việt"))</f>
        <v>#REF!</v>
      </c>
      <c r="AF11" s="27" t="e">
        <f>SUMPRODUCT(('Phân công'!#REF!='Thù lao'!A11)*(RIGHT('Phân công'!$C$2:$C$259,3)="14C")*('Phân công'!#REF!="Tiếng Anh"))</f>
        <v>#REF!</v>
      </c>
      <c r="AG11" s="26" t="e">
        <f>SUMPRODUCT(('Phân công'!#REF!='Thù lao'!A11)*(RIGHT('Phân công'!$C$2:$C$259,3)="4CA"))</f>
        <v>#REF!</v>
      </c>
      <c r="AH11" s="25" t="e">
        <f>SUMPRODUCT(('Phân công'!#REF!='Thù lao'!A11)*(RIGHT('Phân công'!$C$2:$C$259,3)="404"))</f>
        <v>#REF!</v>
      </c>
      <c r="AI11" s="29" t="e">
        <f>SUMPRODUCT(('Phân công'!#REF!='Thù lao'!A11)*(RIGHT('Phân công'!$C$2:$C$259,3)="412"))</f>
        <v>#REF!</v>
      </c>
      <c r="AJ11" s="29" t="e">
        <f>SUMPRODUCT(('Phân công'!#REF!='Thù lao'!A11)*(RIGHT('Phân công'!$C$2:$C$259,3)="414"))</f>
        <v>#REF!</v>
      </c>
      <c r="AK11" s="26" t="e">
        <f>SUMPRODUCT(('Phân công'!#REF!='Thù lao'!A11)*(RIGHT('Phân công'!$C$2:$C$259,3)="04C")*('Phân công'!#REF!="Tiếng Việt"))</f>
        <v>#REF!</v>
      </c>
      <c r="AL11" s="26" t="e">
        <f>SUMPRODUCT(('Phân công'!#REF!='Thù lao'!A11)*(RIGHT('Phân công'!$C$2:$C$259,3)="04C")*('Phân công'!#REF!="Tiếng Anh"))</f>
        <v>#REF!</v>
      </c>
      <c r="AM11" s="26" t="e">
        <f>SUMPRODUCT(('Phân công'!#REF!='Thù lao'!A11)*(RIGHT('Phân công'!$C$2:$C$259,3)="14C")*('Phân công'!#REF!="Tiếng Việt"))</f>
        <v>#REF!</v>
      </c>
      <c r="AN11" s="27" t="e">
        <f>SUMPRODUCT(('Phân công'!#REF!='Thù lao'!A11)*(RIGHT('Phân công'!$C$2:$C$259,3)="14C")*('Phân công'!#REF!="Tiếng Anh"))</f>
        <v>#REF!</v>
      </c>
      <c r="AO11" s="26" t="e">
        <f>SUMPRODUCT(('Phân công'!#REF!='Thù lao'!A11)*(RIGHT('Phân công'!$C$2:$C$259,3)="4CA"))</f>
        <v>#REF!</v>
      </c>
      <c r="AP11" s="25" t="e">
        <f>SUMPRODUCT(('Phân công'!#REF!='Thù lao'!A11)*(RIGHT('Phân công'!$C$2:$C$259,3)="404"))</f>
        <v>#REF!</v>
      </c>
      <c r="AQ11" s="29" t="e">
        <f>SUMPRODUCT(('Phân công'!#REF!='Thù lao'!A11)*(RIGHT('Phân công'!$C$2:$C$259,3)="412"))</f>
        <v>#REF!</v>
      </c>
      <c r="AR11" s="29" t="e">
        <f>SUMPRODUCT(('Phân công'!#REF!='Thù lao'!A11)*(RIGHT('Phân công'!$C$2:$C$259,3)="414"))</f>
        <v>#REF!</v>
      </c>
      <c r="AS11" s="26" t="e">
        <f>SUMPRODUCT(('Phân công'!#REF!='Thù lao'!A11)*(RIGHT('Phân công'!$C$2:$C$259,3)="04C")*('Phân công'!#REF!="Tiếng Việt"))</f>
        <v>#REF!</v>
      </c>
      <c r="AT11" s="26" t="e">
        <f>SUMPRODUCT(('Phân công'!#REF!='Thù lao'!A11)*(RIGHT('Phân công'!$C$2:$C$259,3)="04C")*('Phân công'!#REF!="Tiếng Anh"))</f>
        <v>#REF!</v>
      </c>
      <c r="AU11" s="26" t="e">
        <f>SUMPRODUCT(('Phân công'!#REF!='Thù lao'!A11)*(RIGHT('Phân công'!$C$2:$C$259,3)="14C")*('Phân công'!#REF!="Tiếng Việt"))</f>
        <v>#REF!</v>
      </c>
      <c r="AV11" s="27" t="e">
        <f>SUMPRODUCT(('Phân công'!#REF!='Thù lao'!A11)*(RIGHT('Phân công'!$C$2:$C$259,3)="14C")*('Phân công'!#REF!="Tiếng Anh"))</f>
        <v>#REF!</v>
      </c>
      <c r="AW11" s="26" t="e">
        <f>SUMPRODUCT(('Phân công'!#REF!='Thù lao'!A11)*(RIGHT('Phân công'!$C$2:$C$259,3)="4CA"))</f>
        <v>#REF!</v>
      </c>
      <c r="AX11" s="25" t="e">
        <f t="shared" ref="AX11:BE11" si="17">AP11+AH11+Z11+R11</f>
        <v>#REF!</v>
      </c>
      <c r="AY11" s="25" t="e">
        <f t="shared" si="17"/>
        <v>#REF!</v>
      </c>
      <c r="AZ11" s="25" t="e">
        <f t="shared" si="17"/>
        <v>#REF!</v>
      </c>
      <c r="BA11" s="25" t="e">
        <f t="shared" si="17"/>
        <v>#REF!</v>
      </c>
      <c r="BB11" s="25" t="e">
        <f t="shared" si="17"/>
        <v>#REF!</v>
      </c>
      <c r="BC11" s="25" t="e">
        <f t="shared" si="17"/>
        <v>#REF!</v>
      </c>
      <c r="BD11" s="25" t="e">
        <f t="shared" si="17"/>
        <v>#REF!</v>
      </c>
      <c r="BE11" s="25" t="e">
        <f t="shared" si="17"/>
        <v>#REF!</v>
      </c>
      <c r="BF11" s="30" t="e">
        <f t="shared" si="1"/>
        <v>#REF!</v>
      </c>
      <c r="BG11" s="30" t="e">
        <f t="shared" si="2"/>
        <v>#REF!</v>
      </c>
      <c r="BH11" s="30" t="e">
        <f t="shared" si="3"/>
        <v>#REF!</v>
      </c>
      <c r="BI11" s="30" t="e">
        <f t="shared" si="4"/>
        <v>#REF!</v>
      </c>
      <c r="BJ11" s="30" t="e">
        <f t="shared" si="5"/>
        <v>#REF!</v>
      </c>
      <c r="BK11" s="30" t="e">
        <f t="shared" si="6"/>
        <v>#REF!</v>
      </c>
      <c r="BL11" s="31" t="e">
        <f t="shared" si="7"/>
        <v>#REF!</v>
      </c>
      <c r="BM11" s="31" t="e">
        <f t="shared" si="8"/>
        <v>#REF!</v>
      </c>
      <c r="BN11" s="31" t="e">
        <f t="shared" si="9"/>
        <v>#REF!</v>
      </c>
      <c r="BO11" s="31" t="e">
        <f t="shared" si="10"/>
        <v>#REF!</v>
      </c>
    </row>
    <row r="12" spans="1:67" ht="15.75" customHeight="1" x14ac:dyDescent="0.35">
      <c r="A12" s="2" t="s">
        <v>12</v>
      </c>
      <c r="B12" s="25" t="e">
        <f>SUMPRODUCT(('Phân công'!$D$2:$D$259=$A12)*('Phân công'!#REF!="X")*(RIGHT('Phân công'!$C$2:$C$259,3)="404"))</f>
        <v>#REF!</v>
      </c>
      <c r="C12" s="26" t="e">
        <f>SUMPRODUCT(('Phân công'!$D$2:$D$259=$A12)*('Phân công'!#REF!="X")*(RIGHT('Phân công'!$C$2:$C$259,3)="412"))</f>
        <v>#REF!</v>
      </c>
      <c r="D12" s="26" t="e">
        <f>SUMPRODUCT(('Phân công'!$D$2:$D$259=$A12)*('Phân công'!#REF!="X")*(RIGHT('Phân công'!$C$2:$C$259,3)="414"))</f>
        <v>#REF!</v>
      </c>
      <c r="E12" s="26" t="e">
        <f>SUMPRODUCT(('Phân công'!$D$2:$D$259=$A12)*('Phân công'!#REF!="X")*(RIGHT('Phân công'!$C$2:$C$259,4)="404C")*('Phân công'!#REF!="Tiếng Việt"))</f>
        <v>#REF!</v>
      </c>
      <c r="F12" s="26" t="e">
        <f>SUMPRODUCT(('Phân công'!$D$2:$D$259=$A12)*('Phân công'!#REF!="X")*(RIGHT('Phân công'!$C$2:$C$259,4)="404C")*('Phân công'!#REF!="Tiếng Anh"))</f>
        <v>#REF!</v>
      </c>
      <c r="G12" s="26" t="e">
        <f>SUMPRODUCT(('Phân công'!$D$2:$D$259=$A12)*('Phân công'!#REF!="X")*(RIGHT('Phân công'!$C$2:$C$259,4)="414C")*('Phân công'!#REF!="Tiếng Việt"))</f>
        <v>#REF!</v>
      </c>
      <c r="H12" s="27" t="e">
        <f>SUMPRODUCT(('Phân công'!$D$2:$D$259=$A12)*('Phân công'!#REF!="X")*(RIGHT('Phân công'!$C$2:$C$259,4)="414C")*('Phân công'!#REF!="Tiếng Anh"))</f>
        <v>#REF!</v>
      </c>
      <c r="I12" s="28" t="e">
        <f>SUMPRODUCT(('Phân công'!$D$2:$D$259=$A12)*('Phân công'!#REF!="X")*(RIGHT('Phân công'!$C$2:$C$259,5)="404CA"))</f>
        <v>#REF!</v>
      </c>
      <c r="J12" s="25" t="e">
        <f>SUMPRODUCT(('Phân công'!$D$2:$D$259=$A12)*('Phân công'!#REF!="X")*(RIGHT('Phân công'!$C$2:$C$259,3)="404"))</f>
        <v>#REF!</v>
      </c>
      <c r="K12" s="26" t="e">
        <f>SUMPRODUCT(('Phân công'!$D$2:$D$259=$A12)*('Phân công'!#REF!="X")*(RIGHT('Phân công'!$C$2:$C$259,3)="412"))</f>
        <v>#REF!</v>
      </c>
      <c r="L12" s="26" t="e">
        <f>SUMPRODUCT(('Phân công'!$D$2:$D$259=$A12)*('Phân công'!#REF!="X")*(RIGHT('Phân công'!$C$2:$C$259,3)="414"))</f>
        <v>#REF!</v>
      </c>
      <c r="M12" s="26" t="e">
        <f>SUMPRODUCT(('Phân công'!$D$2:$D$259=$A12)*('Phân công'!#REF!="X")*(RIGHT('Phân công'!$C$2:$C$259,3)="04C")*('Phân công'!#REF!="Tiếng Việt"))</f>
        <v>#REF!</v>
      </c>
      <c r="N12" s="26" t="e">
        <f>SUMPRODUCT(('Phân công'!$D$2:$D$259=$A12)*('Phân công'!#REF!="X")*(RIGHT('Phân công'!$C$2:$C$259,3)="04C")*('Phân công'!#REF!="Tiếng Anh"))</f>
        <v>#REF!</v>
      </c>
      <c r="O12" s="26" t="e">
        <f>SUMPRODUCT(('Phân công'!$D$2:$D$259=$A12)*('Phân công'!#REF!="X")*(RIGHT('Phân công'!$C$2:$C$259,3)="14C")*('Phân công'!#REF!="Tiếng Việt"))</f>
        <v>#REF!</v>
      </c>
      <c r="P12" s="27" t="e">
        <f>SUMPRODUCT(('Phân công'!$D$2:$D$259=$A12)*('Phân công'!#REF!="X")*(RIGHT('Phân công'!$C$2:$C$259,3)="14C")*('Phân công'!#REF!="Tiếng Anh"))</f>
        <v>#REF!</v>
      </c>
      <c r="Q12" s="28" t="e">
        <f>SUMPRODUCT(('Phân công'!$D$2:$D$259=$A12)*('Phân công'!#REF!="X")*(RIGHT('Phân công'!$C$2:$C$259,3)="4CA"))</f>
        <v>#REF!</v>
      </c>
      <c r="R12" s="25" t="e">
        <f>SUMPRODUCT(('Phân công'!#REF!='Thù lao'!A12)*(RIGHT('Phân công'!$C$2:$C$259,3)="404"))</f>
        <v>#REF!</v>
      </c>
      <c r="S12" s="29" t="e">
        <f>SUMPRODUCT(('Phân công'!#REF!='Thù lao'!A12)*(RIGHT('Phân công'!$C$2:$C$259,3)="412"))</f>
        <v>#REF!</v>
      </c>
      <c r="T12" s="29" t="e">
        <f>SUMPRODUCT(('Phân công'!#REF!='Thù lao'!A12)*(RIGHT('Phân công'!$C$2:$C$259,3)="414"))</f>
        <v>#REF!</v>
      </c>
      <c r="U12" s="26" t="e">
        <f>SUMPRODUCT(('Phân công'!#REF!='Thù lao'!A12)*(RIGHT('Phân công'!$C$2:$C$259,3)="04C")*('Phân công'!#REF!="Tiếng Việt"))</f>
        <v>#REF!</v>
      </c>
      <c r="V12" s="26" t="e">
        <f>SUMPRODUCT(('Phân công'!#REF!='Thù lao'!A12)*(RIGHT('Phân công'!$C$2:$C$259,3)="04C")*('Phân công'!#REF!="Tiếng Anh"))</f>
        <v>#REF!</v>
      </c>
      <c r="W12" s="26" t="e">
        <f>SUMPRODUCT(('Phân công'!#REF!='Thù lao'!A12)*(RIGHT('Phân công'!$C$2:$C$259,3)="14C")*('Phân công'!#REF!="Tiếng Việt"))</f>
        <v>#REF!</v>
      </c>
      <c r="X12" s="27" t="e">
        <f>SUMPRODUCT(('Phân công'!#REF!='Thù lao'!A12)*(RIGHT('Phân công'!$C$2:$C$259,3)="14C")*('Phân công'!#REF!="Tiếng Anh"))</f>
        <v>#REF!</v>
      </c>
      <c r="Y12" s="26" t="e">
        <f>SUMPRODUCT(('Phân công'!#REF!='Thù lao'!A12)*(RIGHT('Phân công'!$C$10:$C$259,3)="4CA"))</f>
        <v>#REF!</v>
      </c>
      <c r="Z12" s="25" t="e">
        <f>SUMPRODUCT(('Phân công'!#REF!='Thù lao'!A12)*(RIGHT('Phân công'!$C$2:$C$259,3)="404"))</f>
        <v>#REF!</v>
      </c>
      <c r="AA12" s="29" t="e">
        <f>SUMPRODUCT(('Phân công'!#REF!='Thù lao'!A12)*(RIGHT('Phân công'!$C$2:$C$259,3)="412"))</f>
        <v>#REF!</v>
      </c>
      <c r="AB12" s="29" t="e">
        <f>SUMPRODUCT(('Phân công'!#REF!='Thù lao'!A12)*(RIGHT('Phân công'!$C$2:$C$259,3)="414"))</f>
        <v>#REF!</v>
      </c>
      <c r="AC12" s="26" t="e">
        <f>SUMPRODUCT(('Phân công'!#REF!='Thù lao'!A12)*(RIGHT('Phân công'!$C$2:$C$259,3)="04C")*('Phân công'!#REF!="Tiếng Việt"))</f>
        <v>#REF!</v>
      </c>
      <c r="AD12" s="26" t="e">
        <f>SUMPRODUCT(('Phân công'!#REF!='Thù lao'!A12)*(RIGHT('Phân công'!$C$2:$C$259,3)="04C")*('Phân công'!#REF!="Tiếng Anh"))</f>
        <v>#REF!</v>
      </c>
      <c r="AE12" s="26" t="e">
        <f>SUMPRODUCT(('Phân công'!#REF!='Thù lao'!A12)*(RIGHT('Phân công'!$C$2:$C$259,3)="14C")*('Phân công'!#REF!="Tiếng Việt"))</f>
        <v>#REF!</v>
      </c>
      <c r="AF12" s="27" t="e">
        <f>SUMPRODUCT(('Phân công'!#REF!='Thù lao'!A12)*(RIGHT('Phân công'!$C$2:$C$259,3)="14C")*('Phân công'!#REF!="Tiếng Anh"))</f>
        <v>#REF!</v>
      </c>
      <c r="AG12" s="26" t="e">
        <f>SUMPRODUCT(('Phân công'!#REF!='Thù lao'!A12)*(RIGHT('Phân công'!$C$2:$C$259,3)="4CA"))</f>
        <v>#REF!</v>
      </c>
      <c r="AH12" s="25" t="e">
        <f>SUMPRODUCT(('Phân công'!#REF!='Thù lao'!A12)*(RIGHT('Phân công'!$C$2:$C$259,3)="404"))</f>
        <v>#REF!</v>
      </c>
      <c r="AI12" s="29" t="e">
        <f>SUMPRODUCT(('Phân công'!#REF!='Thù lao'!A12)*(RIGHT('Phân công'!$C$2:$C$259,3)="412"))</f>
        <v>#REF!</v>
      </c>
      <c r="AJ12" s="29" t="e">
        <f>SUMPRODUCT(('Phân công'!#REF!='Thù lao'!A12)*(RIGHT('Phân công'!$C$2:$C$259,3)="414"))</f>
        <v>#REF!</v>
      </c>
      <c r="AK12" s="26" t="e">
        <f>SUMPRODUCT(('Phân công'!#REF!='Thù lao'!A12)*(RIGHT('Phân công'!$C$2:$C$259,3)="04C")*('Phân công'!#REF!="Tiếng Việt"))</f>
        <v>#REF!</v>
      </c>
      <c r="AL12" s="26" t="e">
        <f>SUMPRODUCT(('Phân công'!#REF!='Thù lao'!A12)*(RIGHT('Phân công'!$C$2:$C$259,3)="04C")*('Phân công'!#REF!="Tiếng Anh"))</f>
        <v>#REF!</v>
      </c>
      <c r="AM12" s="26" t="e">
        <f>SUMPRODUCT(('Phân công'!#REF!='Thù lao'!A12)*(RIGHT('Phân công'!$C$2:$C$259,3)="14C")*('Phân công'!#REF!="Tiếng Việt"))</f>
        <v>#REF!</v>
      </c>
      <c r="AN12" s="27" t="e">
        <f>SUMPRODUCT(('Phân công'!#REF!='Thù lao'!A12)*(RIGHT('Phân công'!$C$2:$C$259,3)="14C")*('Phân công'!#REF!="Tiếng Anh"))</f>
        <v>#REF!</v>
      </c>
      <c r="AO12" s="26" t="e">
        <f>SUMPRODUCT(('Phân công'!#REF!='Thù lao'!A12)*(RIGHT('Phân công'!$C$2:$C$259,3)="4CA"))</f>
        <v>#REF!</v>
      </c>
      <c r="AP12" s="25" t="e">
        <f>SUMPRODUCT(('Phân công'!#REF!='Thù lao'!A12)*(RIGHT('Phân công'!$C$2:$C$259,3)="404"))</f>
        <v>#REF!</v>
      </c>
      <c r="AQ12" s="29" t="e">
        <f>SUMPRODUCT(('Phân công'!#REF!='Thù lao'!A12)*(RIGHT('Phân công'!$C$2:$C$259,3)="412"))</f>
        <v>#REF!</v>
      </c>
      <c r="AR12" s="29" t="e">
        <f>SUMPRODUCT(('Phân công'!#REF!='Thù lao'!A12)*(RIGHT('Phân công'!$C$2:$C$259,3)="414"))</f>
        <v>#REF!</v>
      </c>
      <c r="AS12" s="26" t="e">
        <f>SUMPRODUCT(('Phân công'!#REF!='Thù lao'!A12)*(RIGHT('Phân công'!$C$2:$C$259,3)="04C")*('Phân công'!#REF!="Tiếng Việt"))</f>
        <v>#REF!</v>
      </c>
      <c r="AT12" s="26" t="e">
        <f>SUMPRODUCT(('Phân công'!#REF!='Thù lao'!A12)*(RIGHT('Phân công'!$C$2:$C$259,3)="04C")*('Phân công'!#REF!="Tiếng Anh"))</f>
        <v>#REF!</v>
      </c>
      <c r="AU12" s="26" t="e">
        <f>SUMPRODUCT(('Phân công'!#REF!='Thù lao'!A12)*(RIGHT('Phân công'!$C$2:$C$259,3)="14C")*('Phân công'!#REF!="Tiếng Việt"))</f>
        <v>#REF!</v>
      </c>
      <c r="AV12" s="27" t="e">
        <f>SUMPRODUCT(('Phân công'!#REF!='Thù lao'!A12)*(RIGHT('Phân công'!$C$2:$C$259,3)="14C")*('Phân công'!#REF!="Tiếng Anh"))</f>
        <v>#REF!</v>
      </c>
      <c r="AW12" s="26" t="e">
        <f>SUMPRODUCT(('Phân công'!#REF!='Thù lao'!A12)*(RIGHT('Phân công'!$C$2:$C$259,3)="4CA"))</f>
        <v>#REF!</v>
      </c>
      <c r="AX12" s="25" t="e">
        <f t="shared" ref="AX12:BE12" si="18">AP12+AH12+Z12+R12</f>
        <v>#REF!</v>
      </c>
      <c r="AY12" s="25" t="e">
        <f t="shared" si="18"/>
        <v>#REF!</v>
      </c>
      <c r="AZ12" s="25" t="e">
        <f t="shared" si="18"/>
        <v>#REF!</v>
      </c>
      <c r="BA12" s="25" t="e">
        <f t="shared" si="18"/>
        <v>#REF!</v>
      </c>
      <c r="BB12" s="25" t="e">
        <f t="shared" si="18"/>
        <v>#REF!</v>
      </c>
      <c r="BC12" s="25" t="e">
        <f t="shared" si="18"/>
        <v>#REF!</v>
      </c>
      <c r="BD12" s="25" t="e">
        <f t="shared" si="18"/>
        <v>#REF!</v>
      </c>
      <c r="BE12" s="25" t="e">
        <f t="shared" si="18"/>
        <v>#REF!</v>
      </c>
      <c r="BF12" s="30" t="e">
        <f t="shared" si="1"/>
        <v>#REF!</v>
      </c>
      <c r="BG12" s="30" t="e">
        <f t="shared" si="2"/>
        <v>#REF!</v>
      </c>
      <c r="BH12" s="30" t="e">
        <f t="shared" si="3"/>
        <v>#REF!</v>
      </c>
      <c r="BI12" s="30" t="e">
        <f t="shared" si="4"/>
        <v>#REF!</v>
      </c>
      <c r="BJ12" s="30" t="e">
        <f t="shared" si="5"/>
        <v>#REF!</v>
      </c>
      <c r="BK12" s="30" t="e">
        <f t="shared" si="6"/>
        <v>#REF!</v>
      </c>
      <c r="BL12" s="31" t="e">
        <f t="shared" si="7"/>
        <v>#REF!</v>
      </c>
      <c r="BM12" s="31" t="e">
        <f t="shared" si="8"/>
        <v>#REF!</v>
      </c>
      <c r="BN12" s="31" t="e">
        <f t="shared" si="9"/>
        <v>#REF!</v>
      </c>
      <c r="BO12" s="31" t="e">
        <f t="shared" si="10"/>
        <v>#REF!</v>
      </c>
    </row>
    <row r="13" spans="1:67" ht="15.75" customHeight="1" x14ac:dyDescent="0.35">
      <c r="A13" s="2" t="s">
        <v>400</v>
      </c>
      <c r="B13" s="25" t="e">
        <f>SUMPRODUCT(('Phân công'!$D$2:$D$259=$A13)*('Phân công'!#REF!="X")*(RIGHT('Phân công'!$C$2:$C$259,3)="404"))</f>
        <v>#REF!</v>
      </c>
      <c r="C13" s="26" t="e">
        <f>SUMPRODUCT(('Phân công'!$D$2:$D$259=$A13)*('Phân công'!#REF!="X")*(RIGHT('Phân công'!$C$2:$C$259,3)="412"))</f>
        <v>#REF!</v>
      </c>
      <c r="D13" s="26" t="e">
        <f>SUMPRODUCT(('Phân công'!$D$2:$D$259=$A13)*('Phân công'!#REF!="X")*(RIGHT('Phân công'!$C$2:$C$259,3)="414"))</f>
        <v>#REF!</v>
      </c>
      <c r="E13" s="26" t="e">
        <f>SUMPRODUCT(('Phân công'!$D$2:$D$259=$A13)*('Phân công'!#REF!="X")*(RIGHT('Phân công'!$C$2:$C$259,4)="404C")*('Phân công'!#REF!="Tiếng Việt"))</f>
        <v>#REF!</v>
      </c>
      <c r="F13" s="26" t="e">
        <f>SUMPRODUCT(('Phân công'!$D$2:$D$259=$A13)*('Phân công'!#REF!="X")*(RIGHT('Phân công'!$C$2:$C$259,4)="404C")*('Phân công'!#REF!="Tiếng Anh"))</f>
        <v>#REF!</v>
      </c>
      <c r="G13" s="26" t="e">
        <f>SUMPRODUCT(('Phân công'!$D$2:$D$259=$A13)*('Phân công'!#REF!="X")*(RIGHT('Phân công'!$C$2:$C$259,4)="414C")*('Phân công'!#REF!="Tiếng Việt"))</f>
        <v>#REF!</v>
      </c>
      <c r="H13" s="27" t="e">
        <f>SUMPRODUCT(('Phân công'!$D$2:$D$259=$A13)*('Phân công'!#REF!="X")*(RIGHT('Phân công'!$C$2:$C$259,4)="414C")*('Phân công'!#REF!="Tiếng Anh"))</f>
        <v>#REF!</v>
      </c>
      <c r="I13" s="28" t="e">
        <f>SUMPRODUCT(('Phân công'!$D$2:$D$259=$A13)*('Phân công'!#REF!="X")*(RIGHT('Phân công'!$C$2:$C$259,5)="404CA"))</f>
        <v>#REF!</v>
      </c>
      <c r="J13" s="25" t="e">
        <f>SUMPRODUCT(('Phân công'!$D$2:$D$259=$A13)*('Phân công'!#REF!="X")*(RIGHT('Phân công'!$C$2:$C$259,3)="404"))</f>
        <v>#REF!</v>
      </c>
      <c r="K13" s="26" t="e">
        <f>SUMPRODUCT(('Phân công'!$D$2:$D$259=$A13)*('Phân công'!#REF!="X")*(RIGHT('Phân công'!$C$2:$C$259,3)="412"))</f>
        <v>#REF!</v>
      </c>
      <c r="L13" s="26" t="e">
        <f>SUMPRODUCT(('Phân công'!$D$2:$D$259=$A13)*('Phân công'!#REF!="X")*(RIGHT('Phân công'!$C$2:$C$259,3)="414"))</f>
        <v>#REF!</v>
      </c>
      <c r="M13" s="26" t="e">
        <f>SUMPRODUCT(('Phân công'!$D$2:$D$259=$A13)*('Phân công'!#REF!="X")*(RIGHT('Phân công'!$C$2:$C$259,3)="04C")*('Phân công'!#REF!="Tiếng Việt"))</f>
        <v>#REF!</v>
      </c>
      <c r="N13" s="26" t="e">
        <f>SUMPRODUCT(('Phân công'!$D$2:$D$259=$A13)*('Phân công'!#REF!="X")*(RIGHT('Phân công'!$C$2:$C$259,3)="04C")*('Phân công'!#REF!="Tiếng Anh"))</f>
        <v>#REF!</v>
      </c>
      <c r="O13" s="26" t="e">
        <f>SUMPRODUCT(('Phân công'!$D$2:$D$259=$A13)*('Phân công'!#REF!="X")*(RIGHT('Phân công'!$C$2:$C$259,3)="14C")*('Phân công'!#REF!="Tiếng Việt"))</f>
        <v>#REF!</v>
      </c>
      <c r="P13" s="27" t="e">
        <f>SUMPRODUCT(('Phân công'!$D$2:$D$259=$A13)*('Phân công'!#REF!="X")*(RIGHT('Phân công'!$C$2:$C$259,3)="14C")*('Phân công'!#REF!="Tiếng Anh"))</f>
        <v>#REF!</v>
      </c>
      <c r="Q13" s="28" t="e">
        <f>SUMPRODUCT(('Phân công'!$D$2:$D$259=$A13)*('Phân công'!#REF!="X")*(RIGHT('Phân công'!$C$2:$C$259,3)="4CA"))</f>
        <v>#REF!</v>
      </c>
      <c r="R13" s="25" t="e">
        <f>SUMPRODUCT(('Phân công'!#REF!='Thù lao'!A13)*(RIGHT('Phân công'!$C$2:$C$259,3)="404"))</f>
        <v>#REF!</v>
      </c>
      <c r="S13" s="29" t="e">
        <f>SUMPRODUCT(('Phân công'!#REF!='Thù lao'!A13)*(RIGHT('Phân công'!$C$2:$C$259,3)="412"))</f>
        <v>#REF!</v>
      </c>
      <c r="T13" s="29" t="e">
        <f>SUMPRODUCT(('Phân công'!#REF!='Thù lao'!A13)*(RIGHT('Phân công'!$C$2:$C$259,3)="414"))</f>
        <v>#REF!</v>
      </c>
      <c r="U13" s="26" t="e">
        <f>SUMPRODUCT(('Phân công'!#REF!='Thù lao'!A13)*(RIGHT('Phân công'!$C$2:$C$259,3)="04C")*('Phân công'!#REF!="Tiếng Việt"))</f>
        <v>#REF!</v>
      </c>
      <c r="V13" s="26" t="e">
        <f>SUMPRODUCT(('Phân công'!#REF!='Thù lao'!A13)*(RIGHT('Phân công'!$C$2:$C$259,3)="04C")*('Phân công'!#REF!="Tiếng Anh"))</f>
        <v>#REF!</v>
      </c>
      <c r="W13" s="26" t="e">
        <f>SUMPRODUCT(('Phân công'!#REF!='Thù lao'!A13)*(RIGHT('Phân công'!$C$2:$C$259,3)="14C")*('Phân công'!#REF!="Tiếng Việt"))</f>
        <v>#REF!</v>
      </c>
      <c r="X13" s="27" t="e">
        <f>SUMPRODUCT(('Phân công'!#REF!='Thù lao'!A13)*(RIGHT('Phân công'!$C$2:$C$259,3)="14C")*('Phân công'!#REF!="Tiếng Anh"))</f>
        <v>#REF!</v>
      </c>
      <c r="Y13" s="26" t="e">
        <f>SUMPRODUCT(('Phân công'!#REF!='Thù lao'!A13)*(RIGHT('Phân công'!$C$10:$C$259,3)="4CA"))</f>
        <v>#REF!</v>
      </c>
      <c r="Z13" s="25" t="e">
        <f>SUMPRODUCT(('Phân công'!#REF!='Thù lao'!A13)*(RIGHT('Phân công'!$C$2:$C$259,3)="404"))</f>
        <v>#REF!</v>
      </c>
      <c r="AA13" s="29" t="e">
        <f>SUMPRODUCT(('Phân công'!#REF!='Thù lao'!A13)*(RIGHT('Phân công'!$C$2:$C$259,3)="412"))</f>
        <v>#REF!</v>
      </c>
      <c r="AB13" s="29" t="e">
        <f>SUMPRODUCT(('Phân công'!#REF!='Thù lao'!A13)*(RIGHT('Phân công'!$C$2:$C$259,3)="414"))</f>
        <v>#REF!</v>
      </c>
      <c r="AC13" s="26" t="e">
        <f>SUMPRODUCT(('Phân công'!#REF!='Thù lao'!A13)*(RIGHT('Phân công'!$C$2:$C$259,3)="04C")*('Phân công'!#REF!="Tiếng Việt"))</f>
        <v>#REF!</v>
      </c>
      <c r="AD13" s="26" t="e">
        <f>SUMPRODUCT(('Phân công'!#REF!='Thù lao'!A13)*(RIGHT('Phân công'!$C$2:$C$259,3)="04C")*('Phân công'!#REF!="Tiếng Anh"))</f>
        <v>#REF!</v>
      </c>
      <c r="AE13" s="26" t="e">
        <f>SUMPRODUCT(('Phân công'!#REF!='Thù lao'!A13)*(RIGHT('Phân công'!$C$2:$C$259,3)="14C")*('Phân công'!#REF!="Tiếng Việt"))</f>
        <v>#REF!</v>
      </c>
      <c r="AF13" s="27" t="e">
        <f>SUMPRODUCT(('Phân công'!#REF!='Thù lao'!A13)*(RIGHT('Phân công'!$C$2:$C$259,3)="14C")*('Phân công'!#REF!="Tiếng Anh"))</f>
        <v>#REF!</v>
      </c>
      <c r="AG13" s="26" t="e">
        <f>SUMPRODUCT(('Phân công'!#REF!='Thù lao'!A13)*(RIGHT('Phân công'!$C$2:$C$259,3)="4CA"))</f>
        <v>#REF!</v>
      </c>
      <c r="AH13" s="25" t="e">
        <f>SUMPRODUCT(('Phân công'!#REF!='Thù lao'!A13)*(RIGHT('Phân công'!$C$2:$C$259,3)="404"))</f>
        <v>#REF!</v>
      </c>
      <c r="AI13" s="29" t="e">
        <f>SUMPRODUCT(('Phân công'!#REF!='Thù lao'!A13)*(RIGHT('Phân công'!$C$2:$C$259,3)="412"))</f>
        <v>#REF!</v>
      </c>
      <c r="AJ13" s="29" t="e">
        <f>SUMPRODUCT(('Phân công'!#REF!='Thù lao'!A13)*(RIGHT('Phân công'!$C$2:$C$259,3)="414"))</f>
        <v>#REF!</v>
      </c>
      <c r="AK13" s="26" t="e">
        <f>SUMPRODUCT(('Phân công'!#REF!='Thù lao'!A13)*(RIGHT('Phân công'!$C$2:$C$259,3)="04C")*('Phân công'!#REF!="Tiếng Việt"))</f>
        <v>#REF!</v>
      </c>
      <c r="AL13" s="26" t="e">
        <f>SUMPRODUCT(('Phân công'!#REF!='Thù lao'!A13)*(RIGHT('Phân công'!$C$2:$C$259,3)="04C")*('Phân công'!#REF!="Tiếng Anh"))</f>
        <v>#REF!</v>
      </c>
      <c r="AM13" s="26" t="e">
        <f>SUMPRODUCT(('Phân công'!#REF!='Thù lao'!A13)*(RIGHT('Phân công'!$C$2:$C$259,3)="14C")*('Phân công'!#REF!="Tiếng Việt"))</f>
        <v>#REF!</v>
      </c>
      <c r="AN13" s="27" t="e">
        <f>SUMPRODUCT(('Phân công'!#REF!='Thù lao'!A13)*(RIGHT('Phân công'!$C$2:$C$259,3)="14C")*('Phân công'!#REF!="Tiếng Anh"))</f>
        <v>#REF!</v>
      </c>
      <c r="AO13" s="26" t="e">
        <f>SUMPRODUCT(('Phân công'!#REF!='Thù lao'!A13)*(RIGHT('Phân công'!$C$2:$C$259,3)="4CA"))</f>
        <v>#REF!</v>
      </c>
      <c r="AP13" s="25" t="e">
        <f>SUMPRODUCT(('Phân công'!#REF!='Thù lao'!A13)*(RIGHT('Phân công'!$C$2:$C$259,3)="404"))</f>
        <v>#REF!</v>
      </c>
      <c r="AQ13" s="29" t="e">
        <f>SUMPRODUCT(('Phân công'!#REF!='Thù lao'!A13)*(RIGHT('Phân công'!$C$2:$C$259,3)="412"))</f>
        <v>#REF!</v>
      </c>
      <c r="AR13" s="29" t="e">
        <f>SUMPRODUCT(('Phân công'!#REF!='Thù lao'!A13)*(RIGHT('Phân công'!$C$2:$C$259,3)="414"))</f>
        <v>#REF!</v>
      </c>
      <c r="AS13" s="26" t="e">
        <f>SUMPRODUCT(('Phân công'!#REF!='Thù lao'!A13)*(RIGHT('Phân công'!$C$2:$C$259,3)="04C")*('Phân công'!#REF!="Tiếng Việt"))</f>
        <v>#REF!</v>
      </c>
      <c r="AT13" s="26" t="e">
        <f>SUMPRODUCT(('Phân công'!#REF!='Thù lao'!A13)*(RIGHT('Phân công'!$C$2:$C$259,3)="04C")*('Phân công'!#REF!="Tiếng Anh"))</f>
        <v>#REF!</v>
      </c>
      <c r="AU13" s="26" t="e">
        <f>SUMPRODUCT(('Phân công'!#REF!='Thù lao'!A13)*(RIGHT('Phân công'!$C$2:$C$259,3)="14C")*('Phân công'!#REF!="Tiếng Việt"))</f>
        <v>#REF!</v>
      </c>
      <c r="AV13" s="27" t="e">
        <f>SUMPRODUCT(('Phân công'!#REF!='Thù lao'!A13)*(RIGHT('Phân công'!$C$2:$C$259,3)="14C")*('Phân công'!#REF!="Tiếng Anh"))</f>
        <v>#REF!</v>
      </c>
      <c r="AW13" s="26" t="e">
        <f>SUMPRODUCT(('Phân công'!#REF!='Thù lao'!A13)*(RIGHT('Phân công'!$C$2:$C$259,3)="4CA"))</f>
        <v>#REF!</v>
      </c>
      <c r="AX13" s="25" t="e">
        <f t="shared" ref="AX13:BE13" si="19">AP13+AH13+Z13+R13</f>
        <v>#REF!</v>
      </c>
      <c r="AY13" s="25" t="e">
        <f t="shared" si="19"/>
        <v>#REF!</v>
      </c>
      <c r="AZ13" s="25" t="e">
        <f t="shared" si="19"/>
        <v>#REF!</v>
      </c>
      <c r="BA13" s="25" t="e">
        <f t="shared" si="19"/>
        <v>#REF!</v>
      </c>
      <c r="BB13" s="25" t="e">
        <f t="shared" si="19"/>
        <v>#REF!</v>
      </c>
      <c r="BC13" s="25" t="e">
        <f t="shared" si="19"/>
        <v>#REF!</v>
      </c>
      <c r="BD13" s="25" t="e">
        <f t="shared" si="19"/>
        <v>#REF!</v>
      </c>
      <c r="BE13" s="25" t="e">
        <f t="shared" si="19"/>
        <v>#REF!</v>
      </c>
      <c r="BF13" s="30" t="e">
        <f t="shared" si="1"/>
        <v>#REF!</v>
      </c>
      <c r="BG13" s="30" t="e">
        <f t="shared" si="2"/>
        <v>#REF!</v>
      </c>
      <c r="BH13" s="30" t="e">
        <f t="shared" si="3"/>
        <v>#REF!</v>
      </c>
      <c r="BI13" s="30" t="e">
        <f t="shared" si="4"/>
        <v>#REF!</v>
      </c>
      <c r="BJ13" s="30" t="e">
        <f t="shared" si="5"/>
        <v>#REF!</v>
      </c>
      <c r="BK13" s="30" t="e">
        <f t="shared" si="6"/>
        <v>#REF!</v>
      </c>
      <c r="BL13" s="31" t="e">
        <f t="shared" si="7"/>
        <v>#REF!</v>
      </c>
      <c r="BM13" s="31" t="e">
        <f t="shared" si="8"/>
        <v>#REF!</v>
      </c>
      <c r="BN13" s="31" t="e">
        <f t="shared" si="9"/>
        <v>#REF!</v>
      </c>
      <c r="BO13" s="31" t="e">
        <f t="shared" si="10"/>
        <v>#REF!</v>
      </c>
    </row>
    <row r="14" spans="1:67" ht="15.75" customHeight="1" x14ac:dyDescent="0.35">
      <c r="A14" s="2" t="s">
        <v>20</v>
      </c>
      <c r="B14" s="25" t="e">
        <f>SUMPRODUCT(('Phân công'!$D$2:$D$259=$A14)*('Phân công'!#REF!="X")*(RIGHT('Phân công'!$C$2:$C$259,3)="404"))</f>
        <v>#REF!</v>
      </c>
      <c r="C14" s="26" t="e">
        <f>SUMPRODUCT(('Phân công'!$D$2:$D$259=$A14)*('Phân công'!#REF!="X")*(RIGHT('Phân công'!$C$2:$C$259,3)="412"))</f>
        <v>#REF!</v>
      </c>
      <c r="D14" s="26" t="e">
        <f>SUMPRODUCT(('Phân công'!$D$2:$D$259=$A14)*('Phân công'!#REF!="X")*(RIGHT('Phân công'!$C$2:$C$259,3)="414"))</f>
        <v>#REF!</v>
      </c>
      <c r="E14" s="26" t="e">
        <f>SUMPRODUCT(('Phân công'!$D$2:$D$259=$A14)*('Phân công'!#REF!="X")*(RIGHT('Phân công'!$C$2:$C$259,4)="404C")*('Phân công'!#REF!="Tiếng Việt"))</f>
        <v>#REF!</v>
      </c>
      <c r="F14" s="26" t="e">
        <f>SUMPRODUCT(('Phân công'!$D$2:$D$259=$A14)*('Phân công'!#REF!="X")*(RIGHT('Phân công'!$C$2:$C$259,4)="404C")*('Phân công'!#REF!="Tiếng Anh"))</f>
        <v>#REF!</v>
      </c>
      <c r="G14" s="26" t="e">
        <f>SUMPRODUCT(('Phân công'!$D$2:$D$259=$A14)*('Phân công'!#REF!="X")*(RIGHT('Phân công'!$C$2:$C$259,4)="414C")*('Phân công'!#REF!="Tiếng Việt"))</f>
        <v>#REF!</v>
      </c>
      <c r="H14" s="27" t="e">
        <f>SUMPRODUCT(('Phân công'!$D$2:$D$259=$A14)*('Phân công'!#REF!="X")*(RIGHT('Phân công'!$C$2:$C$259,4)="414C")*('Phân công'!#REF!="Tiếng Anh"))</f>
        <v>#REF!</v>
      </c>
      <c r="I14" s="28" t="e">
        <f>SUMPRODUCT(('Phân công'!$D$2:$D$259=$A14)*('Phân công'!#REF!="X")*(RIGHT('Phân công'!$C$2:$C$259,5)="404CA"))</f>
        <v>#REF!</v>
      </c>
      <c r="J14" s="25" t="e">
        <f>SUMPRODUCT(('Phân công'!$D$2:$D$259=$A14)*('Phân công'!#REF!="X")*(RIGHT('Phân công'!$C$2:$C$259,3)="404"))</f>
        <v>#REF!</v>
      </c>
      <c r="K14" s="26" t="e">
        <f>SUMPRODUCT(('Phân công'!$D$2:$D$259=$A14)*('Phân công'!#REF!="X")*(RIGHT('Phân công'!$C$2:$C$259,3)="412"))</f>
        <v>#REF!</v>
      </c>
      <c r="L14" s="26" t="e">
        <f>SUMPRODUCT(('Phân công'!$D$2:$D$259=$A14)*('Phân công'!#REF!="X")*(RIGHT('Phân công'!$C$2:$C$259,3)="414"))</f>
        <v>#REF!</v>
      </c>
      <c r="M14" s="26" t="e">
        <f>SUMPRODUCT(('Phân công'!$D$2:$D$259=$A14)*('Phân công'!#REF!="X")*(RIGHT('Phân công'!$C$2:$C$259,3)="04C")*('Phân công'!#REF!="Tiếng Việt"))</f>
        <v>#REF!</v>
      </c>
      <c r="N14" s="26" t="e">
        <f>SUMPRODUCT(('Phân công'!$D$2:$D$259=$A14)*('Phân công'!#REF!="X")*(RIGHT('Phân công'!$C$2:$C$259,3)="04C")*('Phân công'!#REF!="Tiếng Anh"))</f>
        <v>#REF!</v>
      </c>
      <c r="O14" s="26" t="e">
        <f>SUMPRODUCT(('Phân công'!$D$2:$D$259=$A14)*('Phân công'!#REF!="X")*(RIGHT('Phân công'!$C$2:$C$259,3)="14C")*('Phân công'!#REF!="Tiếng Việt"))</f>
        <v>#REF!</v>
      </c>
      <c r="P14" s="27" t="e">
        <f>SUMPRODUCT(('Phân công'!$D$2:$D$259=$A14)*('Phân công'!#REF!="X")*(RIGHT('Phân công'!$C$2:$C$259,3)="14C")*('Phân công'!#REF!="Tiếng Anh"))</f>
        <v>#REF!</v>
      </c>
      <c r="Q14" s="28" t="e">
        <f>SUMPRODUCT(('Phân công'!$D$2:$D$259=$A14)*('Phân công'!#REF!="X")*(RIGHT('Phân công'!$C$2:$C$259,3)="4CA"))</f>
        <v>#REF!</v>
      </c>
      <c r="R14" s="25" t="e">
        <f>SUMPRODUCT(('Phân công'!#REF!='Thù lao'!A14)*(RIGHT('Phân công'!$C$2:$C$259,3)="404"))</f>
        <v>#REF!</v>
      </c>
      <c r="S14" s="29" t="e">
        <f>SUMPRODUCT(('Phân công'!#REF!='Thù lao'!A14)*(RIGHT('Phân công'!$C$2:$C$259,3)="412"))</f>
        <v>#REF!</v>
      </c>
      <c r="T14" s="29" t="e">
        <f>SUMPRODUCT(('Phân công'!#REF!='Thù lao'!A14)*(RIGHT('Phân công'!$C$2:$C$259,3)="414"))</f>
        <v>#REF!</v>
      </c>
      <c r="U14" s="26" t="e">
        <f>SUMPRODUCT(('Phân công'!#REF!='Thù lao'!A14)*(RIGHT('Phân công'!$C$2:$C$259,3)="04C")*('Phân công'!#REF!="Tiếng Việt"))</f>
        <v>#REF!</v>
      </c>
      <c r="V14" s="26" t="e">
        <f>SUMPRODUCT(('Phân công'!#REF!='Thù lao'!A14)*(RIGHT('Phân công'!$C$2:$C$259,3)="04C")*('Phân công'!#REF!="Tiếng Anh"))</f>
        <v>#REF!</v>
      </c>
      <c r="W14" s="26" t="e">
        <f>SUMPRODUCT(('Phân công'!#REF!='Thù lao'!A14)*(RIGHT('Phân công'!$C$2:$C$259,3)="14C")*('Phân công'!#REF!="Tiếng Việt"))</f>
        <v>#REF!</v>
      </c>
      <c r="X14" s="27" t="e">
        <f>SUMPRODUCT(('Phân công'!#REF!='Thù lao'!A14)*(RIGHT('Phân công'!$C$2:$C$259,3)="14C")*('Phân công'!#REF!="Tiếng Anh"))</f>
        <v>#REF!</v>
      </c>
      <c r="Y14" s="26" t="e">
        <f>SUMPRODUCT(('Phân công'!#REF!='Thù lao'!A14)*(RIGHT('Phân công'!$C$10:$C$259,3)="4CA"))</f>
        <v>#REF!</v>
      </c>
      <c r="Z14" s="25" t="e">
        <f>SUMPRODUCT(('Phân công'!#REF!='Thù lao'!A14)*(RIGHT('Phân công'!$C$2:$C$259,3)="404"))</f>
        <v>#REF!</v>
      </c>
      <c r="AA14" s="29" t="e">
        <f>SUMPRODUCT(('Phân công'!#REF!='Thù lao'!A14)*(RIGHT('Phân công'!$C$2:$C$259,3)="412"))</f>
        <v>#REF!</v>
      </c>
      <c r="AB14" s="29" t="e">
        <f>SUMPRODUCT(('Phân công'!#REF!='Thù lao'!A14)*(RIGHT('Phân công'!$C$2:$C$259,3)="414"))</f>
        <v>#REF!</v>
      </c>
      <c r="AC14" s="26" t="e">
        <f>SUMPRODUCT(('Phân công'!#REF!='Thù lao'!A14)*(RIGHT('Phân công'!$C$2:$C$259,3)="04C")*('Phân công'!#REF!="Tiếng Việt"))</f>
        <v>#REF!</v>
      </c>
      <c r="AD14" s="26" t="e">
        <f>SUMPRODUCT(('Phân công'!#REF!='Thù lao'!A14)*(RIGHT('Phân công'!$C$2:$C$259,3)="04C")*('Phân công'!#REF!="Tiếng Anh"))</f>
        <v>#REF!</v>
      </c>
      <c r="AE14" s="26" t="e">
        <f>SUMPRODUCT(('Phân công'!#REF!='Thù lao'!A14)*(RIGHT('Phân công'!$C$2:$C$259,3)="14C")*('Phân công'!#REF!="Tiếng Việt"))</f>
        <v>#REF!</v>
      </c>
      <c r="AF14" s="27" t="e">
        <f>SUMPRODUCT(('Phân công'!#REF!='Thù lao'!A14)*(RIGHT('Phân công'!$C$2:$C$259,3)="14C")*('Phân công'!#REF!="Tiếng Anh"))</f>
        <v>#REF!</v>
      </c>
      <c r="AG14" s="26" t="e">
        <f>SUMPRODUCT(('Phân công'!#REF!='Thù lao'!A14)*(RIGHT('Phân công'!$C$2:$C$259,3)="4CA"))</f>
        <v>#REF!</v>
      </c>
      <c r="AH14" s="25" t="e">
        <f>SUMPRODUCT(('Phân công'!#REF!='Thù lao'!A14)*(RIGHT('Phân công'!$C$2:$C$259,3)="404"))</f>
        <v>#REF!</v>
      </c>
      <c r="AI14" s="29" t="e">
        <f>SUMPRODUCT(('Phân công'!#REF!='Thù lao'!A14)*(RIGHT('Phân công'!$C$2:$C$259,3)="412"))</f>
        <v>#REF!</v>
      </c>
      <c r="AJ14" s="29" t="e">
        <f>SUMPRODUCT(('Phân công'!#REF!='Thù lao'!A14)*(RIGHT('Phân công'!$C$2:$C$259,3)="414"))</f>
        <v>#REF!</v>
      </c>
      <c r="AK14" s="26" t="e">
        <f>SUMPRODUCT(('Phân công'!#REF!='Thù lao'!A14)*(RIGHT('Phân công'!$C$2:$C$259,3)="04C")*('Phân công'!#REF!="Tiếng Việt"))</f>
        <v>#REF!</v>
      </c>
      <c r="AL14" s="26" t="e">
        <f>SUMPRODUCT(('Phân công'!#REF!='Thù lao'!A14)*(RIGHT('Phân công'!$C$2:$C$259,3)="04C")*('Phân công'!#REF!="Tiếng Anh"))</f>
        <v>#REF!</v>
      </c>
      <c r="AM14" s="26" t="e">
        <f>SUMPRODUCT(('Phân công'!#REF!='Thù lao'!A14)*(RIGHT('Phân công'!$C$2:$C$259,3)="14C")*('Phân công'!#REF!="Tiếng Việt"))</f>
        <v>#REF!</v>
      </c>
      <c r="AN14" s="27" t="e">
        <f>SUMPRODUCT(('Phân công'!#REF!='Thù lao'!A14)*(RIGHT('Phân công'!$C$2:$C$259,3)="14C")*('Phân công'!#REF!="Tiếng Anh"))</f>
        <v>#REF!</v>
      </c>
      <c r="AO14" s="26" t="e">
        <f>SUMPRODUCT(('Phân công'!#REF!='Thù lao'!A14)*(RIGHT('Phân công'!$C$2:$C$259,3)="4CA"))</f>
        <v>#REF!</v>
      </c>
      <c r="AP14" s="25" t="e">
        <f>SUMPRODUCT(('Phân công'!#REF!='Thù lao'!A14)*(RIGHT('Phân công'!$C$2:$C$259,3)="404"))</f>
        <v>#REF!</v>
      </c>
      <c r="AQ14" s="29" t="e">
        <f>SUMPRODUCT(('Phân công'!#REF!='Thù lao'!A14)*(RIGHT('Phân công'!$C$2:$C$259,3)="412"))</f>
        <v>#REF!</v>
      </c>
      <c r="AR14" s="29" t="e">
        <f>SUMPRODUCT(('Phân công'!#REF!='Thù lao'!A14)*(RIGHT('Phân công'!$C$2:$C$259,3)="414"))</f>
        <v>#REF!</v>
      </c>
      <c r="AS14" s="26" t="e">
        <f>SUMPRODUCT(('Phân công'!#REF!='Thù lao'!A14)*(RIGHT('Phân công'!$C$2:$C$259,3)="04C")*('Phân công'!#REF!="Tiếng Việt"))</f>
        <v>#REF!</v>
      </c>
      <c r="AT14" s="26" t="e">
        <f>SUMPRODUCT(('Phân công'!#REF!='Thù lao'!A14)*(RIGHT('Phân công'!$C$2:$C$259,3)="04C")*('Phân công'!#REF!="Tiếng Anh"))</f>
        <v>#REF!</v>
      </c>
      <c r="AU14" s="26" t="e">
        <f>SUMPRODUCT(('Phân công'!#REF!='Thù lao'!A14)*(RIGHT('Phân công'!$C$2:$C$259,3)="14C")*('Phân công'!#REF!="Tiếng Việt"))</f>
        <v>#REF!</v>
      </c>
      <c r="AV14" s="27" t="e">
        <f>SUMPRODUCT(('Phân công'!#REF!='Thù lao'!A14)*(RIGHT('Phân công'!$C$2:$C$259,3)="14C")*('Phân công'!#REF!="Tiếng Anh"))</f>
        <v>#REF!</v>
      </c>
      <c r="AW14" s="26" t="e">
        <f>SUMPRODUCT(('Phân công'!#REF!='Thù lao'!A14)*(RIGHT('Phân công'!$C$2:$C$259,3)="4CA"))</f>
        <v>#REF!</v>
      </c>
      <c r="AX14" s="25" t="e">
        <f t="shared" ref="AX14:BE14" si="20">AP14+AH14+Z14+R14</f>
        <v>#REF!</v>
      </c>
      <c r="AY14" s="25" t="e">
        <f t="shared" si="20"/>
        <v>#REF!</v>
      </c>
      <c r="AZ14" s="25" t="e">
        <f t="shared" si="20"/>
        <v>#REF!</v>
      </c>
      <c r="BA14" s="25" t="e">
        <f t="shared" si="20"/>
        <v>#REF!</v>
      </c>
      <c r="BB14" s="25" t="e">
        <f t="shared" si="20"/>
        <v>#REF!</v>
      </c>
      <c r="BC14" s="25" t="e">
        <f t="shared" si="20"/>
        <v>#REF!</v>
      </c>
      <c r="BD14" s="25" t="e">
        <f t="shared" si="20"/>
        <v>#REF!</v>
      </c>
      <c r="BE14" s="25" t="e">
        <f t="shared" si="20"/>
        <v>#REF!</v>
      </c>
      <c r="BF14" s="30" t="e">
        <f t="shared" si="1"/>
        <v>#REF!</v>
      </c>
      <c r="BG14" s="30" t="e">
        <f t="shared" si="2"/>
        <v>#REF!</v>
      </c>
      <c r="BH14" s="30" t="e">
        <f t="shared" si="3"/>
        <v>#REF!</v>
      </c>
      <c r="BI14" s="30" t="e">
        <f t="shared" si="4"/>
        <v>#REF!</v>
      </c>
      <c r="BJ14" s="30" t="e">
        <f t="shared" si="5"/>
        <v>#REF!</v>
      </c>
      <c r="BK14" s="30" t="e">
        <f t="shared" si="6"/>
        <v>#REF!</v>
      </c>
      <c r="BL14" s="31" t="e">
        <f t="shared" si="7"/>
        <v>#REF!</v>
      </c>
      <c r="BM14" s="31" t="e">
        <f t="shared" si="8"/>
        <v>#REF!</v>
      </c>
      <c r="BN14" s="31" t="e">
        <f t="shared" si="9"/>
        <v>#REF!</v>
      </c>
      <c r="BO14" s="31" t="e">
        <f t="shared" si="10"/>
        <v>#REF!</v>
      </c>
    </row>
    <row r="15" spans="1:67" ht="15.75" customHeight="1" x14ac:dyDescent="0.35">
      <c r="A15" s="2" t="s">
        <v>54</v>
      </c>
      <c r="B15" s="25" t="e">
        <f>SUMPRODUCT(('Phân công'!$D$2:$D$259=$A15)*('Phân công'!#REF!="X")*(RIGHT('Phân công'!$C$2:$C$259,3)="404"))</f>
        <v>#REF!</v>
      </c>
      <c r="C15" s="26" t="e">
        <f>SUMPRODUCT(('Phân công'!$D$2:$D$259=$A15)*('Phân công'!#REF!="X")*(RIGHT('Phân công'!$C$2:$C$259,3)="412"))</f>
        <v>#REF!</v>
      </c>
      <c r="D15" s="26" t="e">
        <f>SUMPRODUCT(('Phân công'!$D$2:$D$259=$A15)*('Phân công'!#REF!="X")*(RIGHT('Phân công'!$C$2:$C$259,3)="414"))</f>
        <v>#REF!</v>
      </c>
      <c r="E15" s="26" t="e">
        <f>SUMPRODUCT(('Phân công'!$D$2:$D$259=$A15)*('Phân công'!#REF!="X")*(RIGHT('Phân công'!$C$2:$C$259,4)="404C")*('Phân công'!#REF!="Tiếng Việt"))</f>
        <v>#REF!</v>
      </c>
      <c r="F15" s="26" t="e">
        <f>SUMPRODUCT(('Phân công'!$D$2:$D$259=$A15)*('Phân công'!#REF!="X")*(RIGHT('Phân công'!$C$2:$C$259,4)="404C")*('Phân công'!#REF!="Tiếng Anh"))</f>
        <v>#REF!</v>
      </c>
      <c r="G15" s="26" t="e">
        <f>SUMPRODUCT(('Phân công'!$D$2:$D$259=$A15)*('Phân công'!#REF!="X")*(RIGHT('Phân công'!$C$2:$C$259,4)="414C")*('Phân công'!#REF!="Tiếng Việt"))</f>
        <v>#REF!</v>
      </c>
      <c r="H15" s="27" t="e">
        <f>SUMPRODUCT(('Phân công'!$D$2:$D$259=$A15)*('Phân công'!#REF!="X")*(RIGHT('Phân công'!$C$2:$C$259,4)="414C")*('Phân công'!#REF!="Tiếng Anh"))</f>
        <v>#REF!</v>
      </c>
      <c r="I15" s="28" t="e">
        <f>SUMPRODUCT(('Phân công'!$D$2:$D$259=$A15)*('Phân công'!#REF!="X")*(RIGHT('Phân công'!$C$2:$C$259,5)="404CA"))</f>
        <v>#REF!</v>
      </c>
      <c r="J15" s="25" t="e">
        <f>SUMPRODUCT(('Phân công'!$D$2:$D$259=$A15)*('Phân công'!#REF!="X")*(RIGHT('Phân công'!$C$2:$C$259,3)="404"))</f>
        <v>#REF!</v>
      </c>
      <c r="K15" s="26" t="e">
        <f>SUMPRODUCT(('Phân công'!$D$2:$D$259=$A15)*('Phân công'!#REF!="X")*(RIGHT('Phân công'!$C$2:$C$259,3)="412"))</f>
        <v>#REF!</v>
      </c>
      <c r="L15" s="26" t="e">
        <f>SUMPRODUCT(('Phân công'!$D$2:$D$259=$A15)*('Phân công'!#REF!="X")*(RIGHT('Phân công'!$C$2:$C$259,3)="414"))</f>
        <v>#REF!</v>
      </c>
      <c r="M15" s="26" t="e">
        <f>SUMPRODUCT(('Phân công'!$D$2:$D$259=$A15)*('Phân công'!#REF!="X")*(RIGHT('Phân công'!$C$2:$C$259,3)="04C")*('Phân công'!#REF!="Tiếng Việt"))</f>
        <v>#REF!</v>
      </c>
      <c r="N15" s="26" t="e">
        <f>SUMPRODUCT(('Phân công'!$D$2:$D$259=$A15)*('Phân công'!#REF!="X")*(RIGHT('Phân công'!$C$2:$C$259,3)="04C")*('Phân công'!#REF!="Tiếng Anh"))</f>
        <v>#REF!</v>
      </c>
      <c r="O15" s="26" t="e">
        <f>SUMPRODUCT(('Phân công'!$D$2:$D$259=$A15)*('Phân công'!#REF!="X")*(RIGHT('Phân công'!$C$2:$C$259,3)="14C")*('Phân công'!#REF!="Tiếng Việt"))</f>
        <v>#REF!</v>
      </c>
      <c r="P15" s="27" t="e">
        <f>SUMPRODUCT(('Phân công'!$D$2:$D$259=$A15)*('Phân công'!#REF!="X")*(RIGHT('Phân công'!$C$2:$C$259,3)="14C")*('Phân công'!#REF!="Tiếng Anh"))</f>
        <v>#REF!</v>
      </c>
      <c r="Q15" s="28" t="e">
        <f>SUMPRODUCT(('Phân công'!$D$2:$D$259=$A15)*('Phân công'!#REF!="X")*(RIGHT('Phân công'!$C$2:$C$259,3)="4CA"))</f>
        <v>#REF!</v>
      </c>
      <c r="R15" s="25" t="e">
        <f>SUMPRODUCT(('Phân công'!#REF!='Thù lao'!A15)*(RIGHT('Phân công'!$C$2:$C$259,3)="404"))</f>
        <v>#REF!</v>
      </c>
      <c r="S15" s="29" t="e">
        <f>SUMPRODUCT(('Phân công'!#REF!='Thù lao'!A15)*(RIGHT('Phân công'!$C$2:$C$259,3)="412"))</f>
        <v>#REF!</v>
      </c>
      <c r="T15" s="29" t="e">
        <f>SUMPRODUCT(('Phân công'!#REF!='Thù lao'!A15)*(RIGHT('Phân công'!$C$2:$C$259,3)="414"))</f>
        <v>#REF!</v>
      </c>
      <c r="U15" s="26" t="e">
        <f>SUMPRODUCT(('Phân công'!#REF!='Thù lao'!A15)*(RIGHT('Phân công'!$C$2:$C$259,3)="04C")*('Phân công'!#REF!="Tiếng Việt"))</f>
        <v>#REF!</v>
      </c>
      <c r="V15" s="26" t="e">
        <f>SUMPRODUCT(('Phân công'!#REF!='Thù lao'!A15)*(RIGHT('Phân công'!$C$2:$C$259,3)="04C")*('Phân công'!#REF!="Tiếng Anh"))</f>
        <v>#REF!</v>
      </c>
      <c r="W15" s="26" t="e">
        <f>SUMPRODUCT(('Phân công'!#REF!='Thù lao'!A15)*(RIGHT('Phân công'!$C$2:$C$259,3)="14C")*('Phân công'!#REF!="Tiếng Việt"))</f>
        <v>#REF!</v>
      </c>
      <c r="X15" s="27" t="e">
        <f>SUMPRODUCT(('Phân công'!#REF!='Thù lao'!A15)*(RIGHT('Phân công'!$C$2:$C$259,3)="14C")*('Phân công'!#REF!="Tiếng Anh"))</f>
        <v>#REF!</v>
      </c>
      <c r="Y15" s="26" t="e">
        <f>SUMPRODUCT(('Phân công'!#REF!='Thù lao'!A15)*(RIGHT('Phân công'!$C$10:$C$259,3)="4CA"))</f>
        <v>#REF!</v>
      </c>
      <c r="Z15" s="25" t="e">
        <f>SUMPRODUCT(('Phân công'!#REF!='Thù lao'!A15)*(RIGHT('Phân công'!$C$2:$C$259,3)="404"))</f>
        <v>#REF!</v>
      </c>
      <c r="AA15" s="29" t="e">
        <f>SUMPRODUCT(('Phân công'!#REF!='Thù lao'!A15)*(RIGHT('Phân công'!$C$2:$C$259,3)="412"))</f>
        <v>#REF!</v>
      </c>
      <c r="AB15" s="29" t="e">
        <f>SUMPRODUCT(('Phân công'!#REF!='Thù lao'!A15)*(RIGHT('Phân công'!$C$2:$C$259,3)="414"))</f>
        <v>#REF!</v>
      </c>
      <c r="AC15" s="26" t="e">
        <f>SUMPRODUCT(('Phân công'!#REF!='Thù lao'!A15)*(RIGHT('Phân công'!$C$2:$C$259,3)="04C")*('Phân công'!#REF!="Tiếng Việt"))</f>
        <v>#REF!</v>
      </c>
      <c r="AD15" s="26" t="e">
        <f>SUMPRODUCT(('Phân công'!#REF!='Thù lao'!A15)*(RIGHT('Phân công'!$C$2:$C$259,3)="04C")*('Phân công'!#REF!="Tiếng Anh"))</f>
        <v>#REF!</v>
      </c>
      <c r="AE15" s="26" t="e">
        <f>SUMPRODUCT(('Phân công'!#REF!='Thù lao'!A15)*(RIGHT('Phân công'!$C$2:$C$259,3)="14C")*('Phân công'!#REF!="Tiếng Việt"))</f>
        <v>#REF!</v>
      </c>
      <c r="AF15" s="27" t="e">
        <f>SUMPRODUCT(('Phân công'!#REF!='Thù lao'!A15)*(RIGHT('Phân công'!$C$2:$C$259,3)="14C")*('Phân công'!#REF!="Tiếng Anh"))</f>
        <v>#REF!</v>
      </c>
      <c r="AG15" s="26" t="e">
        <f>SUMPRODUCT(('Phân công'!#REF!='Thù lao'!A15)*(RIGHT('Phân công'!$C$2:$C$259,3)="4CA"))</f>
        <v>#REF!</v>
      </c>
      <c r="AH15" s="25" t="e">
        <f>SUMPRODUCT(('Phân công'!#REF!='Thù lao'!A15)*(RIGHT('Phân công'!$C$2:$C$259,3)="404"))</f>
        <v>#REF!</v>
      </c>
      <c r="AI15" s="29" t="e">
        <f>SUMPRODUCT(('Phân công'!#REF!='Thù lao'!A15)*(RIGHT('Phân công'!$C$2:$C$259,3)="412"))</f>
        <v>#REF!</v>
      </c>
      <c r="AJ15" s="29" t="e">
        <f>SUMPRODUCT(('Phân công'!#REF!='Thù lao'!A15)*(RIGHT('Phân công'!$C$2:$C$259,3)="414"))</f>
        <v>#REF!</v>
      </c>
      <c r="AK15" s="26" t="e">
        <f>SUMPRODUCT(('Phân công'!#REF!='Thù lao'!A15)*(RIGHT('Phân công'!$C$2:$C$259,3)="04C")*('Phân công'!#REF!="Tiếng Việt"))</f>
        <v>#REF!</v>
      </c>
      <c r="AL15" s="26" t="e">
        <f>SUMPRODUCT(('Phân công'!#REF!='Thù lao'!A15)*(RIGHT('Phân công'!$C$2:$C$259,3)="04C")*('Phân công'!#REF!="Tiếng Anh"))</f>
        <v>#REF!</v>
      </c>
      <c r="AM15" s="26" t="e">
        <f>SUMPRODUCT(('Phân công'!#REF!='Thù lao'!A15)*(RIGHT('Phân công'!$C$2:$C$259,3)="14C")*('Phân công'!#REF!="Tiếng Việt"))</f>
        <v>#REF!</v>
      </c>
      <c r="AN15" s="27" t="e">
        <f>SUMPRODUCT(('Phân công'!#REF!='Thù lao'!A15)*(RIGHT('Phân công'!$C$2:$C$259,3)="14C")*('Phân công'!#REF!="Tiếng Anh"))</f>
        <v>#REF!</v>
      </c>
      <c r="AO15" s="26" t="e">
        <f>SUMPRODUCT(('Phân công'!#REF!='Thù lao'!A15)*(RIGHT('Phân công'!$C$2:$C$259,3)="4CA"))</f>
        <v>#REF!</v>
      </c>
      <c r="AP15" s="25" t="e">
        <f>SUMPRODUCT(('Phân công'!#REF!='Thù lao'!A15)*(RIGHT('Phân công'!$C$2:$C$259,3)="404"))</f>
        <v>#REF!</v>
      </c>
      <c r="AQ15" s="29" t="e">
        <f>SUMPRODUCT(('Phân công'!#REF!='Thù lao'!A15)*(RIGHT('Phân công'!$C$2:$C$259,3)="412"))</f>
        <v>#REF!</v>
      </c>
      <c r="AR15" s="29" t="e">
        <f>SUMPRODUCT(('Phân công'!#REF!='Thù lao'!A15)*(RIGHT('Phân công'!$C$2:$C$259,3)="414"))</f>
        <v>#REF!</v>
      </c>
      <c r="AS15" s="26" t="e">
        <f>SUMPRODUCT(('Phân công'!#REF!='Thù lao'!A15)*(RIGHT('Phân công'!$C$2:$C$259,3)="04C")*('Phân công'!#REF!="Tiếng Việt"))</f>
        <v>#REF!</v>
      </c>
      <c r="AT15" s="26" t="e">
        <f>SUMPRODUCT(('Phân công'!#REF!='Thù lao'!A15)*(RIGHT('Phân công'!$C$2:$C$259,3)="04C")*('Phân công'!#REF!="Tiếng Anh"))</f>
        <v>#REF!</v>
      </c>
      <c r="AU15" s="26" t="e">
        <f>SUMPRODUCT(('Phân công'!#REF!='Thù lao'!A15)*(RIGHT('Phân công'!$C$2:$C$259,3)="14C")*('Phân công'!#REF!="Tiếng Việt"))</f>
        <v>#REF!</v>
      </c>
      <c r="AV15" s="27" t="e">
        <f>SUMPRODUCT(('Phân công'!#REF!='Thù lao'!A15)*(RIGHT('Phân công'!$C$2:$C$259,3)="14C")*('Phân công'!#REF!="Tiếng Anh"))</f>
        <v>#REF!</v>
      </c>
      <c r="AW15" s="26" t="e">
        <f>SUMPRODUCT(('Phân công'!#REF!='Thù lao'!A15)*(RIGHT('Phân công'!$C$2:$C$259,3)="4CA"))</f>
        <v>#REF!</v>
      </c>
      <c r="AX15" s="25" t="e">
        <f t="shared" ref="AX15:BE15" si="21">AP15+AH15+Z15+R15</f>
        <v>#REF!</v>
      </c>
      <c r="AY15" s="25" t="e">
        <f t="shared" si="21"/>
        <v>#REF!</v>
      </c>
      <c r="AZ15" s="25" t="e">
        <f t="shared" si="21"/>
        <v>#REF!</v>
      </c>
      <c r="BA15" s="25" t="e">
        <f t="shared" si="21"/>
        <v>#REF!</v>
      </c>
      <c r="BB15" s="25" t="e">
        <f t="shared" si="21"/>
        <v>#REF!</v>
      </c>
      <c r="BC15" s="25" t="e">
        <f t="shared" si="21"/>
        <v>#REF!</v>
      </c>
      <c r="BD15" s="25" t="e">
        <f t="shared" si="21"/>
        <v>#REF!</v>
      </c>
      <c r="BE15" s="25" t="e">
        <f t="shared" si="21"/>
        <v>#REF!</v>
      </c>
      <c r="BF15" s="30" t="e">
        <f t="shared" si="1"/>
        <v>#REF!</v>
      </c>
      <c r="BG15" s="30" t="e">
        <f t="shared" si="2"/>
        <v>#REF!</v>
      </c>
      <c r="BH15" s="30" t="e">
        <f t="shared" si="3"/>
        <v>#REF!</v>
      </c>
      <c r="BI15" s="30" t="e">
        <f t="shared" si="4"/>
        <v>#REF!</v>
      </c>
      <c r="BJ15" s="30" t="e">
        <f t="shared" si="5"/>
        <v>#REF!</v>
      </c>
      <c r="BK15" s="30" t="e">
        <f t="shared" si="6"/>
        <v>#REF!</v>
      </c>
      <c r="BL15" s="31" t="e">
        <f t="shared" si="7"/>
        <v>#REF!</v>
      </c>
      <c r="BM15" s="31" t="e">
        <f t="shared" si="8"/>
        <v>#REF!</v>
      </c>
      <c r="BN15" s="31" t="e">
        <f t="shared" si="9"/>
        <v>#REF!</v>
      </c>
      <c r="BO15" s="31" t="e">
        <f t="shared" si="10"/>
        <v>#REF!</v>
      </c>
    </row>
    <row r="16" spans="1:67" ht="15.75" customHeight="1" x14ac:dyDescent="0.35">
      <c r="A16" s="2" t="s">
        <v>425</v>
      </c>
      <c r="B16" s="25" t="e">
        <f>SUMPRODUCT(('Phân công'!$D$2:$D$259=$A16)*('Phân công'!#REF!="X")*(RIGHT('Phân công'!$C$2:$C$259,3)="404"))</f>
        <v>#REF!</v>
      </c>
      <c r="C16" s="26" t="e">
        <f>SUMPRODUCT(('Phân công'!$D$2:$D$259=$A16)*('Phân công'!#REF!="X")*(RIGHT('Phân công'!$C$2:$C$259,3)="412"))</f>
        <v>#REF!</v>
      </c>
      <c r="D16" s="26" t="e">
        <f>SUMPRODUCT(('Phân công'!$D$2:$D$259=$A16)*('Phân công'!#REF!="X")*(RIGHT('Phân công'!$C$2:$C$259,3)="414"))</f>
        <v>#REF!</v>
      </c>
      <c r="E16" s="26" t="e">
        <f>SUMPRODUCT(('Phân công'!$D$2:$D$259=$A16)*('Phân công'!#REF!="X")*(RIGHT('Phân công'!$C$2:$C$259,4)="404C")*('Phân công'!#REF!="Tiếng Việt"))</f>
        <v>#REF!</v>
      </c>
      <c r="F16" s="26" t="e">
        <f>SUMPRODUCT(('Phân công'!$D$2:$D$259=$A16)*('Phân công'!#REF!="X")*(RIGHT('Phân công'!$C$2:$C$259,4)="404C")*('Phân công'!#REF!="Tiếng Anh"))</f>
        <v>#REF!</v>
      </c>
      <c r="G16" s="26" t="e">
        <f>SUMPRODUCT(('Phân công'!$D$2:$D$259=$A16)*('Phân công'!#REF!="X")*(RIGHT('Phân công'!$C$2:$C$259,4)="414C")*('Phân công'!#REF!="Tiếng Việt"))</f>
        <v>#REF!</v>
      </c>
      <c r="H16" s="27" t="e">
        <f>SUMPRODUCT(('Phân công'!$D$2:$D$259=$A16)*('Phân công'!#REF!="X")*(RIGHT('Phân công'!$C$2:$C$259,4)="414C")*('Phân công'!#REF!="Tiếng Anh"))</f>
        <v>#REF!</v>
      </c>
      <c r="I16" s="28" t="e">
        <f>SUMPRODUCT(('Phân công'!$D$2:$D$259=$A16)*('Phân công'!#REF!="X")*(RIGHT('Phân công'!$C$2:$C$259,5)="404CA"))</f>
        <v>#REF!</v>
      </c>
      <c r="J16" s="25" t="e">
        <f>SUMPRODUCT(('Phân công'!$D$2:$D$259=$A16)*('Phân công'!#REF!="X")*(RIGHT('Phân công'!$C$2:$C$259,3)="404"))</f>
        <v>#REF!</v>
      </c>
      <c r="K16" s="26" t="e">
        <f>SUMPRODUCT(('Phân công'!$D$2:$D$259=$A16)*('Phân công'!#REF!="X")*(RIGHT('Phân công'!$C$2:$C$259,3)="412"))</f>
        <v>#REF!</v>
      </c>
      <c r="L16" s="26" t="e">
        <f>SUMPRODUCT(('Phân công'!$D$2:$D$259=$A16)*('Phân công'!#REF!="X")*(RIGHT('Phân công'!$C$2:$C$259,3)="414"))</f>
        <v>#REF!</v>
      </c>
      <c r="M16" s="26" t="e">
        <f>SUMPRODUCT(('Phân công'!$D$2:$D$259=$A16)*('Phân công'!#REF!="X")*(RIGHT('Phân công'!$C$2:$C$259,3)="04C")*('Phân công'!#REF!="Tiếng Việt"))</f>
        <v>#REF!</v>
      </c>
      <c r="N16" s="26" t="e">
        <f>SUMPRODUCT(('Phân công'!$D$2:$D$259=$A16)*('Phân công'!#REF!="X")*(RIGHT('Phân công'!$C$2:$C$259,3)="04C")*('Phân công'!#REF!="Tiếng Anh"))</f>
        <v>#REF!</v>
      </c>
      <c r="O16" s="26" t="e">
        <f>SUMPRODUCT(('Phân công'!$D$2:$D$259=$A16)*('Phân công'!#REF!="X")*(RIGHT('Phân công'!$C$2:$C$259,3)="14C")*('Phân công'!#REF!="Tiếng Việt"))</f>
        <v>#REF!</v>
      </c>
      <c r="P16" s="27" t="e">
        <f>SUMPRODUCT(('Phân công'!$D$2:$D$259=$A16)*('Phân công'!#REF!="X")*(RIGHT('Phân công'!$C$2:$C$259,3)="14C")*('Phân công'!#REF!="Tiếng Anh"))</f>
        <v>#REF!</v>
      </c>
      <c r="Q16" s="28" t="e">
        <f>SUMPRODUCT(('Phân công'!$D$2:$D$259=$A16)*('Phân công'!#REF!="X")*(RIGHT('Phân công'!$C$2:$C$259,3)="4CA"))</f>
        <v>#REF!</v>
      </c>
      <c r="R16" s="25" t="e">
        <f>SUMPRODUCT(('Phân công'!#REF!='Thù lao'!A16)*(RIGHT('Phân công'!$C$2:$C$259,3)="404"))</f>
        <v>#REF!</v>
      </c>
      <c r="S16" s="29" t="e">
        <f>SUMPRODUCT(('Phân công'!#REF!='Thù lao'!A16)*(RIGHT('Phân công'!$C$2:$C$259,3)="412"))</f>
        <v>#REF!</v>
      </c>
      <c r="T16" s="29" t="e">
        <f>SUMPRODUCT(('Phân công'!#REF!='Thù lao'!A16)*(RIGHT('Phân công'!$C$2:$C$259,3)="414"))</f>
        <v>#REF!</v>
      </c>
      <c r="U16" s="26" t="e">
        <f>SUMPRODUCT(('Phân công'!#REF!='Thù lao'!A16)*(RIGHT('Phân công'!$C$2:$C$259,3)="04C")*('Phân công'!#REF!="Tiếng Việt"))</f>
        <v>#REF!</v>
      </c>
      <c r="V16" s="26" t="e">
        <f>SUMPRODUCT(('Phân công'!#REF!='Thù lao'!A16)*(RIGHT('Phân công'!$C$2:$C$259,3)="04C")*('Phân công'!#REF!="Tiếng Anh"))</f>
        <v>#REF!</v>
      </c>
      <c r="W16" s="26" t="e">
        <f>SUMPRODUCT(('Phân công'!#REF!='Thù lao'!A16)*(RIGHT('Phân công'!$C$2:$C$259,3)="14C")*('Phân công'!#REF!="Tiếng Việt"))</f>
        <v>#REF!</v>
      </c>
      <c r="X16" s="27" t="e">
        <f>SUMPRODUCT(('Phân công'!#REF!='Thù lao'!A16)*(RIGHT('Phân công'!$C$2:$C$259,3)="14C")*('Phân công'!#REF!="Tiếng Anh"))</f>
        <v>#REF!</v>
      </c>
      <c r="Y16" s="26" t="e">
        <f>SUMPRODUCT(('Phân công'!#REF!='Thù lao'!A16)*(RIGHT('Phân công'!$C$10:$C$259,3)="4CA"))</f>
        <v>#REF!</v>
      </c>
      <c r="Z16" s="25" t="e">
        <f>SUMPRODUCT(('Phân công'!#REF!='Thù lao'!A16)*(RIGHT('Phân công'!$C$2:$C$259,3)="404"))</f>
        <v>#REF!</v>
      </c>
      <c r="AA16" s="29" t="e">
        <f>SUMPRODUCT(('Phân công'!#REF!='Thù lao'!A16)*(RIGHT('Phân công'!$C$2:$C$259,3)="412"))</f>
        <v>#REF!</v>
      </c>
      <c r="AB16" s="29" t="e">
        <f>SUMPRODUCT(('Phân công'!#REF!='Thù lao'!A16)*(RIGHT('Phân công'!$C$2:$C$259,3)="414"))</f>
        <v>#REF!</v>
      </c>
      <c r="AC16" s="26" t="e">
        <f>SUMPRODUCT(('Phân công'!#REF!='Thù lao'!A16)*(RIGHT('Phân công'!$C$2:$C$259,3)="04C")*('Phân công'!#REF!="Tiếng Việt"))</f>
        <v>#REF!</v>
      </c>
      <c r="AD16" s="26" t="e">
        <f>SUMPRODUCT(('Phân công'!#REF!='Thù lao'!A16)*(RIGHT('Phân công'!$C$2:$C$259,3)="04C")*('Phân công'!#REF!="Tiếng Anh"))</f>
        <v>#REF!</v>
      </c>
      <c r="AE16" s="26" t="e">
        <f>SUMPRODUCT(('Phân công'!#REF!='Thù lao'!A16)*(RIGHT('Phân công'!$C$2:$C$259,3)="14C")*('Phân công'!#REF!="Tiếng Việt"))</f>
        <v>#REF!</v>
      </c>
      <c r="AF16" s="27" t="e">
        <f>SUMPRODUCT(('Phân công'!#REF!='Thù lao'!A16)*(RIGHT('Phân công'!$C$2:$C$259,3)="14C")*('Phân công'!#REF!="Tiếng Anh"))</f>
        <v>#REF!</v>
      </c>
      <c r="AG16" s="26" t="e">
        <f>SUMPRODUCT(('Phân công'!#REF!='Thù lao'!A16)*(RIGHT('Phân công'!$C$2:$C$259,3)="4CA"))</f>
        <v>#REF!</v>
      </c>
      <c r="AH16" s="25" t="e">
        <f>SUMPRODUCT(('Phân công'!#REF!='Thù lao'!A16)*(RIGHT('Phân công'!$C$2:$C$259,3)="404"))</f>
        <v>#REF!</v>
      </c>
      <c r="AI16" s="29" t="e">
        <f>SUMPRODUCT(('Phân công'!#REF!='Thù lao'!A16)*(RIGHT('Phân công'!$C$2:$C$259,3)="412"))</f>
        <v>#REF!</v>
      </c>
      <c r="AJ16" s="29" t="e">
        <f>SUMPRODUCT(('Phân công'!#REF!='Thù lao'!A16)*(RIGHT('Phân công'!$C$2:$C$259,3)="414"))</f>
        <v>#REF!</v>
      </c>
      <c r="AK16" s="26" t="e">
        <f>SUMPRODUCT(('Phân công'!#REF!='Thù lao'!A16)*(RIGHT('Phân công'!$C$2:$C$259,3)="04C")*('Phân công'!#REF!="Tiếng Việt"))</f>
        <v>#REF!</v>
      </c>
      <c r="AL16" s="26" t="e">
        <f>SUMPRODUCT(('Phân công'!#REF!='Thù lao'!A16)*(RIGHT('Phân công'!$C$2:$C$259,3)="04C")*('Phân công'!#REF!="Tiếng Anh"))</f>
        <v>#REF!</v>
      </c>
      <c r="AM16" s="26" t="e">
        <f>SUMPRODUCT(('Phân công'!#REF!='Thù lao'!A16)*(RIGHT('Phân công'!$C$2:$C$259,3)="14C")*('Phân công'!#REF!="Tiếng Việt"))</f>
        <v>#REF!</v>
      </c>
      <c r="AN16" s="27" t="e">
        <f>SUMPRODUCT(('Phân công'!#REF!='Thù lao'!A16)*(RIGHT('Phân công'!$C$2:$C$259,3)="14C")*('Phân công'!#REF!="Tiếng Anh"))</f>
        <v>#REF!</v>
      </c>
      <c r="AO16" s="26" t="e">
        <f>SUMPRODUCT(('Phân công'!#REF!='Thù lao'!A16)*(RIGHT('Phân công'!$C$2:$C$259,3)="4CA"))</f>
        <v>#REF!</v>
      </c>
      <c r="AP16" s="25" t="e">
        <f>SUMPRODUCT(('Phân công'!#REF!='Thù lao'!A16)*(RIGHT('Phân công'!$C$2:$C$259,3)="404"))</f>
        <v>#REF!</v>
      </c>
      <c r="AQ16" s="29" t="e">
        <f>SUMPRODUCT(('Phân công'!#REF!='Thù lao'!A16)*(RIGHT('Phân công'!$C$2:$C$259,3)="412"))</f>
        <v>#REF!</v>
      </c>
      <c r="AR16" s="29" t="e">
        <f>SUMPRODUCT(('Phân công'!#REF!='Thù lao'!A16)*(RIGHT('Phân công'!$C$2:$C$259,3)="414"))</f>
        <v>#REF!</v>
      </c>
      <c r="AS16" s="26" t="e">
        <f>SUMPRODUCT(('Phân công'!#REF!='Thù lao'!A16)*(RIGHT('Phân công'!$C$2:$C$259,3)="04C")*('Phân công'!#REF!="Tiếng Việt"))</f>
        <v>#REF!</v>
      </c>
      <c r="AT16" s="26" t="e">
        <f>SUMPRODUCT(('Phân công'!#REF!='Thù lao'!A16)*(RIGHT('Phân công'!$C$2:$C$259,3)="04C")*('Phân công'!#REF!="Tiếng Anh"))</f>
        <v>#REF!</v>
      </c>
      <c r="AU16" s="26" t="e">
        <f>SUMPRODUCT(('Phân công'!#REF!='Thù lao'!A16)*(RIGHT('Phân công'!$C$2:$C$259,3)="14C")*('Phân công'!#REF!="Tiếng Việt"))</f>
        <v>#REF!</v>
      </c>
      <c r="AV16" s="27" t="e">
        <f>SUMPRODUCT(('Phân công'!#REF!='Thù lao'!A16)*(RIGHT('Phân công'!$C$2:$C$259,3)="14C")*('Phân công'!#REF!="Tiếng Anh"))</f>
        <v>#REF!</v>
      </c>
      <c r="AW16" s="26" t="e">
        <f>SUMPRODUCT(('Phân công'!#REF!='Thù lao'!A16)*(RIGHT('Phân công'!$C$2:$C$259,3)="4CA"))</f>
        <v>#REF!</v>
      </c>
      <c r="AX16" s="25" t="e">
        <f t="shared" ref="AX16:BE16" si="22">AP16+AH16+Z16+R16</f>
        <v>#REF!</v>
      </c>
      <c r="AY16" s="25" t="e">
        <f t="shared" si="22"/>
        <v>#REF!</v>
      </c>
      <c r="AZ16" s="25" t="e">
        <f t="shared" si="22"/>
        <v>#REF!</v>
      </c>
      <c r="BA16" s="25" t="e">
        <f t="shared" si="22"/>
        <v>#REF!</v>
      </c>
      <c r="BB16" s="25" t="e">
        <f t="shared" si="22"/>
        <v>#REF!</v>
      </c>
      <c r="BC16" s="25" t="e">
        <f t="shared" si="22"/>
        <v>#REF!</v>
      </c>
      <c r="BD16" s="25" t="e">
        <f t="shared" si="22"/>
        <v>#REF!</v>
      </c>
      <c r="BE16" s="25" t="e">
        <f t="shared" si="22"/>
        <v>#REF!</v>
      </c>
      <c r="BF16" s="30" t="e">
        <f t="shared" si="1"/>
        <v>#REF!</v>
      </c>
      <c r="BG16" s="30" t="e">
        <f t="shared" si="2"/>
        <v>#REF!</v>
      </c>
      <c r="BH16" s="30" t="e">
        <f t="shared" si="3"/>
        <v>#REF!</v>
      </c>
      <c r="BI16" s="30" t="e">
        <f t="shared" si="4"/>
        <v>#REF!</v>
      </c>
      <c r="BJ16" s="30" t="e">
        <f t="shared" si="5"/>
        <v>#REF!</v>
      </c>
      <c r="BK16" s="30" t="e">
        <f t="shared" si="6"/>
        <v>#REF!</v>
      </c>
      <c r="BL16" s="31" t="e">
        <f t="shared" si="7"/>
        <v>#REF!</v>
      </c>
      <c r="BM16" s="31" t="e">
        <f t="shared" si="8"/>
        <v>#REF!</v>
      </c>
      <c r="BN16" s="31" t="e">
        <f t="shared" si="9"/>
        <v>#REF!</v>
      </c>
      <c r="BO16" s="31" t="e">
        <f t="shared" si="10"/>
        <v>#REF!</v>
      </c>
    </row>
    <row r="17" spans="1:67" ht="15.75" customHeight="1" x14ac:dyDescent="0.35">
      <c r="A17" s="2" t="s">
        <v>154</v>
      </c>
      <c r="B17" s="25" t="e">
        <f>SUMPRODUCT(('Phân công'!$D$2:$D$259=$A17)*('Phân công'!#REF!="X")*(RIGHT('Phân công'!$C$2:$C$259,3)="404"))</f>
        <v>#REF!</v>
      </c>
      <c r="C17" s="26" t="e">
        <f>SUMPRODUCT(('Phân công'!$D$2:$D$259=$A17)*('Phân công'!#REF!="X")*(RIGHT('Phân công'!$C$2:$C$259,3)="412"))</f>
        <v>#REF!</v>
      </c>
      <c r="D17" s="26" t="e">
        <f>SUMPRODUCT(('Phân công'!$D$2:$D$259=$A17)*('Phân công'!#REF!="X")*(RIGHT('Phân công'!$C$2:$C$259,3)="414"))</f>
        <v>#REF!</v>
      </c>
      <c r="E17" s="26" t="e">
        <f>SUMPRODUCT(('Phân công'!$D$2:$D$259=$A17)*('Phân công'!#REF!="X")*(RIGHT('Phân công'!$C$2:$C$259,4)="404C")*('Phân công'!#REF!="Tiếng Việt"))</f>
        <v>#REF!</v>
      </c>
      <c r="F17" s="26" t="e">
        <f>SUMPRODUCT(('Phân công'!$D$2:$D$259=$A17)*('Phân công'!#REF!="X")*(RIGHT('Phân công'!$C$2:$C$259,4)="404C")*('Phân công'!#REF!="Tiếng Anh"))</f>
        <v>#REF!</v>
      </c>
      <c r="G17" s="26" t="e">
        <f>SUMPRODUCT(('Phân công'!$D$2:$D$259=$A17)*('Phân công'!#REF!="X")*(RIGHT('Phân công'!$C$2:$C$259,4)="414C")*('Phân công'!#REF!="Tiếng Việt"))</f>
        <v>#REF!</v>
      </c>
      <c r="H17" s="27" t="e">
        <f>SUMPRODUCT(('Phân công'!$D$2:$D$259=$A17)*('Phân công'!#REF!="X")*(RIGHT('Phân công'!$C$2:$C$259,4)="414C")*('Phân công'!#REF!="Tiếng Anh"))</f>
        <v>#REF!</v>
      </c>
      <c r="I17" s="28" t="e">
        <f>SUMPRODUCT(('Phân công'!$D$2:$D$259=$A17)*('Phân công'!#REF!="X")*(RIGHT('Phân công'!$C$2:$C$259,5)="404CA"))</f>
        <v>#REF!</v>
      </c>
      <c r="J17" s="25" t="e">
        <f>SUMPRODUCT(('Phân công'!$D$2:$D$259=$A17)*('Phân công'!#REF!="X")*(RIGHT('Phân công'!$C$2:$C$259,3)="404"))</f>
        <v>#REF!</v>
      </c>
      <c r="K17" s="26" t="e">
        <f>SUMPRODUCT(('Phân công'!$D$2:$D$259=$A17)*('Phân công'!#REF!="X")*(RIGHT('Phân công'!$C$2:$C$259,3)="412"))</f>
        <v>#REF!</v>
      </c>
      <c r="L17" s="26" t="e">
        <f>SUMPRODUCT(('Phân công'!$D$2:$D$259=$A17)*('Phân công'!#REF!="X")*(RIGHT('Phân công'!$C$2:$C$259,3)="414"))</f>
        <v>#REF!</v>
      </c>
      <c r="M17" s="26" t="e">
        <f>SUMPRODUCT(('Phân công'!$D$2:$D$259=$A17)*('Phân công'!#REF!="X")*(RIGHT('Phân công'!$C$2:$C$259,3)="04C")*('Phân công'!#REF!="Tiếng Việt"))</f>
        <v>#REF!</v>
      </c>
      <c r="N17" s="26" t="e">
        <f>SUMPRODUCT(('Phân công'!$D$2:$D$259=$A17)*('Phân công'!#REF!="X")*(RIGHT('Phân công'!$C$2:$C$259,3)="04C")*('Phân công'!#REF!="Tiếng Anh"))</f>
        <v>#REF!</v>
      </c>
      <c r="O17" s="26" t="e">
        <f>SUMPRODUCT(('Phân công'!$D$2:$D$259=$A17)*('Phân công'!#REF!="X")*(RIGHT('Phân công'!$C$2:$C$259,3)="14C")*('Phân công'!#REF!="Tiếng Việt"))</f>
        <v>#REF!</v>
      </c>
      <c r="P17" s="27" t="e">
        <f>SUMPRODUCT(('Phân công'!$D$2:$D$259=$A17)*('Phân công'!#REF!="X")*(RIGHT('Phân công'!$C$2:$C$259,3)="14C")*('Phân công'!#REF!="Tiếng Anh"))</f>
        <v>#REF!</v>
      </c>
      <c r="Q17" s="28" t="e">
        <f>SUMPRODUCT(('Phân công'!$D$2:$D$259=$A17)*('Phân công'!#REF!="X")*(RIGHT('Phân công'!$C$2:$C$259,3)="4CA"))</f>
        <v>#REF!</v>
      </c>
      <c r="R17" s="25" t="e">
        <f>SUMPRODUCT(('Phân công'!#REF!='Thù lao'!A17)*(RIGHT('Phân công'!$C$2:$C$259,3)="404"))</f>
        <v>#REF!</v>
      </c>
      <c r="S17" s="29" t="e">
        <f>SUMPRODUCT(('Phân công'!#REF!='Thù lao'!A17)*(RIGHT('Phân công'!$C$2:$C$259,3)="412"))</f>
        <v>#REF!</v>
      </c>
      <c r="T17" s="29" t="e">
        <f>SUMPRODUCT(('Phân công'!#REF!='Thù lao'!A17)*(RIGHT('Phân công'!$C$2:$C$259,3)="414"))</f>
        <v>#REF!</v>
      </c>
      <c r="U17" s="26" t="e">
        <f>SUMPRODUCT(('Phân công'!#REF!='Thù lao'!A17)*(RIGHT('Phân công'!$C$2:$C$259,3)="04C")*('Phân công'!#REF!="Tiếng Việt"))</f>
        <v>#REF!</v>
      </c>
      <c r="V17" s="26" t="e">
        <f>SUMPRODUCT(('Phân công'!#REF!='Thù lao'!A17)*(RIGHT('Phân công'!$C$2:$C$259,3)="04C")*('Phân công'!#REF!="Tiếng Anh"))</f>
        <v>#REF!</v>
      </c>
      <c r="W17" s="26" t="e">
        <f>SUMPRODUCT(('Phân công'!#REF!='Thù lao'!A17)*(RIGHT('Phân công'!$C$2:$C$259,3)="14C")*('Phân công'!#REF!="Tiếng Việt"))</f>
        <v>#REF!</v>
      </c>
      <c r="X17" s="27" t="e">
        <f>SUMPRODUCT(('Phân công'!#REF!='Thù lao'!A17)*(RIGHT('Phân công'!$C$2:$C$259,3)="14C")*('Phân công'!#REF!="Tiếng Anh"))</f>
        <v>#REF!</v>
      </c>
      <c r="Y17" s="26" t="e">
        <f>SUMPRODUCT(('Phân công'!#REF!='Thù lao'!A17)*(RIGHT('Phân công'!$C$10:$C$259,3)="4CA"))</f>
        <v>#REF!</v>
      </c>
      <c r="Z17" s="25" t="e">
        <f>SUMPRODUCT(('Phân công'!#REF!='Thù lao'!A17)*(RIGHT('Phân công'!$C$2:$C$259,3)="404"))</f>
        <v>#REF!</v>
      </c>
      <c r="AA17" s="29" t="e">
        <f>SUMPRODUCT(('Phân công'!#REF!='Thù lao'!A17)*(RIGHT('Phân công'!$C$2:$C$259,3)="412"))</f>
        <v>#REF!</v>
      </c>
      <c r="AB17" s="29" t="e">
        <f>SUMPRODUCT(('Phân công'!#REF!='Thù lao'!A17)*(RIGHT('Phân công'!$C$2:$C$259,3)="414"))</f>
        <v>#REF!</v>
      </c>
      <c r="AC17" s="26" t="e">
        <f>SUMPRODUCT(('Phân công'!#REF!='Thù lao'!A17)*(RIGHT('Phân công'!$C$2:$C$259,3)="04C")*('Phân công'!#REF!="Tiếng Việt"))</f>
        <v>#REF!</v>
      </c>
      <c r="AD17" s="26" t="e">
        <f>SUMPRODUCT(('Phân công'!#REF!='Thù lao'!A17)*(RIGHT('Phân công'!$C$2:$C$259,3)="04C")*('Phân công'!#REF!="Tiếng Anh"))</f>
        <v>#REF!</v>
      </c>
      <c r="AE17" s="26" t="e">
        <f>SUMPRODUCT(('Phân công'!#REF!='Thù lao'!A17)*(RIGHT('Phân công'!$C$2:$C$259,3)="14C")*('Phân công'!#REF!="Tiếng Việt"))</f>
        <v>#REF!</v>
      </c>
      <c r="AF17" s="27" t="e">
        <f>SUMPRODUCT(('Phân công'!#REF!='Thù lao'!A17)*(RIGHT('Phân công'!$C$2:$C$259,3)="14C")*('Phân công'!#REF!="Tiếng Anh"))</f>
        <v>#REF!</v>
      </c>
      <c r="AG17" s="26" t="e">
        <f>SUMPRODUCT(('Phân công'!#REF!='Thù lao'!A17)*(RIGHT('Phân công'!$C$2:$C$259,3)="4CA"))</f>
        <v>#REF!</v>
      </c>
      <c r="AH17" s="25" t="e">
        <f>SUMPRODUCT(('Phân công'!#REF!='Thù lao'!A17)*(RIGHT('Phân công'!$C$2:$C$259,3)="404"))</f>
        <v>#REF!</v>
      </c>
      <c r="AI17" s="29" t="e">
        <f>SUMPRODUCT(('Phân công'!#REF!='Thù lao'!A17)*(RIGHT('Phân công'!$C$2:$C$259,3)="412"))</f>
        <v>#REF!</v>
      </c>
      <c r="AJ17" s="29" t="e">
        <f>SUMPRODUCT(('Phân công'!#REF!='Thù lao'!A17)*(RIGHT('Phân công'!$C$2:$C$259,3)="414"))</f>
        <v>#REF!</v>
      </c>
      <c r="AK17" s="26" t="e">
        <f>SUMPRODUCT(('Phân công'!#REF!='Thù lao'!A17)*(RIGHT('Phân công'!$C$2:$C$259,3)="04C")*('Phân công'!#REF!="Tiếng Việt"))</f>
        <v>#REF!</v>
      </c>
      <c r="AL17" s="26" t="e">
        <f>SUMPRODUCT(('Phân công'!#REF!='Thù lao'!A17)*(RIGHT('Phân công'!$C$2:$C$259,3)="04C")*('Phân công'!#REF!="Tiếng Anh"))</f>
        <v>#REF!</v>
      </c>
      <c r="AM17" s="26" t="e">
        <f>SUMPRODUCT(('Phân công'!#REF!='Thù lao'!A17)*(RIGHT('Phân công'!$C$2:$C$259,3)="14C")*('Phân công'!#REF!="Tiếng Việt"))</f>
        <v>#REF!</v>
      </c>
      <c r="AN17" s="27" t="e">
        <f>SUMPRODUCT(('Phân công'!#REF!='Thù lao'!A17)*(RIGHT('Phân công'!$C$2:$C$259,3)="14C")*('Phân công'!#REF!="Tiếng Anh"))</f>
        <v>#REF!</v>
      </c>
      <c r="AO17" s="26" t="e">
        <f>SUMPRODUCT(('Phân công'!#REF!='Thù lao'!A17)*(RIGHT('Phân công'!$C$2:$C$259,3)="4CA"))</f>
        <v>#REF!</v>
      </c>
      <c r="AP17" s="25" t="e">
        <f>SUMPRODUCT(('Phân công'!#REF!='Thù lao'!A17)*(RIGHT('Phân công'!$C$2:$C$259,3)="404"))</f>
        <v>#REF!</v>
      </c>
      <c r="AQ17" s="29" t="e">
        <f>SUMPRODUCT(('Phân công'!#REF!='Thù lao'!A17)*(RIGHT('Phân công'!$C$2:$C$259,3)="412"))</f>
        <v>#REF!</v>
      </c>
      <c r="AR17" s="29" t="e">
        <f>SUMPRODUCT(('Phân công'!#REF!='Thù lao'!A17)*(RIGHT('Phân công'!$C$2:$C$259,3)="414"))</f>
        <v>#REF!</v>
      </c>
      <c r="AS17" s="26" t="e">
        <f>SUMPRODUCT(('Phân công'!#REF!='Thù lao'!A17)*(RIGHT('Phân công'!$C$2:$C$259,3)="04C")*('Phân công'!#REF!="Tiếng Việt"))</f>
        <v>#REF!</v>
      </c>
      <c r="AT17" s="26" t="e">
        <f>SUMPRODUCT(('Phân công'!#REF!='Thù lao'!A17)*(RIGHT('Phân công'!$C$2:$C$259,3)="04C")*('Phân công'!#REF!="Tiếng Anh"))</f>
        <v>#REF!</v>
      </c>
      <c r="AU17" s="26" t="e">
        <f>SUMPRODUCT(('Phân công'!#REF!='Thù lao'!A17)*(RIGHT('Phân công'!$C$2:$C$259,3)="14C")*('Phân công'!#REF!="Tiếng Việt"))</f>
        <v>#REF!</v>
      </c>
      <c r="AV17" s="27" t="e">
        <f>SUMPRODUCT(('Phân công'!#REF!='Thù lao'!A17)*(RIGHT('Phân công'!$C$2:$C$259,3)="14C")*('Phân công'!#REF!="Tiếng Anh"))</f>
        <v>#REF!</v>
      </c>
      <c r="AW17" s="26" t="e">
        <f>SUMPRODUCT(('Phân công'!#REF!='Thù lao'!A17)*(RIGHT('Phân công'!$C$2:$C$259,3)="4CA"))</f>
        <v>#REF!</v>
      </c>
      <c r="AX17" s="25" t="e">
        <f t="shared" ref="AX17:BE17" si="23">AP17+AH17+Z17+R17</f>
        <v>#REF!</v>
      </c>
      <c r="AY17" s="25" t="e">
        <f t="shared" si="23"/>
        <v>#REF!</v>
      </c>
      <c r="AZ17" s="25" t="e">
        <f t="shared" si="23"/>
        <v>#REF!</v>
      </c>
      <c r="BA17" s="25" t="e">
        <f t="shared" si="23"/>
        <v>#REF!</v>
      </c>
      <c r="BB17" s="25" t="e">
        <f t="shared" si="23"/>
        <v>#REF!</v>
      </c>
      <c r="BC17" s="25" t="e">
        <f t="shared" si="23"/>
        <v>#REF!</v>
      </c>
      <c r="BD17" s="25" t="e">
        <f t="shared" si="23"/>
        <v>#REF!</v>
      </c>
      <c r="BE17" s="25" t="e">
        <f t="shared" si="23"/>
        <v>#REF!</v>
      </c>
      <c r="BF17" s="30" t="e">
        <f t="shared" si="1"/>
        <v>#REF!</v>
      </c>
      <c r="BG17" s="30" t="e">
        <f t="shared" si="2"/>
        <v>#REF!</v>
      </c>
      <c r="BH17" s="30" t="e">
        <f t="shared" si="3"/>
        <v>#REF!</v>
      </c>
      <c r="BI17" s="30" t="e">
        <f t="shared" si="4"/>
        <v>#REF!</v>
      </c>
      <c r="BJ17" s="30" t="e">
        <f t="shared" si="5"/>
        <v>#REF!</v>
      </c>
      <c r="BK17" s="30" t="e">
        <f t="shared" si="6"/>
        <v>#REF!</v>
      </c>
      <c r="BL17" s="31" t="e">
        <f t="shared" si="7"/>
        <v>#REF!</v>
      </c>
      <c r="BM17" s="31" t="e">
        <f t="shared" si="8"/>
        <v>#REF!</v>
      </c>
      <c r="BN17" s="31" t="e">
        <f t="shared" si="9"/>
        <v>#REF!</v>
      </c>
      <c r="BO17" s="31" t="e">
        <f t="shared" si="10"/>
        <v>#REF!</v>
      </c>
    </row>
    <row r="18" spans="1:67" ht="15.75" customHeight="1" x14ac:dyDescent="0.35">
      <c r="A18" s="2" t="s">
        <v>9</v>
      </c>
      <c r="B18" s="25" t="e">
        <f>SUMPRODUCT(('Phân công'!$D$2:$D$259=$A18)*('Phân công'!#REF!="X")*(RIGHT('Phân công'!$C$2:$C$259,3)="404"))</f>
        <v>#REF!</v>
      </c>
      <c r="C18" s="26" t="e">
        <f>SUMPRODUCT(('Phân công'!$D$2:$D$259=$A18)*('Phân công'!#REF!="X")*(RIGHT('Phân công'!$C$2:$C$259,3)="412"))</f>
        <v>#REF!</v>
      </c>
      <c r="D18" s="26" t="e">
        <f>SUMPRODUCT(('Phân công'!$D$2:$D$259=$A18)*('Phân công'!#REF!="X")*(RIGHT('Phân công'!$C$2:$C$259,3)="414"))</f>
        <v>#REF!</v>
      </c>
      <c r="E18" s="26" t="e">
        <f>SUMPRODUCT(('Phân công'!$D$2:$D$259=$A18)*('Phân công'!#REF!="X")*(RIGHT('Phân công'!$C$2:$C$259,4)="404C")*('Phân công'!#REF!="Tiếng Việt"))</f>
        <v>#REF!</v>
      </c>
      <c r="F18" s="26" t="e">
        <f>SUMPRODUCT(('Phân công'!$D$2:$D$259=$A18)*('Phân công'!#REF!="X")*(RIGHT('Phân công'!$C$2:$C$259,4)="404C")*('Phân công'!#REF!="Tiếng Anh"))</f>
        <v>#REF!</v>
      </c>
      <c r="G18" s="26" t="e">
        <f>SUMPRODUCT(('Phân công'!$D$2:$D$259=$A18)*('Phân công'!#REF!="X")*(RIGHT('Phân công'!$C$2:$C$259,4)="414C")*('Phân công'!#REF!="Tiếng Việt"))</f>
        <v>#REF!</v>
      </c>
      <c r="H18" s="27" t="e">
        <f>SUMPRODUCT(('Phân công'!$D$2:$D$259=$A18)*('Phân công'!#REF!="X")*(RIGHT('Phân công'!$C$2:$C$259,4)="414C")*('Phân công'!#REF!="Tiếng Anh"))</f>
        <v>#REF!</v>
      </c>
      <c r="I18" s="28" t="e">
        <f>SUMPRODUCT(('Phân công'!$D$2:$D$259=$A18)*('Phân công'!#REF!="X")*(RIGHT('Phân công'!$C$2:$C$259,5)="404CA"))</f>
        <v>#REF!</v>
      </c>
      <c r="J18" s="25" t="e">
        <f>SUMPRODUCT(('Phân công'!$D$2:$D$259=$A18)*('Phân công'!#REF!="X")*(RIGHT('Phân công'!$C$2:$C$259,3)="404"))</f>
        <v>#REF!</v>
      </c>
      <c r="K18" s="26" t="e">
        <f>SUMPRODUCT(('Phân công'!$D$2:$D$259=$A18)*('Phân công'!#REF!="X")*(RIGHT('Phân công'!$C$2:$C$259,3)="412"))</f>
        <v>#REF!</v>
      </c>
      <c r="L18" s="26" t="e">
        <f>SUMPRODUCT(('Phân công'!$D$2:$D$259=$A18)*('Phân công'!#REF!="X")*(RIGHT('Phân công'!$C$2:$C$259,3)="414"))</f>
        <v>#REF!</v>
      </c>
      <c r="M18" s="26" t="e">
        <f>SUMPRODUCT(('Phân công'!$D$2:$D$259=$A18)*('Phân công'!#REF!="X")*(RIGHT('Phân công'!$C$2:$C$259,3)="04C")*('Phân công'!#REF!="Tiếng Việt"))</f>
        <v>#REF!</v>
      </c>
      <c r="N18" s="26" t="e">
        <f>SUMPRODUCT(('Phân công'!$D$2:$D$259=$A18)*('Phân công'!#REF!="X")*(RIGHT('Phân công'!$C$2:$C$259,3)="04C")*('Phân công'!#REF!="Tiếng Anh"))</f>
        <v>#REF!</v>
      </c>
      <c r="O18" s="26" t="e">
        <f>SUMPRODUCT(('Phân công'!$D$2:$D$259=$A18)*('Phân công'!#REF!="X")*(RIGHT('Phân công'!$C$2:$C$259,3)="14C")*('Phân công'!#REF!="Tiếng Việt"))</f>
        <v>#REF!</v>
      </c>
      <c r="P18" s="27" t="e">
        <f>SUMPRODUCT(('Phân công'!$D$2:$D$259=$A18)*('Phân công'!#REF!="X")*(RIGHT('Phân công'!$C$2:$C$259,3)="14C")*('Phân công'!#REF!="Tiếng Anh"))</f>
        <v>#REF!</v>
      </c>
      <c r="Q18" s="28" t="e">
        <f>SUMPRODUCT(('Phân công'!$D$2:$D$259=$A18)*('Phân công'!#REF!="X")*(RIGHT('Phân công'!$C$2:$C$259,3)="4CA"))</f>
        <v>#REF!</v>
      </c>
      <c r="R18" s="25" t="e">
        <f>SUMPRODUCT(('Phân công'!#REF!='Thù lao'!A18)*(RIGHT('Phân công'!$C$2:$C$259,3)="404"))</f>
        <v>#REF!</v>
      </c>
      <c r="S18" s="29" t="e">
        <f>SUMPRODUCT(('Phân công'!#REF!='Thù lao'!A18)*(RIGHT('Phân công'!$C$2:$C$259,3)="412"))</f>
        <v>#REF!</v>
      </c>
      <c r="T18" s="29" t="e">
        <f>SUMPRODUCT(('Phân công'!#REF!='Thù lao'!A18)*(RIGHT('Phân công'!$C$2:$C$259,3)="414"))</f>
        <v>#REF!</v>
      </c>
      <c r="U18" s="26" t="e">
        <f>SUMPRODUCT(('Phân công'!#REF!='Thù lao'!A18)*(RIGHT('Phân công'!$C$2:$C$259,3)="04C")*('Phân công'!#REF!="Tiếng Việt"))</f>
        <v>#REF!</v>
      </c>
      <c r="V18" s="26" t="e">
        <f>SUMPRODUCT(('Phân công'!#REF!='Thù lao'!A18)*(RIGHT('Phân công'!$C$2:$C$259,3)="04C")*('Phân công'!#REF!="Tiếng Anh"))</f>
        <v>#REF!</v>
      </c>
      <c r="W18" s="26" t="e">
        <f>SUMPRODUCT(('Phân công'!#REF!='Thù lao'!A18)*(RIGHT('Phân công'!$C$2:$C$259,3)="14C")*('Phân công'!#REF!="Tiếng Việt"))</f>
        <v>#REF!</v>
      </c>
      <c r="X18" s="27" t="e">
        <f>SUMPRODUCT(('Phân công'!#REF!='Thù lao'!A18)*(RIGHT('Phân công'!$C$2:$C$259,3)="14C")*('Phân công'!#REF!="Tiếng Anh"))</f>
        <v>#REF!</v>
      </c>
      <c r="Y18" s="26" t="e">
        <f>SUMPRODUCT(('Phân công'!#REF!='Thù lao'!A18)*(RIGHT('Phân công'!$C$10:$C$259,3)="4CA"))</f>
        <v>#REF!</v>
      </c>
      <c r="Z18" s="25" t="e">
        <f>SUMPRODUCT(('Phân công'!#REF!='Thù lao'!A18)*(RIGHT('Phân công'!$C$2:$C$259,3)="404"))</f>
        <v>#REF!</v>
      </c>
      <c r="AA18" s="29" t="e">
        <f>SUMPRODUCT(('Phân công'!#REF!='Thù lao'!A18)*(RIGHT('Phân công'!$C$2:$C$259,3)="412"))</f>
        <v>#REF!</v>
      </c>
      <c r="AB18" s="29" t="e">
        <f>SUMPRODUCT(('Phân công'!#REF!='Thù lao'!A18)*(RIGHT('Phân công'!$C$2:$C$259,3)="414"))</f>
        <v>#REF!</v>
      </c>
      <c r="AC18" s="26" t="e">
        <f>SUMPRODUCT(('Phân công'!#REF!='Thù lao'!A18)*(RIGHT('Phân công'!$C$2:$C$259,3)="04C")*('Phân công'!#REF!="Tiếng Việt"))</f>
        <v>#REF!</v>
      </c>
      <c r="AD18" s="26" t="e">
        <f>SUMPRODUCT(('Phân công'!#REF!='Thù lao'!A18)*(RIGHT('Phân công'!$C$2:$C$259,3)="04C")*('Phân công'!#REF!="Tiếng Anh"))</f>
        <v>#REF!</v>
      </c>
      <c r="AE18" s="26" t="e">
        <f>SUMPRODUCT(('Phân công'!#REF!='Thù lao'!A18)*(RIGHT('Phân công'!$C$2:$C$259,3)="14C")*('Phân công'!#REF!="Tiếng Việt"))</f>
        <v>#REF!</v>
      </c>
      <c r="AF18" s="27" t="e">
        <f>SUMPRODUCT(('Phân công'!#REF!='Thù lao'!A18)*(RIGHT('Phân công'!$C$2:$C$259,3)="14C")*('Phân công'!#REF!="Tiếng Anh"))</f>
        <v>#REF!</v>
      </c>
      <c r="AG18" s="26" t="e">
        <f>SUMPRODUCT(('Phân công'!#REF!='Thù lao'!A18)*(RIGHT('Phân công'!$C$2:$C$259,3)="4CA"))</f>
        <v>#REF!</v>
      </c>
      <c r="AH18" s="25" t="e">
        <f>SUMPRODUCT(('Phân công'!#REF!='Thù lao'!A18)*(RIGHT('Phân công'!$C$2:$C$259,3)="404"))</f>
        <v>#REF!</v>
      </c>
      <c r="AI18" s="29" t="e">
        <f>SUMPRODUCT(('Phân công'!#REF!='Thù lao'!A18)*(RIGHT('Phân công'!$C$2:$C$259,3)="412"))</f>
        <v>#REF!</v>
      </c>
      <c r="AJ18" s="29" t="e">
        <f>SUMPRODUCT(('Phân công'!#REF!='Thù lao'!A18)*(RIGHT('Phân công'!$C$2:$C$259,3)="414"))</f>
        <v>#REF!</v>
      </c>
      <c r="AK18" s="26" t="e">
        <f>SUMPRODUCT(('Phân công'!#REF!='Thù lao'!A18)*(RIGHT('Phân công'!$C$2:$C$259,3)="04C")*('Phân công'!#REF!="Tiếng Việt"))</f>
        <v>#REF!</v>
      </c>
      <c r="AL18" s="26" t="e">
        <f>SUMPRODUCT(('Phân công'!#REF!='Thù lao'!A18)*(RIGHT('Phân công'!$C$2:$C$259,3)="04C")*('Phân công'!#REF!="Tiếng Anh"))</f>
        <v>#REF!</v>
      </c>
      <c r="AM18" s="26" t="e">
        <f>SUMPRODUCT(('Phân công'!#REF!='Thù lao'!A18)*(RIGHT('Phân công'!$C$2:$C$259,3)="14C")*('Phân công'!#REF!="Tiếng Việt"))</f>
        <v>#REF!</v>
      </c>
      <c r="AN18" s="27" t="e">
        <f>SUMPRODUCT(('Phân công'!#REF!='Thù lao'!A18)*(RIGHT('Phân công'!$C$2:$C$259,3)="14C")*('Phân công'!#REF!="Tiếng Anh"))</f>
        <v>#REF!</v>
      </c>
      <c r="AO18" s="26" t="e">
        <f>SUMPRODUCT(('Phân công'!#REF!='Thù lao'!A18)*(RIGHT('Phân công'!$C$2:$C$259,3)="4CA"))</f>
        <v>#REF!</v>
      </c>
      <c r="AP18" s="25" t="e">
        <f>SUMPRODUCT(('Phân công'!#REF!='Thù lao'!A18)*(RIGHT('Phân công'!$C$2:$C$259,3)="404"))</f>
        <v>#REF!</v>
      </c>
      <c r="AQ18" s="29" t="e">
        <f>SUMPRODUCT(('Phân công'!#REF!='Thù lao'!A18)*(RIGHT('Phân công'!$C$2:$C$259,3)="412"))</f>
        <v>#REF!</v>
      </c>
      <c r="AR18" s="29" t="e">
        <f>SUMPRODUCT(('Phân công'!#REF!='Thù lao'!A18)*(RIGHT('Phân công'!$C$2:$C$259,3)="414"))</f>
        <v>#REF!</v>
      </c>
      <c r="AS18" s="26" t="e">
        <f>SUMPRODUCT(('Phân công'!#REF!='Thù lao'!A18)*(RIGHT('Phân công'!$C$2:$C$259,3)="04C")*('Phân công'!#REF!="Tiếng Việt"))</f>
        <v>#REF!</v>
      </c>
      <c r="AT18" s="26" t="e">
        <f>SUMPRODUCT(('Phân công'!#REF!='Thù lao'!A18)*(RIGHT('Phân công'!$C$2:$C$259,3)="04C")*('Phân công'!#REF!="Tiếng Anh"))</f>
        <v>#REF!</v>
      </c>
      <c r="AU18" s="26" t="e">
        <f>SUMPRODUCT(('Phân công'!#REF!='Thù lao'!A18)*(RIGHT('Phân công'!$C$2:$C$259,3)="14C")*('Phân công'!#REF!="Tiếng Việt"))</f>
        <v>#REF!</v>
      </c>
      <c r="AV18" s="27" t="e">
        <f>SUMPRODUCT(('Phân công'!#REF!='Thù lao'!A18)*(RIGHT('Phân công'!$C$2:$C$259,3)="14C")*('Phân công'!#REF!="Tiếng Anh"))</f>
        <v>#REF!</v>
      </c>
      <c r="AW18" s="26" t="e">
        <f>SUMPRODUCT(('Phân công'!#REF!='Thù lao'!A18)*(RIGHT('Phân công'!$C$2:$C$259,3)="4CA"))</f>
        <v>#REF!</v>
      </c>
      <c r="AX18" s="25" t="e">
        <f t="shared" ref="AX18:BE18" si="24">AP18+AH18+Z18+R18</f>
        <v>#REF!</v>
      </c>
      <c r="AY18" s="25" t="e">
        <f t="shared" si="24"/>
        <v>#REF!</v>
      </c>
      <c r="AZ18" s="25" t="e">
        <f t="shared" si="24"/>
        <v>#REF!</v>
      </c>
      <c r="BA18" s="25" t="e">
        <f t="shared" si="24"/>
        <v>#REF!</v>
      </c>
      <c r="BB18" s="25" t="e">
        <f t="shared" si="24"/>
        <v>#REF!</v>
      </c>
      <c r="BC18" s="25" t="e">
        <f t="shared" si="24"/>
        <v>#REF!</v>
      </c>
      <c r="BD18" s="25" t="e">
        <f t="shared" si="24"/>
        <v>#REF!</v>
      </c>
      <c r="BE18" s="25" t="e">
        <f t="shared" si="24"/>
        <v>#REF!</v>
      </c>
      <c r="BF18" s="30" t="e">
        <f t="shared" si="1"/>
        <v>#REF!</v>
      </c>
      <c r="BG18" s="30" t="e">
        <f t="shared" si="2"/>
        <v>#REF!</v>
      </c>
      <c r="BH18" s="30" t="e">
        <f t="shared" si="3"/>
        <v>#REF!</v>
      </c>
      <c r="BI18" s="30" t="e">
        <f t="shared" si="4"/>
        <v>#REF!</v>
      </c>
      <c r="BJ18" s="30" t="e">
        <f t="shared" si="5"/>
        <v>#REF!</v>
      </c>
      <c r="BK18" s="30" t="e">
        <f t="shared" si="6"/>
        <v>#REF!</v>
      </c>
      <c r="BL18" s="31" t="e">
        <f t="shared" si="7"/>
        <v>#REF!</v>
      </c>
      <c r="BM18" s="31" t="e">
        <f t="shared" si="8"/>
        <v>#REF!</v>
      </c>
      <c r="BN18" s="31" t="e">
        <f t="shared" si="9"/>
        <v>#REF!</v>
      </c>
      <c r="BO18" s="31" t="e">
        <f t="shared" si="10"/>
        <v>#REF!</v>
      </c>
    </row>
    <row r="19" spans="1:67" ht="15.75" customHeight="1" x14ac:dyDescent="0.35">
      <c r="A19" s="2" t="s">
        <v>43</v>
      </c>
      <c r="B19" s="25" t="e">
        <f>SUMPRODUCT(('Phân công'!$D$2:$D$259=$A19)*('Phân công'!#REF!="X")*(RIGHT('Phân công'!$C$2:$C$259,3)="404"))</f>
        <v>#REF!</v>
      </c>
      <c r="C19" s="26" t="e">
        <f>SUMPRODUCT(('Phân công'!$D$2:$D$259=$A19)*('Phân công'!#REF!="X")*(RIGHT('Phân công'!$C$2:$C$259,3)="412"))</f>
        <v>#REF!</v>
      </c>
      <c r="D19" s="26" t="e">
        <f>SUMPRODUCT(('Phân công'!$D$2:$D$259=$A19)*('Phân công'!#REF!="X")*(RIGHT('Phân công'!$C$2:$C$259,3)="414"))</f>
        <v>#REF!</v>
      </c>
      <c r="E19" s="26" t="e">
        <f>SUMPRODUCT(('Phân công'!$D$2:$D$259=$A19)*('Phân công'!#REF!="X")*(RIGHT('Phân công'!$C$2:$C$259,4)="404C")*('Phân công'!#REF!="Tiếng Việt"))</f>
        <v>#REF!</v>
      </c>
      <c r="F19" s="26" t="e">
        <f>SUMPRODUCT(('Phân công'!$D$2:$D$259=$A19)*('Phân công'!#REF!="X")*(RIGHT('Phân công'!$C$2:$C$259,4)="404C")*('Phân công'!#REF!="Tiếng Anh"))</f>
        <v>#REF!</v>
      </c>
      <c r="G19" s="26" t="e">
        <f>SUMPRODUCT(('Phân công'!$D$2:$D$259=$A19)*('Phân công'!#REF!="X")*(RIGHT('Phân công'!$C$2:$C$259,4)="414C")*('Phân công'!#REF!="Tiếng Việt"))</f>
        <v>#REF!</v>
      </c>
      <c r="H19" s="27" t="e">
        <f>SUMPRODUCT(('Phân công'!$D$2:$D$259=$A19)*('Phân công'!#REF!="X")*(RIGHT('Phân công'!$C$2:$C$259,4)="414C")*('Phân công'!#REF!="Tiếng Anh"))</f>
        <v>#REF!</v>
      </c>
      <c r="I19" s="28" t="e">
        <f>SUMPRODUCT(('Phân công'!$D$2:$D$259=$A19)*('Phân công'!#REF!="X")*(RIGHT('Phân công'!$C$2:$C$259,5)="404CA"))</f>
        <v>#REF!</v>
      </c>
      <c r="J19" s="25" t="e">
        <f>SUMPRODUCT(('Phân công'!$D$2:$D$259=$A19)*('Phân công'!#REF!="X")*(RIGHT('Phân công'!$C$2:$C$259,3)="404"))</f>
        <v>#REF!</v>
      </c>
      <c r="K19" s="26" t="e">
        <f>SUMPRODUCT(('Phân công'!$D$2:$D$259=$A19)*('Phân công'!#REF!="X")*(RIGHT('Phân công'!$C$2:$C$259,3)="412"))</f>
        <v>#REF!</v>
      </c>
      <c r="L19" s="26" t="e">
        <f>SUMPRODUCT(('Phân công'!$D$2:$D$259=$A19)*('Phân công'!#REF!="X")*(RIGHT('Phân công'!$C$2:$C$259,3)="414"))</f>
        <v>#REF!</v>
      </c>
      <c r="M19" s="26" t="e">
        <f>SUMPRODUCT(('Phân công'!$D$2:$D$259=$A19)*('Phân công'!#REF!="X")*(RIGHT('Phân công'!$C$2:$C$259,3)="04C")*('Phân công'!#REF!="Tiếng Việt"))</f>
        <v>#REF!</v>
      </c>
      <c r="N19" s="26" t="e">
        <f>SUMPRODUCT(('Phân công'!$D$2:$D$259=$A19)*('Phân công'!#REF!="X")*(RIGHT('Phân công'!$C$2:$C$259,3)="04C")*('Phân công'!#REF!="Tiếng Anh"))</f>
        <v>#REF!</v>
      </c>
      <c r="O19" s="26" t="e">
        <f>SUMPRODUCT(('Phân công'!$D$2:$D$259=$A19)*('Phân công'!#REF!="X")*(RIGHT('Phân công'!$C$2:$C$259,3)="14C")*('Phân công'!#REF!="Tiếng Việt"))</f>
        <v>#REF!</v>
      </c>
      <c r="P19" s="27" t="e">
        <f>SUMPRODUCT(('Phân công'!$D$2:$D$259=$A19)*('Phân công'!#REF!="X")*(RIGHT('Phân công'!$C$2:$C$259,3)="14C")*('Phân công'!#REF!="Tiếng Anh"))</f>
        <v>#REF!</v>
      </c>
      <c r="Q19" s="28" t="e">
        <f>SUMPRODUCT(('Phân công'!$D$2:$D$259=$A19)*('Phân công'!#REF!="X")*(RIGHT('Phân công'!$C$2:$C$259,3)="4CA"))</f>
        <v>#REF!</v>
      </c>
      <c r="R19" s="25" t="e">
        <f>SUMPRODUCT(('Phân công'!#REF!='Thù lao'!A19)*(RIGHT('Phân công'!$C$2:$C$259,3)="404"))</f>
        <v>#REF!</v>
      </c>
      <c r="S19" s="29" t="e">
        <f>SUMPRODUCT(('Phân công'!#REF!='Thù lao'!A19)*(RIGHT('Phân công'!$C$2:$C$259,3)="412"))</f>
        <v>#REF!</v>
      </c>
      <c r="T19" s="29" t="e">
        <f>SUMPRODUCT(('Phân công'!#REF!='Thù lao'!A19)*(RIGHT('Phân công'!$C$2:$C$259,3)="414"))</f>
        <v>#REF!</v>
      </c>
      <c r="U19" s="26" t="e">
        <f>SUMPRODUCT(('Phân công'!#REF!='Thù lao'!A19)*(RIGHT('Phân công'!$C$2:$C$259,3)="04C")*('Phân công'!#REF!="Tiếng Việt"))</f>
        <v>#REF!</v>
      </c>
      <c r="V19" s="26" t="e">
        <f>SUMPRODUCT(('Phân công'!#REF!='Thù lao'!A19)*(RIGHT('Phân công'!$C$2:$C$259,3)="04C")*('Phân công'!#REF!="Tiếng Anh"))</f>
        <v>#REF!</v>
      </c>
      <c r="W19" s="26" t="e">
        <f>SUMPRODUCT(('Phân công'!#REF!='Thù lao'!A19)*(RIGHT('Phân công'!$C$2:$C$259,3)="14C")*('Phân công'!#REF!="Tiếng Việt"))</f>
        <v>#REF!</v>
      </c>
      <c r="X19" s="27" t="e">
        <f>SUMPRODUCT(('Phân công'!#REF!='Thù lao'!A19)*(RIGHT('Phân công'!$C$2:$C$259,3)="14C")*('Phân công'!#REF!="Tiếng Anh"))</f>
        <v>#REF!</v>
      </c>
      <c r="Y19" s="26" t="e">
        <f>SUMPRODUCT(('Phân công'!#REF!='Thù lao'!A19)*(RIGHT('Phân công'!$C$10:$C$259,3)="4CA"))</f>
        <v>#REF!</v>
      </c>
      <c r="Z19" s="25" t="e">
        <f>SUMPRODUCT(('Phân công'!#REF!='Thù lao'!A19)*(RIGHT('Phân công'!$C$2:$C$259,3)="404"))</f>
        <v>#REF!</v>
      </c>
      <c r="AA19" s="29" t="e">
        <f>SUMPRODUCT(('Phân công'!#REF!='Thù lao'!A19)*(RIGHT('Phân công'!$C$2:$C$259,3)="412"))</f>
        <v>#REF!</v>
      </c>
      <c r="AB19" s="29" t="e">
        <f>SUMPRODUCT(('Phân công'!#REF!='Thù lao'!A19)*(RIGHT('Phân công'!$C$2:$C$259,3)="414"))</f>
        <v>#REF!</v>
      </c>
      <c r="AC19" s="26" t="e">
        <f>SUMPRODUCT(('Phân công'!#REF!='Thù lao'!A19)*(RIGHT('Phân công'!$C$2:$C$259,3)="04C")*('Phân công'!#REF!="Tiếng Việt"))</f>
        <v>#REF!</v>
      </c>
      <c r="AD19" s="26" t="e">
        <f>SUMPRODUCT(('Phân công'!#REF!='Thù lao'!A19)*(RIGHT('Phân công'!$C$2:$C$259,3)="04C")*('Phân công'!#REF!="Tiếng Anh"))</f>
        <v>#REF!</v>
      </c>
      <c r="AE19" s="26" t="e">
        <f>SUMPRODUCT(('Phân công'!#REF!='Thù lao'!A19)*(RIGHT('Phân công'!$C$2:$C$259,3)="14C")*('Phân công'!#REF!="Tiếng Việt"))</f>
        <v>#REF!</v>
      </c>
      <c r="AF19" s="27" t="e">
        <f>SUMPRODUCT(('Phân công'!#REF!='Thù lao'!A19)*(RIGHT('Phân công'!$C$2:$C$259,3)="14C")*('Phân công'!#REF!="Tiếng Anh"))</f>
        <v>#REF!</v>
      </c>
      <c r="AG19" s="26" t="e">
        <f>SUMPRODUCT(('Phân công'!#REF!='Thù lao'!A19)*(RIGHT('Phân công'!$C$2:$C$259,3)="4CA"))</f>
        <v>#REF!</v>
      </c>
      <c r="AH19" s="25" t="e">
        <f>SUMPRODUCT(('Phân công'!#REF!='Thù lao'!A19)*(RIGHT('Phân công'!$C$2:$C$259,3)="404"))</f>
        <v>#REF!</v>
      </c>
      <c r="AI19" s="29" t="e">
        <f>SUMPRODUCT(('Phân công'!#REF!='Thù lao'!A19)*(RIGHT('Phân công'!$C$2:$C$259,3)="412"))</f>
        <v>#REF!</v>
      </c>
      <c r="AJ19" s="29" t="e">
        <f>SUMPRODUCT(('Phân công'!#REF!='Thù lao'!A19)*(RIGHT('Phân công'!$C$2:$C$259,3)="414"))</f>
        <v>#REF!</v>
      </c>
      <c r="AK19" s="26" t="e">
        <f>SUMPRODUCT(('Phân công'!#REF!='Thù lao'!A19)*(RIGHT('Phân công'!$C$2:$C$259,3)="04C")*('Phân công'!#REF!="Tiếng Việt"))</f>
        <v>#REF!</v>
      </c>
      <c r="AL19" s="26" t="e">
        <f>SUMPRODUCT(('Phân công'!#REF!='Thù lao'!A19)*(RIGHT('Phân công'!$C$2:$C$259,3)="04C")*('Phân công'!#REF!="Tiếng Anh"))</f>
        <v>#REF!</v>
      </c>
      <c r="AM19" s="26" t="e">
        <f>SUMPRODUCT(('Phân công'!#REF!='Thù lao'!A19)*(RIGHT('Phân công'!$C$2:$C$259,3)="14C")*('Phân công'!#REF!="Tiếng Việt"))</f>
        <v>#REF!</v>
      </c>
      <c r="AN19" s="27" t="e">
        <f>SUMPRODUCT(('Phân công'!#REF!='Thù lao'!A19)*(RIGHT('Phân công'!$C$2:$C$259,3)="14C")*('Phân công'!#REF!="Tiếng Anh"))</f>
        <v>#REF!</v>
      </c>
      <c r="AO19" s="26" t="e">
        <f>SUMPRODUCT(('Phân công'!#REF!='Thù lao'!A19)*(RIGHT('Phân công'!$C$2:$C$259,3)="4CA"))</f>
        <v>#REF!</v>
      </c>
      <c r="AP19" s="25" t="e">
        <f>SUMPRODUCT(('Phân công'!#REF!='Thù lao'!A19)*(RIGHT('Phân công'!$C$2:$C$259,3)="404"))</f>
        <v>#REF!</v>
      </c>
      <c r="AQ19" s="29" t="e">
        <f>SUMPRODUCT(('Phân công'!#REF!='Thù lao'!A19)*(RIGHT('Phân công'!$C$2:$C$259,3)="412"))</f>
        <v>#REF!</v>
      </c>
      <c r="AR19" s="29" t="e">
        <f>SUMPRODUCT(('Phân công'!#REF!='Thù lao'!A19)*(RIGHT('Phân công'!$C$2:$C$259,3)="414"))</f>
        <v>#REF!</v>
      </c>
      <c r="AS19" s="26" t="e">
        <f>SUMPRODUCT(('Phân công'!#REF!='Thù lao'!A19)*(RIGHT('Phân công'!$C$2:$C$259,3)="04C")*('Phân công'!#REF!="Tiếng Việt"))</f>
        <v>#REF!</v>
      </c>
      <c r="AT19" s="26" t="e">
        <f>SUMPRODUCT(('Phân công'!#REF!='Thù lao'!A19)*(RIGHT('Phân công'!$C$2:$C$259,3)="04C")*('Phân công'!#REF!="Tiếng Anh"))</f>
        <v>#REF!</v>
      </c>
      <c r="AU19" s="26" t="e">
        <f>SUMPRODUCT(('Phân công'!#REF!='Thù lao'!A19)*(RIGHT('Phân công'!$C$2:$C$259,3)="14C")*('Phân công'!#REF!="Tiếng Việt"))</f>
        <v>#REF!</v>
      </c>
      <c r="AV19" s="27" t="e">
        <f>SUMPRODUCT(('Phân công'!#REF!='Thù lao'!A19)*(RIGHT('Phân công'!$C$2:$C$259,3)="14C")*('Phân công'!#REF!="Tiếng Anh"))</f>
        <v>#REF!</v>
      </c>
      <c r="AW19" s="26" t="e">
        <f>SUMPRODUCT(('Phân công'!#REF!='Thù lao'!A19)*(RIGHT('Phân công'!$C$2:$C$259,3)="4CA"))</f>
        <v>#REF!</v>
      </c>
      <c r="AX19" s="25" t="e">
        <f t="shared" ref="AX19:BE19" si="25">AP19+AH19+Z19+R19</f>
        <v>#REF!</v>
      </c>
      <c r="AY19" s="25" t="e">
        <f t="shared" si="25"/>
        <v>#REF!</v>
      </c>
      <c r="AZ19" s="25" t="e">
        <f t="shared" si="25"/>
        <v>#REF!</v>
      </c>
      <c r="BA19" s="25" t="e">
        <f t="shared" si="25"/>
        <v>#REF!</v>
      </c>
      <c r="BB19" s="25" t="e">
        <f t="shared" si="25"/>
        <v>#REF!</v>
      </c>
      <c r="BC19" s="25" t="e">
        <f t="shared" si="25"/>
        <v>#REF!</v>
      </c>
      <c r="BD19" s="25" t="e">
        <f t="shared" si="25"/>
        <v>#REF!</v>
      </c>
      <c r="BE19" s="25" t="e">
        <f t="shared" si="25"/>
        <v>#REF!</v>
      </c>
      <c r="BF19" s="30" t="e">
        <f t="shared" si="1"/>
        <v>#REF!</v>
      </c>
      <c r="BG19" s="30" t="e">
        <f t="shared" si="2"/>
        <v>#REF!</v>
      </c>
      <c r="BH19" s="30" t="e">
        <f t="shared" si="3"/>
        <v>#REF!</v>
      </c>
      <c r="BI19" s="30" t="e">
        <f t="shared" si="4"/>
        <v>#REF!</v>
      </c>
      <c r="BJ19" s="30" t="e">
        <f t="shared" si="5"/>
        <v>#REF!</v>
      </c>
      <c r="BK19" s="30" t="e">
        <f t="shared" si="6"/>
        <v>#REF!</v>
      </c>
      <c r="BL19" s="31" t="e">
        <f t="shared" si="7"/>
        <v>#REF!</v>
      </c>
      <c r="BM19" s="31" t="e">
        <f t="shared" si="8"/>
        <v>#REF!</v>
      </c>
      <c r="BN19" s="31" t="e">
        <f t="shared" si="9"/>
        <v>#REF!</v>
      </c>
      <c r="BO19" s="31" t="e">
        <f t="shared" si="10"/>
        <v>#REF!</v>
      </c>
    </row>
    <row r="20" spans="1:67" ht="15.75" customHeight="1" x14ac:dyDescent="0.35">
      <c r="A20" s="2" t="s">
        <v>51</v>
      </c>
      <c r="B20" s="25" t="e">
        <f>SUMPRODUCT(('Phân công'!$D$2:$D$259=$A20)*('Phân công'!#REF!="X")*(RIGHT('Phân công'!$C$2:$C$259,3)="404"))</f>
        <v>#REF!</v>
      </c>
      <c r="C20" s="26" t="e">
        <f>SUMPRODUCT(('Phân công'!$D$2:$D$259=$A20)*('Phân công'!#REF!="X")*(RIGHT('Phân công'!$C$2:$C$259,3)="412"))</f>
        <v>#REF!</v>
      </c>
      <c r="D20" s="26" t="e">
        <f>SUMPRODUCT(('Phân công'!$D$2:$D$259=$A20)*('Phân công'!#REF!="X")*(RIGHT('Phân công'!$C$2:$C$259,3)="414"))</f>
        <v>#REF!</v>
      </c>
      <c r="E20" s="26" t="e">
        <f>SUMPRODUCT(('Phân công'!$D$2:$D$259=$A20)*('Phân công'!#REF!="X")*(RIGHT('Phân công'!$C$2:$C$259,4)="404C")*('Phân công'!#REF!="Tiếng Việt"))</f>
        <v>#REF!</v>
      </c>
      <c r="F20" s="26" t="e">
        <f>SUMPRODUCT(('Phân công'!$D$2:$D$259=$A20)*('Phân công'!#REF!="X")*(RIGHT('Phân công'!$C$2:$C$259,4)="404C")*('Phân công'!#REF!="Tiếng Anh"))</f>
        <v>#REF!</v>
      </c>
      <c r="G20" s="26" t="e">
        <f>SUMPRODUCT(('Phân công'!$D$2:$D$259=$A20)*('Phân công'!#REF!="X")*(RIGHT('Phân công'!$C$2:$C$259,4)="414C")*('Phân công'!#REF!="Tiếng Việt"))</f>
        <v>#REF!</v>
      </c>
      <c r="H20" s="27" t="e">
        <f>SUMPRODUCT(('Phân công'!$D$2:$D$259=$A20)*('Phân công'!#REF!="X")*(RIGHT('Phân công'!$C$2:$C$259,4)="414C")*('Phân công'!#REF!="Tiếng Anh"))</f>
        <v>#REF!</v>
      </c>
      <c r="I20" s="28" t="e">
        <f>SUMPRODUCT(('Phân công'!$D$2:$D$259=$A20)*('Phân công'!#REF!="X")*(RIGHT('Phân công'!$C$2:$C$259,5)="404CA"))</f>
        <v>#REF!</v>
      </c>
      <c r="J20" s="25" t="e">
        <f>SUMPRODUCT(('Phân công'!$D$2:$D$259=$A20)*('Phân công'!#REF!="X")*(RIGHT('Phân công'!$C$2:$C$259,3)="404"))</f>
        <v>#REF!</v>
      </c>
      <c r="K20" s="26" t="e">
        <f>SUMPRODUCT(('Phân công'!$D$2:$D$259=$A20)*('Phân công'!#REF!="X")*(RIGHT('Phân công'!$C$2:$C$259,3)="412"))</f>
        <v>#REF!</v>
      </c>
      <c r="L20" s="26" t="e">
        <f>SUMPRODUCT(('Phân công'!$D$2:$D$259=$A20)*('Phân công'!#REF!="X")*(RIGHT('Phân công'!$C$2:$C$259,3)="414"))</f>
        <v>#REF!</v>
      </c>
      <c r="M20" s="26" t="e">
        <f>SUMPRODUCT(('Phân công'!$D$2:$D$259=$A20)*('Phân công'!#REF!="X")*(RIGHT('Phân công'!$C$2:$C$259,3)="04C")*('Phân công'!#REF!="Tiếng Việt"))</f>
        <v>#REF!</v>
      </c>
      <c r="N20" s="26" t="e">
        <f>SUMPRODUCT(('Phân công'!$D$2:$D$259=$A20)*('Phân công'!#REF!="X")*(RIGHT('Phân công'!$C$2:$C$259,3)="04C")*('Phân công'!#REF!="Tiếng Anh"))</f>
        <v>#REF!</v>
      </c>
      <c r="O20" s="26" t="e">
        <f>SUMPRODUCT(('Phân công'!$D$2:$D$259=$A20)*('Phân công'!#REF!="X")*(RIGHT('Phân công'!$C$2:$C$259,3)="14C")*('Phân công'!#REF!="Tiếng Việt"))</f>
        <v>#REF!</v>
      </c>
      <c r="P20" s="27" t="e">
        <f>SUMPRODUCT(('Phân công'!$D$2:$D$259=$A20)*('Phân công'!#REF!="X")*(RIGHT('Phân công'!$C$2:$C$259,3)="14C")*('Phân công'!#REF!="Tiếng Anh"))</f>
        <v>#REF!</v>
      </c>
      <c r="Q20" s="28" t="e">
        <f>SUMPRODUCT(('Phân công'!$D$2:$D$259=$A20)*('Phân công'!#REF!="X")*(RIGHT('Phân công'!$C$2:$C$259,3)="4CA"))</f>
        <v>#REF!</v>
      </c>
      <c r="R20" s="25" t="e">
        <f>SUMPRODUCT(('Phân công'!#REF!='Thù lao'!A20)*(RIGHT('Phân công'!$C$2:$C$259,3)="404"))</f>
        <v>#REF!</v>
      </c>
      <c r="S20" s="29" t="e">
        <f>SUMPRODUCT(('Phân công'!#REF!='Thù lao'!A20)*(RIGHT('Phân công'!$C$2:$C$259,3)="412"))</f>
        <v>#REF!</v>
      </c>
      <c r="T20" s="29" t="e">
        <f>SUMPRODUCT(('Phân công'!#REF!='Thù lao'!A20)*(RIGHT('Phân công'!$C$2:$C$259,3)="414"))</f>
        <v>#REF!</v>
      </c>
      <c r="U20" s="26" t="e">
        <f>SUMPRODUCT(('Phân công'!#REF!='Thù lao'!A20)*(RIGHT('Phân công'!$C$2:$C$259,3)="04C")*('Phân công'!#REF!="Tiếng Việt"))</f>
        <v>#REF!</v>
      </c>
      <c r="V20" s="26" t="e">
        <f>SUMPRODUCT(('Phân công'!#REF!='Thù lao'!A20)*(RIGHT('Phân công'!$C$2:$C$259,3)="04C")*('Phân công'!#REF!="Tiếng Anh"))</f>
        <v>#REF!</v>
      </c>
      <c r="W20" s="26" t="e">
        <f>SUMPRODUCT(('Phân công'!#REF!='Thù lao'!A20)*(RIGHT('Phân công'!$C$2:$C$259,3)="14C")*('Phân công'!#REF!="Tiếng Việt"))</f>
        <v>#REF!</v>
      </c>
      <c r="X20" s="27" t="e">
        <f>SUMPRODUCT(('Phân công'!#REF!='Thù lao'!A20)*(RIGHT('Phân công'!$C$2:$C$259,3)="14C")*('Phân công'!#REF!="Tiếng Anh"))</f>
        <v>#REF!</v>
      </c>
      <c r="Y20" s="26" t="e">
        <f>SUMPRODUCT(('Phân công'!#REF!='Thù lao'!A20)*(RIGHT('Phân công'!$C$10:$C$259,3)="4CA"))</f>
        <v>#REF!</v>
      </c>
      <c r="Z20" s="25" t="e">
        <f>SUMPRODUCT(('Phân công'!#REF!='Thù lao'!A20)*(RIGHT('Phân công'!$C$2:$C$259,3)="404"))</f>
        <v>#REF!</v>
      </c>
      <c r="AA20" s="29" t="e">
        <f>SUMPRODUCT(('Phân công'!#REF!='Thù lao'!A20)*(RIGHT('Phân công'!$C$2:$C$259,3)="412"))</f>
        <v>#REF!</v>
      </c>
      <c r="AB20" s="29" t="e">
        <f>SUMPRODUCT(('Phân công'!#REF!='Thù lao'!A20)*(RIGHT('Phân công'!$C$2:$C$259,3)="414"))</f>
        <v>#REF!</v>
      </c>
      <c r="AC20" s="26" t="e">
        <f>SUMPRODUCT(('Phân công'!#REF!='Thù lao'!A20)*(RIGHT('Phân công'!$C$2:$C$259,3)="04C")*('Phân công'!#REF!="Tiếng Việt"))</f>
        <v>#REF!</v>
      </c>
      <c r="AD20" s="26" t="e">
        <f>SUMPRODUCT(('Phân công'!#REF!='Thù lao'!A20)*(RIGHT('Phân công'!$C$2:$C$259,3)="04C")*('Phân công'!#REF!="Tiếng Anh"))</f>
        <v>#REF!</v>
      </c>
      <c r="AE20" s="26" t="e">
        <f>SUMPRODUCT(('Phân công'!#REF!='Thù lao'!A20)*(RIGHT('Phân công'!$C$2:$C$259,3)="14C")*('Phân công'!#REF!="Tiếng Việt"))</f>
        <v>#REF!</v>
      </c>
      <c r="AF20" s="27" t="e">
        <f>SUMPRODUCT(('Phân công'!#REF!='Thù lao'!A20)*(RIGHT('Phân công'!$C$2:$C$259,3)="14C")*('Phân công'!#REF!="Tiếng Anh"))</f>
        <v>#REF!</v>
      </c>
      <c r="AG20" s="26" t="e">
        <f>SUMPRODUCT(('Phân công'!#REF!='Thù lao'!A20)*(RIGHT('Phân công'!$C$2:$C$259,3)="4CA"))</f>
        <v>#REF!</v>
      </c>
      <c r="AH20" s="25" t="e">
        <f>SUMPRODUCT(('Phân công'!#REF!='Thù lao'!A20)*(RIGHT('Phân công'!$C$2:$C$259,3)="404"))</f>
        <v>#REF!</v>
      </c>
      <c r="AI20" s="29" t="e">
        <f>SUMPRODUCT(('Phân công'!#REF!='Thù lao'!A20)*(RIGHT('Phân công'!$C$2:$C$259,3)="412"))</f>
        <v>#REF!</v>
      </c>
      <c r="AJ20" s="29" t="e">
        <f>SUMPRODUCT(('Phân công'!#REF!='Thù lao'!A20)*(RIGHT('Phân công'!$C$2:$C$259,3)="414"))</f>
        <v>#REF!</v>
      </c>
      <c r="AK20" s="26" t="e">
        <f>SUMPRODUCT(('Phân công'!#REF!='Thù lao'!A20)*(RIGHT('Phân công'!$C$2:$C$259,3)="04C")*('Phân công'!#REF!="Tiếng Việt"))</f>
        <v>#REF!</v>
      </c>
      <c r="AL20" s="26" t="e">
        <f>SUMPRODUCT(('Phân công'!#REF!='Thù lao'!A20)*(RIGHT('Phân công'!$C$2:$C$259,3)="04C")*('Phân công'!#REF!="Tiếng Anh"))</f>
        <v>#REF!</v>
      </c>
      <c r="AM20" s="26" t="e">
        <f>SUMPRODUCT(('Phân công'!#REF!='Thù lao'!A20)*(RIGHT('Phân công'!$C$2:$C$259,3)="14C")*('Phân công'!#REF!="Tiếng Việt"))</f>
        <v>#REF!</v>
      </c>
      <c r="AN20" s="27" t="e">
        <f>SUMPRODUCT(('Phân công'!#REF!='Thù lao'!A20)*(RIGHT('Phân công'!$C$2:$C$259,3)="14C")*('Phân công'!#REF!="Tiếng Anh"))</f>
        <v>#REF!</v>
      </c>
      <c r="AO20" s="26" t="e">
        <f>SUMPRODUCT(('Phân công'!#REF!='Thù lao'!A20)*(RIGHT('Phân công'!$C$2:$C$259,3)="4CA"))</f>
        <v>#REF!</v>
      </c>
      <c r="AP20" s="25" t="e">
        <f>SUMPRODUCT(('Phân công'!#REF!='Thù lao'!A20)*(RIGHT('Phân công'!$C$2:$C$259,3)="404"))</f>
        <v>#REF!</v>
      </c>
      <c r="AQ20" s="29" t="e">
        <f>SUMPRODUCT(('Phân công'!#REF!='Thù lao'!A20)*(RIGHT('Phân công'!$C$2:$C$259,3)="412"))</f>
        <v>#REF!</v>
      </c>
      <c r="AR20" s="29" t="e">
        <f>SUMPRODUCT(('Phân công'!#REF!='Thù lao'!A20)*(RIGHT('Phân công'!$C$2:$C$259,3)="414"))</f>
        <v>#REF!</v>
      </c>
      <c r="AS20" s="26" t="e">
        <f>SUMPRODUCT(('Phân công'!#REF!='Thù lao'!A20)*(RIGHT('Phân công'!$C$2:$C$259,3)="04C")*('Phân công'!#REF!="Tiếng Việt"))</f>
        <v>#REF!</v>
      </c>
      <c r="AT20" s="26" t="e">
        <f>SUMPRODUCT(('Phân công'!#REF!='Thù lao'!A20)*(RIGHT('Phân công'!$C$2:$C$259,3)="04C")*('Phân công'!#REF!="Tiếng Anh"))</f>
        <v>#REF!</v>
      </c>
      <c r="AU20" s="26" t="e">
        <f>SUMPRODUCT(('Phân công'!#REF!='Thù lao'!A20)*(RIGHT('Phân công'!$C$2:$C$259,3)="14C")*('Phân công'!#REF!="Tiếng Việt"))</f>
        <v>#REF!</v>
      </c>
      <c r="AV20" s="27" t="e">
        <f>SUMPRODUCT(('Phân công'!#REF!='Thù lao'!A20)*(RIGHT('Phân công'!$C$2:$C$259,3)="14C")*('Phân công'!#REF!="Tiếng Anh"))</f>
        <v>#REF!</v>
      </c>
      <c r="AW20" s="26" t="e">
        <f>SUMPRODUCT(('Phân công'!#REF!='Thù lao'!A20)*(RIGHT('Phân công'!$C$2:$C$259,3)="4CA"))</f>
        <v>#REF!</v>
      </c>
      <c r="AX20" s="25" t="e">
        <f t="shared" ref="AX20:BE20" si="26">AP20+AH20+Z20+R20</f>
        <v>#REF!</v>
      </c>
      <c r="AY20" s="25" t="e">
        <f t="shared" si="26"/>
        <v>#REF!</v>
      </c>
      <c r="AZ20" s="25" t="e">
        <f t="shared" si="26"/>
        <v>#REF!</v>
      </c>
      <c r="BA20" s="25" t="e">
        <f t="shared" si="26"/>
        <v>#REF!</v>
      </c>
      <c r="BB20" s="25" t="e">
        <f t="shared" si="26"/>
        <v>#REF!</v>
      </c>
      <c r="BC20" s="25" t="e">
        <f t="shared" si="26"/>
        <v>#REF!</v>
      </c>
      <c r="BD20" s="25" t="e">
        <f t="shared" si="26"/>
        <v>#REF!</v>
      </c>
      <c r="BE20" s="25" t="e">
        <f t="shared" si="26"/>
        <v>#REF!</v>
      </c>
      <c r="BF20" s="30" t="e">
        <f t="shared" si="1"/>
        <v>#REF!</v>
      </c>
      <c r="BG20" s="30" t="e">
        <f t="shared" si="2"/>
        <v>#REF!</v>
      </c>
      <c r="BH20" s="30" t="e">
        <f t="shared" si="3"/>
        <v>#REF!</v>
      </c>
      <c r="BI20" s="30" t="e">
        <f t="shared" si="4"/>
        <v>#REF!</v>
      </c>
      <c r="BJ20" s="30" t="e">
        <f t="shared" si="5"/>
        <v>#REF!</v>
      </c>
      <c r="BK20" s="30" t="e">
        <f t="shared" si="6"/>
        <v>#REF!</v>
      </c>
      <c r="BL20" s="31" t="e">
        <f t="shared" si="7"/>
        <v>#REF!</v>
      </c>
      <c r="BM20" s="31" t="e">
        <f t="shared" si="8"/>
        <v>#REF!</v>
      </c>
      <c r="BN20" s="31" t="e">
        <f t="shared" si="9"/>
        <v>#REF!</v>
      </c>
      <c r="BO20" s="31" t="e">
        <f t="shared" si="10"/>
        <v>#REF!</v>
      </c>
    </row>
    <row r="21" spans="1:67" ht="15.75" customHeight="1" x14ac:dyDescent="0.35">
      <c r="A21" s="32" t="s">
        <v>439</v>
      </c>
      <c r="B21" s="25" t="e">
        <f>SUMPRODUCT(('Phân công'!$D$2:$D$259=$A21)*('Phân công'!#REF!="X")*(RIGHT('Phân công'!$C$2:$C$259,3)="404"))</f>
        <v>#REF!</v>
      </c>
      <c r="C21" s="26" t="e">
        <f>SUMPRODUCT(('Phân công'!$D$2:$D$259=$A21)*('Phân công'!#REF!="X")*(RIGHT('Phân công'!$C$2:$C$259,3)="412"))</f>
        <v>#REF!</v>
      </c>
      <c r="D21" s="26" t="e">
        <f>SUMPRODUCT(('Phân công'!$D$2:$D$259=$A21)*('Phân công'!#REF!="X")*(RIGHT('Phân công'!$C$2:$C$259,3)="414"))</f>
        <v>#REF!</v>
      </c>
      <c r="E21" s="26" t="e">
        <f>SUMPRODUCT(('Phân công'!$D$2:$D$259=$A21)*('Phân công'!#REF!="X")*(RIGHT('Phân công'!$C$2:$C$259,4)="404C")*('Phân công'!#REF!="Tiếng Việt"))</f>
        <v>#REF!</v>
      </c>
      <c r="F21" s="26" t="e">
        <f>SUMPRODUCT(('Phân công'!$D$2:$D$259=$A21)*('Phân công'!#REF!="X")*(RIGHT('Phân công'!$C$2:$C$259,4)="404C")*('Phân công'!#REF!="Tiếng Anh"))</f>
        <v>#REF!</v>
      </c>
      <c r="G21" s="26" t="e">
        <f>SUMPRODUCT(('Phân công'!$D$2:$D$259=$A21)*('Phân công'!#REF!="X")*(RIGHT('Phân công'!$C$2:$C$259,4)="414C")*('Phân công'!#REF!="Tiếng Việt"))</f>
        <v>#REF!</v>
      </c>
      <c r="H21" s="27" t="e">
        <f>SUMPRODUCT(('Phân công'!$D$2:$D$259=$A21)*('Phân công'!#REF!="X")*(RIGHT('Phân công'!$C$2:$C$259,4)="414C")*('Phân công'!#REF!="Tiếng Anh"))</f>
        <v>#REF!</v>
      </c>
      <c r="I21" s="28" t="e">
        <f>SUMPRODUCT(('Phân công'!$D$2:$D$259=$A21)*('Phân công'!#REF!="X")*(RIGHT('Phân công'!$C$2:$C$259,5)="404CA"))</f>
        <v>#REF!</v>
      </c>
      <c r="J21" s="25" t="e">
        <f>SUMPRODUCT(('Phân công'!$D$2:$D$259=$A21)*('Phân công'!#REF!="X")*(RIGHT('Phân công'!$C$2:$C$259,3)="404"))</f>
        <v>#REF!</v>
      </c>
      <c r="K21" s="26" t="e">
        <f>SUMPRODUCT(('Phân công'!$D$2:$D$259=$A21)*('Phân công'!#REF!="X")*(RIGHT('Phân công'!$C$2:$C$259,3)="412"))</f>
        <v>#REF!</v>
      </c>
      <c r="L21" s="26" t="e">
        <f>SUMPRODUCT(('Phân công'!$D$2:$D$259=$A21)*('Phân công'!#REF!="X")*(RIGHT('Phân công'!$C$2:$C$259,3)="414"))</f>
        <v>#REF!</v>
      </c>
      <c r="M21" s="26" t="e">
        <f>SUMPRODUCT(('Phân công'!$D$2:$D$259=$A21)*('Phân công'!#REF!="X")*(RIGHT('Phân công'!$C$2:$C$259,3)="04C")*('Phân công'!#REF!="Tiếng Việt"))</f>
        <v>#REF!</v>
      </c>
      <c r="N21" s="26" t="e">
        <f>SUMPRODUCT(('Phân công'!$D$2:$D$259=$A21)*('Phân công'!#REF!="X")*(RIGHT('Phân công'!$C$2:$C$259,3)="04C")*('Phân công'!#REF!="Tiếng Anh"))</f>
        <v>#REF!</v>
      </c>
      <c r="O21" s="26" t="e">
        <f>SUMPRODUCT(('Phân công'!$D$2:$D$259=$A21)*('Phân công'!#REF!="X")*(RIGHT('Phân công'!$C$2:$C$259,3)="14C")*('Phân công'!#REF!="Tiếng Việt"))</f>
        <v>#REF!</v>
      </c>
      <c r="P21" s="27" t="e">
        <f>SUMPRODUCT(('Phân công'!$D$2:$D$259=$A21)*('Phân công'!#REF!="X")*(RIGHT('Phân công'!$C$2:$C$259,3)="14C")*('Phân công'!#REF!="Tiếng Anh"))</f>
        <v>#REF!</v>
      </c>
      <c r="Q21" s="28" t="e">
        <f>SUMPRODUCT(('Phân công'!$D$2:$D$259=$A21)*('Phân công'!#REF!="X")*(RIGHT('Phân công'!$C$2:$C$259,3)="4CA"))</f>
        <v>#REF!</v>
      </c>
      <c r="R21" s="25" t="e">
        <f>SUMPRODUCT(('Phân công'!#REF!='Thù lao'!A21)*(RIGHT('Phân công'!$C$2:$C$259,3)="404"))</f>
        <v>#REF!</v>
      </c>
      <c r="S21" s="29" t="e">
        <f>SUMPRODUCT(('Phân công'!#REF!='Thù lao'!A21)*(RIGHT('Phân công'!$C$2:$C$259,3)="412"))</f>
        <v>#REF!</v>
      </c>
      <c r="T21" s="29" t="e">
        <f>SUMPRODUCT(('Phân công'!#REF!='Thù lao'!A21)*(RIGHT('Phân công'!$C$2:$C$259,3)="414"))</f>
        <v>#REF!</v>
      </c>
      <c r="U21" s="26" t="e">
        <f>SUMPRODUCT(('Phân công'!#REF!='Thù lao'!A21)*(RIGHT('Phân công'!$C$2:$C$259,3)="04C")*('Phân công'!#REF!="Tiếng Việt"))</f>
        <v>#REF!</v>
      </c>
      <c r="V21" s="26" t="e">
        <f>SUMPRODUCT(('Phân công'!#REF!='Thù lao'!A21)*(RIGHT('Phân công'!$C$2:$C$259,3)="04C")*('Phân công'!#REF!="Tiếng Anh"))</f>
        <v>#REF!</v>
      </c>
      <c r="W21" s="26" t="e">
        <f>SUMPRODUCT(('Phân công'!#REF!='Thù lao'!A21)*(RIGHT('Phân công'!$C$2:$C$259,3)="14C")*('Phân công'!#REF!="Tiếng Việt"))</f>
        <v>#REF!</v>
      </c>
      <c r="X21" s="27" t="e">
        <f>SUMPRODUCT(('Phân công'!#REF!='Thù lao'!A21)*(RIGHT('Phân công'!$C$2:$C$259,3)="14C")*('Phân công'!#REF!="Tiếng Anh"))</f>
        <v>#REF!</v>
      </c>
      <c r="Y21" s="26" t="e">
        <f>SUMPRODUCT(('Phân công'!#REF!='Thù lao'!A21)*(RIGHT('Phân công'!$C$10:$C$259,3)="4CA"))</f>
        <v>#REF!</v>
      </c>
      <c r="Z21" s="25" t="e">
        <f>SUMPRODUCT(('Phân công'!#REF!='Thù lao'!A21)*(RIGHT('Phân công'!$C$2:$C$259,3)="404"))</f>
        <v>#REF!</v>
      </c>
      <c r="AA21" s="29" t="e">
        <f>SUMPRODUCT(('Phân công'!#REF!='Thù lao'!A21)*(RIGHT('Phân công'!$C$2:$C$259,3)="412"))</f>
        <v>#REF!</v>
      </c>
      <c r="AB21" s="29" t="e">
        <f>SUMPRODUCT(('Phân công'!#REF!='Thù lao'!A21)*(RIGHT('Phân công'!$C$2:$C$259,3)="414"))</f>
        <v>#REF!</v>
      </c>
      <c r="AC21" s="26" t="e">
        <f>SUMPRODUCT(('Phân công'!#REF!='Thù lao'!A21)*(RIGHT('Phân công'!$C$2:$C$259,3)="04C")*('Phân công'!#REF!="Tiếng Việt"))</f>
        <v>#REF!</v>
      </c>
      <c r="AD21" s="26" t="e">
        <f>SUMPRODUCT(('Phân công'!#REF!='Thù lao'!A21)*(RIGHT('Phân công'!$C$2:$C$259,3)="04C")*('Phân công'!#REF!="Tiếng Anh"))</f>
        <v>#REF!</v>
      </c>
      <c r="AE21" s="26" t="e">
        <f>SUMPRODUCT(('Phân công'!#REF!='Thù lao'!A21)*(RIGHT('Phân công'!$C$2:$C$259,3)="14C")*('Phân công'!#REF!="Tiếng Việt"))</f>
        <v>#REF!</v>
      </c>
      <c r="AF21" s="27" t="e">
        <f>SUMPRODUCT(('Phân công'!#REF!='Thù lao'!A21)*(RIGHT('Phân công'!$C$2:$C$259,3)="14C")*('Phân công'!#REF!="Tiếng Anh"))</f>
        <v>#REF!</v>
      </c>
      <c r="AG21" s="26" t="e">
        <f>SUMPRODUCT(('Phân công'!#REF!='Thù lao'!A21)*(RIGHT('Phân công'!$C$2:$C$259,3)="4CA"))</f>
        <v>#REF!</v>
      </c>
      <c r="AH21" s="25" t="e">
        <f>SUMPRODUCT(('Phân công'!#REF!='Thù lao'!A21)*(RIGHT('Phân công'!$C$2:$C$259,3)="404"))</f>
        <v>#REF!</v>
      </c>
      <c r="AI21" s="29" t="e">
        <f>SUMPRODUCT(('Phân công'!#REF!='Thù lao'!A21)*(RIGHT('Phân công'!$C$2:$C$259,3)="412"))</f>
        <v>#REF!</v>
      </c>
      <c r="AJ21" s="29" t="e">
        <f>SUMPRODUCT(('Phân công'!#REF!='Thù lao'!A21)*(RIGHT('Phân công'!$C$2:$C$259,3)="414"))</f>
        <v>#REF!</v>
      </c>
      <c r="AK21" s="26" t="e">
        <f>SUMPRODUCT(('Phân công'!#REF!='Thù lao'!A21)*(RIGHT('Phân công'!$C$2:$C$259,3)="04C")*('Phân công'!#REF!="Tiếng Việt"))</f>
        <v>#REF!</v>
      </c>
      <c r="AL21" s="26" t="e">
        <f>SUMPRODUCT(('Phân công'!#REF!='Thù lao'!A21)*(RIGHT('Phân công'!$C$2:$C$259,3)="04C")*('Phân công'!#REF!="Tiếng Anh"))</f>
        <v>#REF!</v>
      </c>
      <c r="AM21" s="26" t="e">
        <f>SUMPRODUCT(('Phân công'!#REF!='Thù lao'!A21)*(RIGHT('Phân công'!$C$2:$C$259,3)="14C")*('Phân công'!#REF!="Tiếng Việt"))</f>
        <v>#REF!</v>
      </c>
      <c r="AN21" s="27" t="e">
        <f>SUMPRODUCT(('Phân công'!#REF!='Thù lao'!A21)*(RIGHT('Phân công'!$C$2:$C$259,3)="14C")*('Phân công'!#REF!="Tiếng Anh"))</f>
        <v>#REF!</v>
      </c>
      <c r="AO21" s="26" t="e">
        <f>SUMPRODUCT(('Phân công'!#REF!='Thù lao'!A21)*(RIGHT('Phân công'!$C$2:$C$259,3)="4CA"))</f>
        <v>#REF!</v>
      </c>
      <c r="AP21" s="25" t="e">
        <f>SUMPRODUCT(('Phân công'!#REF!='Thù lao'!A21)*(RIGHT('Phân công'!$C$2:$C$259,3)="404"))</f>
        <v>#REF!</v>
      </c>
      <c r="AQ21" s="29" t="e">
        <f>SUMPRODUCT(('Phân công'!#REF!='Thù lao'!A21)*(RIGHT('Phân công'!$C$2:$C$259,3)="412"))</f>
        <v>#REF!</v>
      </c>
      <c r="AR21" s="29" t="e">
        <f>SUMPRODUCT(('Phân công'!#REF!='Thù lao'!A21)*(RIGHT('Phân công'!$C$2:$C$259,3)="414"))</f>
        <v>#REF!</v>
      </c>
      <c r="AS21" s="26" t="e">
        <f>SUMPRODUCT(('Phân công'!#REF!='Thù lao'!A21)*(RIGHT('Phân công'!$C$2:$C$259,3)="04C")*('Phân công'!#REF!="Tiếng Việt"))</f>
        <v>#REF!</v>
      </c>
      <c r="AT21" s="26" t="e">
        <f>SUMPRODUCT(('Phân công'!#REF!='Thù lao'!A21)*(RIGHT('Phân công'!$C$2:$C$259,3)="04C")*('Phân công'!#REF!="Tiếng Anh"))</f>
        <v>#REF!</v>
      </c>
      <c r="AU21" s="26" t="e">
        <f>SUMPRODUCT(('Phân công'!#REF!='Thù lao'!A21)*(RIGHT('Phân công'!$C$2:$C$259,3)="14C")*('Phân công'!#REF!="Tiếng Việt"))</f>
        <v>#REF!</v>
      </c>
      <c r="AV21" s="27" t="e">
        <f>SUMPRODUCT(('Phân công'!#REF!='Thù lao'!A21)*(RIGHT('Phân công'!$C$2:$C$259,3)="14C")*('Phân công'!#REF!="Tiếng Anh"))</f>
        <v>#REF!</v>
      </c>
      <c r="AW21" s="26" t="e">
        <f>SUMPRODUCT(('Phân công'!#REF!='Thù lao'!A21)*(RIGHT('Phân công'!$C$2:$C$259,3)="4CA"))</f>
        <v>#REF!</v>
      </c>
      <c r="AX21" s="25" t="e">
        <f t="shared" ref="AX21:BE21" si="27">AP21+AH21+Z21+R21</f>
        <v>#REF!</v>
      </c>
      <c r="AY21" s="25" t="e">
        <f t="shared" si="27"/>
        <v>#REF!</v>
      </c>
      <c r="AZ21" s="25" t="e">
        <f t="shared" si="27"/>
        <v>#REF!</v>
      </c>
      <c r="BA21" s="25" t="e">
        <f t="shared" si="27"/>
        <v>#REF!</v>
      </c>
      <c r="BB21" s="25" t="e">
        <f t="shared" si="27"/>
        <v>#REF!</v>
      </c>
      <c r="BC21" s="25" t="e">
        <f t="shared" si="27"/>
        <v>#REF!</v>
      </c>
      <c r="BD21" s="25" t="e">
        <f t="shared" si="27"/>
        <v>#REF!</v>
      </c>
      <c r="BE21" s="25" t="e">
        <f t="shared" si="27"/>
        <v>#REF!</v>
      </c>
      <c r="BF21" s="30" t="e">
        <f t="shared" si="1"/>
        <v>#REF!</v>
      </c>
      <c r="BG21" s="30" t="e">
        <f t="shared" si="2"/>
        <v>#REF!</v>
      </c>
      <c r="BH21" s="30" t="e">
        <f t="shared" si="3"/>
        <v>#REF!</v>
      </c>
      <c r="BI21" s="30" t="e">
        <f t="shared" si="4"/>
        <v>#REF!</v>
      </c>
      <c r="BJ21" s="30" t="e">
        <f t="shared" si="5"/>
        <v>#REF!</v>
      </c>
      <c r="BK21" s="30" t="e">
        <f t="shared" si="6"/>
        <v>#REF!</v>
      </c>
      <c r="BL21" s="31" t="e">
        <f t="shared" si="7"/>
        <v>#REF!</v>
      </c>
      <c r="BM21" s="31" t="e">
        <f t="shared" si="8"/>
        <v>#REF!</v>
      </c>
      <c r="BN21" s="31" t="e">
        <f t="shared" si="9"/>
        <v>#REF!</v>
      </c>
      <c r="BO21" s="31" t="e">
        <f t="shared" si="10"/>
        <v>#REF!</v>
      </c>
    </row>
    <row r="22" spans="1:67" ht="15.75" customHeight="1" x14ac:dyDescent="0.35">
      <c r="A22" s="32" t="s">
        <v>174</v>
      </c>
      <c r="B22" s="25" t="e">
        <f>SUMPRODUCT(('Phân công'!$D$2:$D$259=$A22)*('Phân công'!#REF!="X")*(RIGHT('Phân công'!$C$2:$C$259,3)="404"))</f>
        <v>#REF!</v>
      </c>
      <c r="C22" s="26" t="e">
        <f>SUMPRODUCT(('Phân công'!$D$2:$D$259=$A22)*('Phân công'!#REF!="X")*(RIGHT('Phân công'!$C$2:$C$259,3)="412"))</f>
        <v>#REF!</v>
      </c>
      <c r="D22" s="26" t="e">
        <f>SUMPRODUCT(('Phân công'!$D$2:$D$259=$A22)*('Phân công'!#REF!="X")*(RIGHT('Phân công'!$C$2:$C$259,3)="414"))</f>
        <v>#REF!</v>
      </c>
      <c r="E22" s="26" t="e">
        <f>SUMPRODUCT(('Phân công'!$D$2:$D$259=$A22)*('Phân công'!#REF!="X")*(RIGHT('Phân công'!$C$2:$C$259,4)="404C")*('Phân công'!#REF!="Tiếng Việt"))</f>
        <v>#REF!</v>
      </c>
      <c r="F22" s="26" t="e">
        <f>SUMPRODUCT(('Phân công'!$D$2:$D$259=$A22)*('Phân công'!#REF!="X")*(RIGHT('Phân công'!$C$2:$C$259,4)="404C")*('Phân công'!#REF!="Tiếng Anh"))</f>
        <v>#REF!</v>
      </c>
      <c r="G22" s="26" t="e">
        <f>SUMPRODUCT(('Phân công'!$D$2:$D$259=$A22)*('Phân công'!#REF!="X")*(RIGHT('Phân công'!$C$2:$C$259,4)="414C")*('Phân công'!#REF!="Tiếng Việt"))</f>
        <v>#REF!</v>
      </c>
      <c r="H22" s="27" t="e">
        <f>SUMPRODUCT(('Phân công'!$D$2:$D$259=$A22)*('Phân công'!#REF!="X")*(RIGHT('Phân công'!$C$2:$C$259,4)="414C")*('Phân công'!#REF!="Tiếng Anh"))</f>
        <v>#REF!</v>
      </c>
      <c r="I22" s="28" t="e">
        <f>SUMPRODUCT(('Phân công'!$D$2:$D$259=$A22)*('Phân công'!#REF!="X")*(RIGHT('Phân công'!$C$2:$C$259,5)="404CA"))</f>
        <v>#REF!</v>
      </c>
      <c r="J22" s="25" t="e">
        <f>SUMPRODUCT(('Phân công'!$D$2:$D$259=$A22)*('Phân công'!#REF!="X")*(RIGHT('Phân công'!$C$2:$C$259,3)="404"))</f>
        <v>#REF!</v>
      </c>
      <c r="K22" s="26" t="e">
        <f>SUMPRODUCT(('Phân công'!$D$2:$D$259=$A22)*('Phân công'!#REF!="X")*(RIGHT('Phân công'!$C$2:$C$259,3)="412"))</f>
        <v>#REF!</v>
      </c>
      <c r="L22" s="26" t="e">
        <f>SUMPRODUCT(('Phân công'!$D$2:$D$259=$A22)*('Phân công'!#REF!="X")*(RIGHT('Phân công'!$C$2:$C$259,3)="414"))</f>
        <v>#REF!</v>
      </c>
      <c r="M22" s="26" t="e">
        <f>SUMPRODUCT(('Phân công'!$D$2:$D$259=$A22)*('Phân công'!#REF!="X")*(RIGHT('Phân công'!$C$2:$C$259,3)="04C")*('Phân công'!#REF!="Tiếng Việt"))</f>
        <v>#REF!</v>
      </c>
      <c r="N22" s="26" t="e">
        <f>SUMPRODUCT(('Phân công'!$D$2:$D$259=$A22)*('Phân công'!#REF!="X")*(RIGHT('Phân công'!$C$2:$C$259,3)="04C")*('Phân công'!#REF!="Tiếng Anh"))</f>
        <v>#REF!</v>
      </c>
      <c r="O22" s="26" t="e">
        <f>SUMPRODUCT(('Phân công'!$D$2:$D$259=$A22)*('Phân công'!#REF!="X")*(RIGHT('Phân công'!$C$2:$C$259,3)="14C")*('Phân công'!#REF!="Tiếng Việt"))</f>
        <v>#REF!</v>
      </c>
      <c r="P22" s="27" t="e">
        <f>SUMPRODUCT(('Phân công'!$D$2:$D$259=$A22)*('Phân công'!#REF!="X")*(RIGHT('Phân công'!$C$2:$C$259,3)="14C")*('Phân công'!#REF!="Tiếng Anh"))</f>
        <v>#REF!</v>
      </c>
      <c r="Q22" s="28" t="e">
        <f>SUMPRODUCT(('Phân công'!$D$2:$D$259=$A22)*('Phân công'!#REF!="X")*(RIGHT('Phân công'!$C$2:$C$259,3)="4CA"))</f>
        <v>#REF!</v>
      </c>
      <c r="R22" s="25" t="e">
        <f>SUMPRODUCT(('Phân công'!#REF!='Thù lao'!A22)*(RIGHT('Phân công'!$C$2:$C$259,3)="404"))</f>
        <v>#REF!</v>
      </c>
      <c r="S22" s="29" t="e">
        <f>SUMPRODUCT(('Phân công'!#REF!='Thù lao'!A22)*(RIGHT('Phân công'!$C$2:$C$259,3)="412"))</f>
        <v>#REF!</v>
      </c>
      <c r="T22" s="29" t="e">
        <f>SUMPRODUCT(('Phân công'!#REF!='Thù lao'!A22)*(RIGHT('Phân công'!$C$2:$C$259,3)="414"))</f>
        <v>#REF!</v>
      </c>
      <c r="U22" s="26" t="e">
        <f>SUMPRODUCT(('Phân công'!#REF!='Thù lao'!A22)*(RIGHT('Phân công'!$C$2:$C$259,3)="04C")*('Phân công'!#REF!="Tiếng Việt"))</f>
        <v>#REF!</v>
      </c>
      <c r="V22" s="26" t="e">
        <f>SUMPRODUCT(('Phân công'!#REF!='Thù lao'!A22)*(RIGHT('Phân công'!$C$2:$C$259,3)="04C")*('Phân công'!#REF!="Tiếng Anh"))</f>
        <v>#REF!</v>
      </c>
      <c r="W22" s="26" t="e">
        <f>SUMPRODUCT(('Phân công'!#REF!='Thù lao'!A22)*(RIGHT('Phân công'!$C$2:$C$259,3)="14C")*('Phân công'!#REF!="Tiếng Việt"))</f>
        <v>#REF!</v>
      </c>
      <c r="X22" s="27" t="e">
        <f>SUMPRODUCT(('Phân công'!#REF!='Thù lao'!A22)*(RIGHT('Phân công'!$C$2:$C$259,3)="14C")*('Phân công'!#REF!="Tiếng Anh"))</f>
        <v>#REF!</v>
      </c>
      <c r="Y22" s="26" t="e">
        <f>SUMPRODUCT(('Phân công'!#REF!='Thù lao'!A22)*(RIGHT('Phân công'!$C$10:$C$259,3)="4CA"))</f>
        <v>#REF!</v>
      </c>
      <c r="Z22" s="25" t="e">
        <f>SUMPRODUCT(('Phân công'!#REF!='Thù lao'!A22)*(RIGHT('Phân công'!$C$2:$C$259,3)="404"))</f>
        <v>#REF!</v>
      </c>
      <c r="AA22" s="29" t="e">
        <f>SUMPRODUCT(('Phân công'!#REF!='Thù lao'!A22)*(RIGHT('Phân công'!$C$2:$C$259,3)="412"))</f>
        <v>#REF!</v>
      </c>
      <c r="AB22" s="29" t="e">
        <f>SUMPRODUCT(('Phân công'!#REF!='Thù lao'!A22)*(RIGHT('Phân công'!$C$2:$C$259,3)="414"))</f>
        <v>#REF!</v>
      </c>
      <c r="AC22" s="26" t="e">
        <f>SUMPRODUCT(('Phân công'!#REF!='Thù lao'!A22)*(RIGHT('Phân công'!$C$2:$C$259,3)="04C")*('Phân công'!#REF!="Tiếng Việt"))</f>
        <v>#REF!</v>
      </c>
      <c r="AD22" s="26" t="e">
        <f>SUMPRODUCT(('Phân công'!#REF!='Thù lao'!A22)*(RIGHT('Phân công'!$C$2:$C$259,3)="04C")*('Phân công'!#REF!="Tiếng Anh"))</f>
        <v>#REF!</v>
      </c>
      <c r="AE22" s="26" t="e">
        <f>SUMPRODUCT(('Phân công'!#REF!='Thù lao'!A22)*(RIGHT('Phân công'!$C$2:$C$259,3)="14C")*('Phân công'!#REF!="Tiếng Việt"))</f>
        <v>#REF!</v>
      </c>
      <c r="AF22" s="27" t="e">
        <f>SUMPRODUCT(('Phân công'!#REF!='Thù lao'!A22)*(RIGHT('Phân công'!$C$2:$C$259,3)="14C")*('Phân công'!#REF!="Tiếng Anh"))</f>
        <v>#REF!</v>
      </c>
      <c r="AG22" s="26" t="e">
        <f>SUMPRODUCT(('Phân công'!#REF!='Thù lao'!A22)*(RIGHT('Phân công'!$C$2:$C$259,3)="4CA"))</f>
        <v>#REF!</v>
      </c>
      <c r="AH22" s="25" t="e">
        <f>SUMPRODUCT(('Phân công'!#REF!='Thù lao'!A22)*(RIGHT('Phân công'!$C$2:$C$259,3)="404"))</f>
        <v>#REF!</v>
      </c>
      <c r="AI22" s="29" t="e">
        <f>SUMPRODUCT(('Phân công'!#REF!='Thù lao'!A22)*(RIGHT('Phân công'!$C$2:$C$259,3)="412"))</f>
        <v>#REF!</v>
      </c>
      <c r="AJ22" s="29" t="e">
        <f>SUMPRODUCT(('Phân công'!#REF!='Thù lao'!A22)*(RIGHT('Phân công'!$C$2:$C$259,3)="414"))</f>
        <v>#REF!</v>
      </c>
      <c r="AK22" s="26" t="e">
        <f>SUMPRODUCT(('Phân công'!#REF!='Thù lao'!A22)*(RIGHT('Phân công'!$C$2:$C$259,3)="04C")*('Phân công'!#REF!="Tiếng Việt"))</f>
        <v>#REF!</v>
      </c>
      <c r="AL22" s="26" t="e">
        <f>SUMPRODUCT(('Phân công'!#REF!='Thù lao'!A22)*(RIGHT('Phân công'!$C$2:$C$259,3)="04C")*('Phân công'!#REF!="Tiếng Anh"))</f>
        <v>#REF!</v>
      </c>
      <c r="AM22" s="26" t="e">
        <f>SUMPRODUCT(('Phân công'!#REF!='Thù lao'!A22)*(RIGHT('Phân công'!$C$2:$C$259,3)="14C")*('Phân công'!#REF!="Tiếng Việt"))</f>
        <v>#REF!</v>
      </c>
      <c r="AN22" s="27" t="e">
        <f>SUMPRODUCT(('Phân công'!#REF!='Thù lao'!A22)*(RIGHT('Phân công'!$C$2:$C$259,3)="14C")*('Phân công'!#REF!="Tiếng Anh"))</f>
        <v>#REF!</v>
      </c>
      <c r="AO22" s="26" t="e">
        <f>SUMPRODUCT(('Phân công'!#REF!='Thù lao'!A22)*(RIGHT('Phân công'!$C$2:$C$259,3)="4CA"))</f>
        <v>#REF!</v>
      </c>
      <c r="AP22" s="25" t="e">
        <f>SUMPRODUCT(('Phân công'!#REF!='Thù lao'!A22)*(RIGHT('Phân công'!$C$2:$C$259,3)="404"))</f>
        <v>#REF!</v>
      </c>
      <c r="AQ22" s="29" t="e">
        <f>SUMPRODUCT(('Phân công'!#REF!='Thù lao'!A22)*(RIGHT('Phân công'!$C$2:$C$259,3)="412"))</f>
        <v>#REF!</v>
      </c>
      <c r="AR22" s="29" t="e">
        <f>SUMPRODUCT(('Phân công'!#REF!='Thù lao'!A22)*(RIGHT('Phân công'!$C$2:$C$259,3)="414"))</f>
        <v>#REF!</v>
      </c>
      <c r="AS22" s="26" t="e">
        <f>SUMPRODUCT(('Phân công'!#REF!='Thù lao'!A22)*(RIGHT('Phân công'!$C$2:$C$259,3)="04C")*('Phân công'!#REF!="Tiếng Việt"))</f>
        <v>#REF!</v>
      </c>
      <c r="AT22" s="26" t="e">
        <f>SUMPRODUCT(('Phân công'!#REF!='Thù lao'!A22)*(RIGHT('Phân công'!$C$2:$C$259,3)="04C")*('Phân công'!#REF!="Tiếng Anh"))</f>
        <v>#REF!</v>
      </c>
      <c r="AU22" s="26" t="e">
        <f>SUMPRODUCT(('Phân công'!#REF!='Thù lao'!A22)*(RIGHT('Phân công'!$C$2:$C$259,3)="14C")*('Phân công'!#REF!="Tiếng Việt"))</f>
        <v>#REF!</v>
      </c>
      <c r="AV22" s="27" t="e">
        <f>SUMPRODUCT(('Phân công'!#REF!='Thù lao'!A22)*(RIGHT('Phân công'!$C$2:$C$259,3)="14C")*('Phân công'!#REF!="Tiếng Anh"))</f>
        <v>#REF!</v>
      </c>
      <c r="AW22" s="26" t="e">
        <f>SUMPRODUCT(('Phân công'!#REF!='Thù lao'!A22)*(RIGHT('Phân công'!$C$2:$C$259,3)="4CA"))</f>
        <v>#REF!</v>
      </c>
      <c r="AX22" s="25" t="e">
        <f t="shared" ref="AX22:BE22" si="28">AP22+AH22+Z22+R22</f>
        <v>#REF!</v>
      </c>
      <c r="AY22" s="25" t="e">
        <f t="shared" si="28"/>
        <v>#REF!</v>
      </c>
      <c r="AZ22" s="25" t="e">
        <f t="shared" si="28"/>
        <v>#REF!</v>
      </c>
      <c r="BA22" s="25" t="e">
        <f t="shared" si="28"/>
        <v>#REF!</v>
      </c>
      <c r="BB22" s="25" t="e">
        <f t="shared" si="28"/>
        <v>#REF!</v>
      </c>
      <c r="BC22" s="25" t="e">
        <f t="shared" si="28"/>
        <v>#REF!</v>
      </c>
      <c r="BD22" s="25" t="e">
        <f t="shared" si="28"/>
        <v>#REF!</v>
      </c>
      <c r="BE22" s="25" t="e">
        <f t="shared" si="28"/>
        <v>#REF!</v>
      </c>
      <c r="BF22" s="30" t="e">
        <f t="shared" si="1"/>
        <v>#REF!</v>
      </c>
      <c r="BG22" s="30" t="e">
        <f t="shared" si="2"/>
        <v>#REF!</v>
      </c>
      <c r="BH22" s="30" t="e">
        <f t="shared" si="3"/>
        <v>#REF!</v>
      </c>
      <c r="BI22" s="30" t="e">
        <f t="shared" si="4"/>
        <v>#REF!</v>
      </c>
      <c r="BJ22" s="30" t="e">
        <f t="shared" si="5"/>
        <v>#REF!</v>
      </c>
      <c r="BK22" s="30" t="e">
        <f t="shared" si="6"/>
        <v>#REF!</v>
      </c>
      <c r="BL22" s="31" t="e">
        <f t="shared" si="7"/>
        <v>#REF!</v>
      </c>
      <c r="BM22" s="31" t="e">
        <f t="shared" si="8"/>
        <v>#REF!</v>
      </c>
      <c r="BN22" s="31" t="e">
        <f t="shared" si="9"/>
        <v>#REF!</v>
      </c>
      <c r="BO22" s="31" t="e">
        <f t="shared" si="10"/>
        <v>#REF!</v>
      </c>
    </row>
    <row r="23" spans="1:67" ht="15.75" customHeight="1" x14ac:dyDescent="0.35">
      <c r="A23" s="1"/>
      <c r="B23" s="33" t="e">
        <f t="shared" ref="B23:BO23" si="29">SUM(B4:B22)</f>
        <v>#REF!</v>
      </c>
      <c r="C23" s="33" t="e">
        <f t="shared" si="29"/>
        <v>#REF!</v>
      </c>
      <c r="D23" s="33" t="e">
        <f t="shared" si="29"/>
        <v>#REF!</v>
      </c>
      <c r="E23" s="33" t="e">
        <f t="shared" si="29"/>
        <v>#REF!</v>
      </c>
      <c r="F23" s="33" t="e">
        <f t="shared" si="29"/>
        <v>#REF!</v>
      </c>
      <c r="G23" s="33" t="e">
        <f t="shared" si="29"/>
        <v>#REF!</v>
      </c>
      <c r="H23" s="33" t="e">
        <f t="shared" si="29"/>
        <v>#REF!</v>
      </c>
      <c r="I23" s="33" t="e">
        <f t="shared" si="29"/>
        <v>#REF!</v>
      </c>
      <c r="J23" s="33" t="e">
        <f t="shared" si="29"/>
        <v>#REF!</v>
      </c>
      <c r="K23" s="33" t="e">
        <f t="shared" si="29"/>
        <v>#REF!</v>
      </c>
      <c r="L23" s="33" t="e">
        <f t="shared" si="29"/>
        <v>#REF!</v>
      </c>
      <c r="M23" s="33" t="e">
        <f t="shared" si="29"/>
        <v>#REF!</v>
      </c>
      <c r="N23" s="33" t="e">
        <f t="shared" si="29"/>
        <v>#REF!</v>
      </c>
      <c r="O23" s="33" t="e">
        <f t="shared" si="29"/>
        <v>#REF!</v>
      </c>
      <c r="P23" s="33" t="e">
        <f t="shared" si="29"/>
        <v>#REF!</v>
      </c>
      <c r="Q23" s="33" t="e">
        <f t="shared" si="29"/>
        <v>#REF!</v>
      </c>
      <c r="R23" s="33" t="e">
        <f t="shared" si="29"/>
        <v>#REF!</v>
      </c>
      <c r="S23" s="33" t="e">
        <f t="shared" si="29"/>
        <v>#REF!</v>
      </c>
      <c r="T23" s="33" t="e">
        <f t="shared" si="29"/>
        <v>#REF!</v>
      </c>
      <c r="U23" s="33" t="e">
        <f t="shared" si="29"/>
        <v>#REF!</v>
      </c>
      <c r="V23" s="33" t="e">
        <f t="shared" si="29"/>
        <v>#REF!</v>
      </c>
      <c r="W23" s="33" t="e">
        <f t="shared" si="29"/>
        <v>#REF!</v>
      </c>
      <c r="X23" s="33" t="e">
        <f t="shared" si="29"/>
        <v>#REF!</v>
      </c>
      <c r="Y23" s="33" t="e">
        <f t="shared" si="29"/>
        <v>#REF!</v>
      </c>
      <c r="Z23" s="33" t="e">
        <f t="shared" si="29"/>
        <v>#REF!</v>
      </c>
      <c r="AA23" s="33" t="e">
        <f t="shared" si="29"/>
        <v>#REF!</v>
      </c>
      <c r="AB23" s="33" t="e">
        <f t="shared" si="29"/>
        <v>#REF!</v>
      </c>
      <c r="AC23" s="33" t="e">
        <f t="shared" si="29"/>
        <v>#REF!</v>
      </c>
      <c r="AD23" s="33" t="e">
        <f t="shared" si="29"/>
        <v>#REF!</v>
      </c>
      <c r="AE23" s="33" t="e">
        <f t="shared" si="29"/>
        <v>#REF!</v>
      </c>
      <c r="AF23" s="33" t="e">
        <f t="shared" si="29"/>
        <v>#REF!</v>
      </c>
      <c r="AG23" s="33" t="e">
        <f t="shared" si="29"/>
        <v>#REF!</v>
      </c>
      <c r="AH23" s="33" t="e">
        <f t="shared" si="29"/>
        <v>#REF!</v>
      </c>
      <c r="AI23" s="33" t="e">
        <f t="shared" si="29"/>
        <v>#REF!</v>
      </c>
      <c r="AJ23" s="33" t="e">
        <f t="shared" si="29"/>
        <v>#REF!</v>
      </c>
      <c r="AK23" s="33" t="e">
        <f t="shared" si="29"/>
        <v>#REF!</v>
      </c>
      <c r="AL23" s="33" t="e">
        <f t="shared" si="29"/>
        <v>#REF!</v>
      </c>
      <c r="AM23" s="33" t="e">
        <f t="shared" si="29"/>
        <v>#REF!</v>
      </c>
      <c r="AN23" s="33" t="e">
        <f t="shared" si="29"/>
        <v>#REF!</v>
      </c>
      <c r="AO23" s="33" t="e">
        <f t="shared" si="29"/>
        <v>#REF!</v>
      </c>
      <c r="AP23" s="33" t="e">
        <f t="shared" si="29"/>
        <v>#REF!</v>
      </c>
      <c r="AQ23" s="33" t="e">
        <f t="shared" si="29"/>
        <v>#REF!</v>
      </c>
      <c r="AR23" s="33" t="e">
        <f t="shared" si="29"/>
        <v>#REF!</v>
      </c>
      <c r="AS23" s="33" t="e">
        <f t="shared" si="29"/>
        <v>#REF!</v>
      </c>
      <c r="AT23" s="33" t="e">
        <f t="shared" si="29"/>
        <v>#REF!</v>
      </c>
      <c r="AU23" s="33" t="e">
        <f t="shared" si="29"/>
        <v>#REF!</v>
      </c>
      <c r="AV23" s="33" t="e">
        <f t="shared" si="29"/>
        <v>#REF!</v>
      </c>
      <c r="AW23" s="33" t="e">
        <f t="shared" si="29"/>
        <v>#REF!</v>
      </c>
      <c r="AX23" s="33" t="e">
        <f t="shared" si="29"/>
        <v>#REF!</v>
      </c>
      <c r="AY23" s="33" t="e">
        <f t="shared" si="29"/>
        <v>#REF!</v>
      </c>
      <c r="AZ23" s="33" t="e">
        <f t="shared" si="29"/>
        <v>#REF!</v>
      </c>
      <c r="BA23" s="33" t="e">
        <f t="shared" si="29"/>
        <v>#REF!</v>
      </c>
      <c r="BB23" s="33" t="e">
        <f t="shared" si="29"/>
        <v>#REF!</v>
      </c>
      <c r="BC23" s="33" t="e">
        <f t="shared" si="29"/>
        <v>#REF!</v>
      </c>
      <c r="BD23" s="33" t="e">
        <f t="shared" si="29"/>
        <v>#REF!</v>
      </c>
      <c r="BE23" s="33" t="e">
        <f t="shared" si="29"/>
        <v>#REF!</v>
      </c>
      <c r="BF23" s="34" t="e">
        <f t="shared" si="29"/>
        <v>#REF!</v>
      </c>
      <c r="BG23" s="34" t="e">
        <f t="shared" si="29"/>
        <v>#REF!</v>
      </c>
      <c r="BH23" s="34" t="e">
        <f t="shared" si="29"/>
        <v>#REF!</v>
      </c>
      <c r="BI23" s="34" t="e">
        <f t="shared" si="29"/>
        <v>#REF!</v>
      </c>
      <c r="BJ23" s="34" t="e">
        <f t="shared" si="29"/>
        <v>#REF!</v>
      </c>
      <c r="BK23" s="34" t="e">
        <f t="shared" si="29"/>
        <v>#REF!</v>
      </c>
      <c r="BL23" s="34" t="e">
        <f t="shared" si="29"/>
        <v>#REF!</v>
      </c>
      <c r="BM23" s="34" t="e">
        <f t="shared" si="29"/>
        <v>#REF!</v>
      </c>
      <c r="BN23" s="34" t="e">
        <f t="shared" si="29"/>
        <v>#REF!</v>
      </c>
      <c r="BO23" s="34" t="e">
        <f t="shared" si="29"/>
        <v>#REF!</v>
      </c>
    </row>
    <row r="24" spans="1:67" ht="15.75" customHeight="1" x14ac:dyDescent="0.25"/>
    <row r="25" spans="1:67" ht="15.75" customHeight="1" x14ac:dyDescent="0.25">
      <c r="A25" s="35"/>
    </row>
    <row r="26" spans="1:67" ht="15.75" customHeight="1" x14ac:dyDescent="0.25">
      <c r="A26" s="35"/>
    </row>
    <row r="27" spans="1:67" ht="15.75" customHeight="1" x14ac:dyDescent="0.25"/>
    <row r="28" spans="1:67" ht="15.75" customHeight="1" x14ac:dyDescent="0.25"/>
    <row r="29" spans="1:67" ht="15.75" customHeight="1" x14ac:dyDescent="0.25"/>
    <row r="30" spans="1:67" ht="15.75" customHeight="1" x14ac:dyDescent="0.25"/>
    <row r="31" spans="1:67" ht="15.75" customHeight="1" x14ac:dyDescent="0.25"/>
    <row r="32" spans="1:6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L2:AL23" xr:uid="{00000000-0009-0000-0000-000003000000}"/>
  <mergeCells count="11">
    <mergeCell ref="BL1:BL2"/>
    <mergeCell ref="BM1:BM2"/>
    <mergeCell ref="BN1:BN2"/>
    <mergeCell ref="BO1:BO2"/>
    <mergeCell ref="B1:I1"/>
    <mergeCell ref="J1:Q1"/>
    <mergeCell ref="R1:Y1"/>
    <mergeCell ref="Z1:AG1"/>
    <mergeCell ref="AH1:AO1"/>
    <mergeCell ref="AP1:AW1"/>
    <mergeCell ref="AX1:BE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253"/>
  <sheetViews>
    <sheetView workbookViewId="0"/>
  </sheetViews>
  <sheetFormatPr defaultColWidth="12.54296875" defaultRowHeight="15" customHeight="1" x14ac:dyDescent="0.25"/>
  <sheetData>
    <row r="1" spans="1:23" ht="15" customHeight="1" x14ac:dyDescent="0.25">
      <c r="A1" s="36" t="s">
        <v>1069</v>
      </c>
      <c r="B1" s="37" t="s">
        <v>1070</v>
      </c>
      <c r="C1" s="37" t="s">
        <v>1071</v>
      </c>
      <c r="D1" s="37" t="s">
        <v>1</v>
      </c>
      <c r="E1" s="37" t="s">
        <v>1072</v>
      </c>
      <c r="F1" s="37" t="s">
        <v>1073</v>
      </c>
      <c r="G1" s="37" t="s">
        <v>1074</v>
      </c>
      <c r="H1" s="37" t="s">
        <v>1075</v>
      </c>
      <c r="I1" s="37" t="s">
        <v>1076</v>
      </c>
      <c r="J1" s="37" t="s">
        <v>1077</v>
      </c>
      <c r="K1" s="37" t="s">
        <v>1078</v>
      </c>
      <c r="L1" s="37" t="s">
        <v>1079</v>
      </c>
      <c r="M1" s="37" t="s">
        <v>1080</v>
      </c>
      <c r="N1" s="37" t="s">
        <v>1081</v>
      </c>
      <c r="O1" s="37" t="s">
        <v>1082</v>
      </c>
      <c r="P1" s="37" t="s">
        <v>1083</v>
      </c>
      <c r="Q1" s="37" t="s">
        <v>1084</v>
      </c>
      <c r="R1" s="37" t="s">
        <v>1085</v>
      </c>
      <c r="S1" s="37" t="s">
        <v>1086</v>
      </c>
      <c r="T1" s="37" t="s">
        <v>1087</v>
      </c>
      <c r="U1" s="37" t="s">
        <v>1088</v>
      </c>
      <c r="V1" s="37" t="s">
        <v>1089</v>
      </c>
      <c r="W1" s="38" t="s">
        <v>1090</v>
      </c>
    </row>
    <row r="2" spans="1:23" ht="15" customHeight="1" x14ac:dyDescent="0.3">
      <c r="A2" s="39">
        <v>46060.580011574071</v>
      </c>
      <c r="B2" s="40" t="s">
        <v>1091</v>
      </c>
      <c r="C2" s="40" t="s">
        <v>591</v>
      </c>
      <c r="D2" s="40" t="s">
        <v>590</v>
      </c>
      <c r="E2" s="40" t="s">
        <v>592</v>
      </c>
      <c r="F2" s="40" t="s">
        <v>1092</v>
      </c>
      <c r="G2" s="40" t="s">
        <v>1093</v>
      </c>
      <c r="H2" s="40" t="s">
        <v>15</v>
      </c>
      <c r="I2" s="41" t="s">
        <v>1094</v>
      </c>
      <c r="J2" s="41" t="s">
        <v>1095</v>
      </c>
      <c r="K2" s="71" t="s">
        <v>1096</v>
      </c>
      <c r="L2" s="70"/>
      <c r="M2" s="70"/>
      <c r="N2" s="42"/>
      <c r="O2" s="42"/>
      <c r="P2" s="42"/>
      <c r="Q2" s="42"/>
      <c r="R2" s="42"/>
      <c r="S2" s="42"/>
      <c r="T2" s="42"/>
      <c r="U2" s="42"/>
      <c r="V2" s="42"/>
      <c r="W2" s="43"/>
    </row>
    <row r="3" spans="1:23" ht="15" customHeight="1" x14ac:dyDescent="0.3">
      <c r="A3" s="44">
        <v>46073.411898148152</v>
      </c>
      <c r="B3" s="45" t="s">
        <v>882</v>
      </c>
      <c r="C3" s="45" t="s">
        <v>295</v>
      </c>
      <c r="D3" s="45" t="s">
        <v>294</v>
      </c>
      <c r="E3" s="45" t="s">
        <v>263</v>
      </c>
      <c r="F3" s="45" t="s">
        <v>1092</v>
      </c>
      <c r="G3" s="45" t="s">
        <v>1097</v>
      </c>
      <c r="H3" s="45" t="s">
        <v>8</v>
      </c>
      <c r="I3" s="41" t="s">
        <v>1098</v>
      </c>
      <c r="J3" s="41" t="s">
        <v>1099</v>
      </c>
      <c r="K3" s="71" t="s">
        <v>1100</v>
      </c>
      <c r="L3" s="70"/>
      <c r="M3" s="70"/>
      <c r="N3" s="46"/>
      <c r="O3" s="46"/>
      <c r="P3" s="46"/>
      <c r="Q3" s="46"/>
      <c r="R3" s="46"/>
      <c r="S3" s="46"/>
      <c r="T3" s="46"/>
      <c r="U3" s="46"/>
      <c r="V3" s="46"/>
      <c r="W3" s="47"/>
    </row>
    <row r="4" spans="1:23" ht="15" customHeight="1" x14ac:dyDescent="0.3">
      <c r="A4" s="39">
        <v>46077.356041666666</v>
      </c>
      <c r="B4" s="40" t="s">
        <v>889</v>
      </c>
      <c r="C4" s="40" t="s">
        <v>1101</v>
      </c>
      <c r="D4" s="40" t="s">
        <v>300</v>
      </c>
      <c r="E4" s="40" t="s">
        <v>263</v>
      </c>
      <c r="F4" s="40" t="s">
        <v>1092</v>
      </c>
      <c r="G4" s="40" t="s">
        <v>1102</v>
      </c>
      <c r="H4" s="40" t="s">
        <v>15</v>
      </c>
      <c r="I4" s="41" t="s">
        <v>1103</v>
      </c>
      <c r="J4" s="41" t="s">
        <v>1104</v>
      </c>
      <c r="K4" s="71" t="s">
        <v>1105</v>
      </c>
      <c r="L4" s="70"/>
      <c r="M4" s="70"/>
      <c r="N4" s="42"/>
      <c r="O4" s="42"/>
      <c r="P4" s="42"/>
      <c r="Q4" s="42"/>
      <c r="R4" s="42"/>
      <c r="S4" s="42"/>
      <c r="T4" s="42"/>
      <c r="U4" s="42"/>
      <c r="V4" s="42"/>
      <c r="W4" s="43"/>
    </row>
    <row r="5" spans="1:23" ht="15" customHeight="1" x14ac:dyDescent="0.3">
      <c r="A5" s="44">
        <v>46077.796076388891</v>
      </c>
      <c r="B5" s="45" t="s">
        <v>698</v>
      </c>
      <c r="C5" s="45" t="s">
        <v>324</v>
      </c>
      <c r="D5" s="45" t="s">
        <v>323</v>
      </c>
      <c r="E5" s="45" t="s">
        <v>130</v>
      </c>
      <c r="F5" s="45" t="s">
        <v>1092</v>
      </c>
      <c r="G5" s="45" t="s">
        <v>1106</v>
      </c>
      <c r="H5" s="45" t="s">
        <v>15</v>
      </c>
      <c r="I5" s="41" t="s">
        <v>1107</v>
      </c>
      <c r="J5" s="41" t="s">
        <v>1108</v>
      </c>
      <c r="K5" s="71" t="s">
        <v>1109</v>
      </c>
      <c r="L5" s="70"/>
      <c r="M5" s="70"/>
      <c r="N5" s="46"/>
      <c r="O5" s="46"/>
      <c r="P5" s="46"/>
      <c r="Q5" s="46"/>
      <c r="R5" s="46"/>
      <c r="S5" s="46"/>
      <c r="T5" s="46"/>
      <c r="U5" s="46"/>
      <c r="V5" s="46"/>
      <c r="W5" s="47"/>
    </row>
    <row r="6" spans="1:23" ht="15" customHeight="1" x14ac:dyDescent="0.3">
      <c r="A6" s="39">
        <v>46077.835324074076</v>
      </c>
      <c r="B6" s="40" t="s">
        <v>832</v>
      </c>
      <c r="C6" s="40" t="s">
        <v>164</v>
      </c>
      <c r="D6" s="40" t="s">
        <v>163</v>
      </c>
      <c r="E6" s="40" t="s">
        <v>29</v>
      </c>
      <c r="F6" s="40" t="s">
        <v>1092</v>
      </c>
      <c r="G6" s="40" t="s">
        <v>1110</v>
      </c>
      <c r="H6" s="40" t="s">
        <v>8</v>
      </c>
      <c r="I6" s="41" t="s">
        <v>1111</v>
      </c>
      <c r="J6" s="41" t="s">
        <v>1112</v>
      </c>
      <c r="K6" s="71" t="s">
        <v>1113</v>
      </c>
      <c r="L6" s="70"/>
      <c r="M6" s="70"/>
      <c r="N6" s="42"/>
      <c r="O6" s="42"/>
      <c r="P6" s="42"/>
      <c r="Q6" s="42"/>
      <c r="R6" s="42"/>
      <c r="S6" s="42"/>
      <c r="T6" s="42"/>
      <c r="U6" s="42"/>
      <c r="V6" s="42"/>
      <c r="W6" s="43"/>
    </row>
    <row r="7" spans="1:23" ht="15" customHeight="1" x14ac:dyDescent="0.3">
      <c r="A7" s="44">
        <v>46078.944467592592</v>
      </c>
      <c r="B7" s="45" t="s">
        <v>655</v>
      </c>
      <c r="C7" s="45" t="s">
        <v>474</v>
      </c>
      <c r="D7" s="45" t="s">
        <v>473</v>
      </c>
      <c r="E7" s="45" t="s">
        <v>130</v>
      </c>
      <c r="F7" s="45" t="s">
        <v>1092</v>
      </c>
      <c r="G7" s="45" t="s">
        <v>1114</v>
      </c>
      <c r="H7" s="45" t="s">
        <v>15</v>
      </c>
      <c r="I7" s="41" t="s">
        <v>1115</v>
      </c>
      <c r="J7" s="41" t="s">
        <v>1116</v>
      </c>
      <c r="K7" s="71" t="s">
        <v>1117</v>
      </c>
      <c r="L7" s="70"/>
      <c r="M7" s="70"/>
      <c r="N7" s="46"/>
      <c r="O7" s="46"/>
      <c r="P7" s="46"/>
      <c r="Q7" s="46"/>
      <c r="R7" s="46"/>
      <c r="S7" s="46"/>
      <c r="T7" s="46"/>
      <c r="U7" s="46"/>
      <c r="V7" s="46"/>
      <c r="W7" s="47"/>
    </row>
    <row r="8" spans="1:23" ht="15" customHeight="1" x14ac:dyDescent="0.3">
      <c r="A8" s="39">
        <v>46079.399814814817</v>
      </c>
      <c r="B8" s="40" t="s">
        <v>884</v>
      </c>
      <c r="C8" s="40" t="s">
        <v>1118</v>
      </c>
      <c r="D8" s="40" t="s">
        <v>296</v>
      </c>
      <c r="E8" s="40" t="s">
        <v>263</v>
      </c>
      <c r="F8" s="40" t="s">
        <v>1092</v>
      </c>
      <c r="G8" s="40" t="s">
        <v>1119</v>
      </c>
      <c r="H8" s="40" t="s">
        <v>15</v>
      </c>
      <c r="I8" s="41" t="s">
        <v>1120</v>
      </c>
      <c r="J8" s="41" t="s">
        <v>1121</v>
      </c>
      <c r="K8" s="71" t="s">
        <v>1122</v>
      </c>
      <c r="L8" s="70"/>
      <c r="M8" s="70"/>
      <c r="N8" s="42"/>
      <c r="O8" s="42"/>
      <c r="P8" s="42"/>
      <c r="Q8" s="42"/>
      <c r="R8" s="42"/>
      <c r="S8" s="42"/>
      <c r="T8" s="42"/>
      <c r="U8" s="42"/>
      <c r="V8" s="42"/>
      <c r="W8" s="43"/>
    </row>
    <row r="9" spans="1:23" ht="15" customHeight="1" x14ac:dyDescent="0.3">
      <c r="A9" s="44">
        <v>46079.43644675926</v>
      </c>
      <c r="B9" s="45" t="s">
        <v>659</v>
      </c>
      <c r="C9" s="45" t="s">
        <v>512</v>
      </c>
      <c r="D9" s="45" t="s">
        <v>511</v>
      </c>
      <c r="E9" s="45" t="s">
        <v>130</v>
      </c>
      <c r="F9" s="45" t="s">
        <v>1092</v>
      </c>
      <c r="G9" s="45" t="s">
        <v>1123</v>
      </c>
      <c r="H9" s="45" t="s">
        <v>15</v>
      </c>
      <c r="I9" s="41" t="s">
        <v>1124</v>
      </c>
      <c r="J9" s="41" t="s">
        <v>1125</v>
      </c>
      <c r="K9" s="71" t="s">
        <v>1126</v>
      </c>
      <c r="L9" s="70"/>
      <c r="M9" s="70"/>
      <c r="N9" s="46"/>
      <c r="O9" s="46"/>
      <c r="P9" s="46"/>
      <c r="Q9" s="46"/>
      <c r="R9" s="46"/>
      <c r="S9" s="46"/>
      <c r="T9" s="46"/>
      <c r="U9" s="46"/>
      <c r="V9" s="46"/>
      <c r="W9" s="47"/>
    </row>
    <row r="10" spans="1:23" ht="15" customHeight="1" x14ac:dyDescent="0.3">
      <c r="A10" s="39">
        <v>46079.518113425926</v>
      </c>
      <c r="B10" s="40" t="s">
        <v>972</v>
      </c>
      <c r="C10" s="40" t="s">
        <v>433</v>
      </c>
      <c r="D10" s="40" t="s">
        <v>432</v>
      </c>
      <c r="E10" s="40" t="s">
        <v>18</v>
      </c>
      <c r="F10" s="40" t="s">
        <v>1092</v>
      </c>
      <c r="G10" s="40" t="s">
        <v>1127</v>
      </c>
      <c r="H10" s="40" t="s">
        <v>15</v>
      </c>
      <c r="I10" s="41" t="s">
        <v>1128</v>
      </c>
      <c r="J10" s="41" t="s">
        <v>1129</v>
      </c>
      <c r="K10" s="71" t="s">
        <v>1130</v>
      </c>
      <c r="L10" s="70"/>
      <c r="M10" s="70"/>
      <c r="N10" s="42"/>
      <c r="O10" s="42"/>
      <c r="P10" s="42"/>
      <c r="Q10" s="42"/>
      <c r="R10" s="42"/>
      <c r="S10" s="42"/>
      <c r="T10" s="42"/>
      <c r="U10" s="42"/>
      <c r="V10" s="42"/>
      <c r="W10" s="43"/>
    </row>
    <row r="11" spans="1:23" ht="15" customHeight="1" x14ac:dyDescent="0.3">
      <c r="A11" s="44">
        <v>46079.547708333332</v>
      </c>
      <c r="B11" s="45" t="s">
        <v>697</v>
      </c>
      <c r="C11" s="45" t="s">
        <v>322</v>
      </c>
      <c r="D11" s="45" t="s">
        <v>321</v>
      </c>
      <c r="E11" s="45" t="s">
        <v>130</v>
      </c>
      <c r="F11" s="45" t="s">
        <v>1092</v>
      </c>
      <c r="G11" s="45" t="s">
        <v>1131</v>
      </c>
      <c r="H11" s="45" t="s">
        <v>15</v>
      </c>
      <c r="I11" s="41" t="s">
        <v>1132</v>
      </c>
      <c r="J11" s="41" t="s">
        <v>1133</v>
      </c>
      <c r="K11" s="71" t="s">
        <v>1134</v>
      </c>
      <c r="L11" s="70"/>
      <c r="M11" s="70"/>
      <c r="N11" s="46"/>
      <c r="O11" s="46"/>
      <c r="P11" s="46"/>
      <c r="Q11" s="46"/>
      <c r="R11" s="46"/>
      <c r="S11" s="46"/>
      <c r="T11" s="46"/>
      <c r="U11" s="46"/>
      <c r="V11" s="46"/>
      <c r="W11" s="47"/>
    </row>
    <row r="12" spans="1:23" ht="15" customHeight="1" x14ac:dyDescent="0.3">
      <c r="A12" s="39">
        <v>46079.588263888887</v>
      </c>
      <c r="B12" s="40" t="s">
        <v>748</v>
      </c>
      <c r="C12" s="40" t="s">
        <v>350</v>
      </c>
      <c r="D12" s="40" t="s">
        <v>349</v>
      </c>
      <c r="E12" s="40" t="s">
        <v>130</v>
      </c>
      <c r="F12" s="40" t="s">
        <v>1092</v>
      </c>
      <c r="G12" s="40" t="s">
        <v>1135</v>
      </c>
      <c r="H12" s="40" t="s">
        <v>15</v>
      </c>
      <c r="I12" s="41" t="s">
        <v>1136</v>
      </c>
      <c r="J12" s="41" t="s">
        <v>1137</v>
      </c>
      <c r="K12" s="71" t="s">
        <v>1138</v>
      </c>
      <c r="L12" s="70"/>
      <c r="M12" s="70"/>
      <c r="N12" s="42"/>
      <c r="O12" s="42"/>
      <c r="P12" s="42"/>
      <c r="Q12" s="42"/>
      <c r="R12" s="42"/>
      <c r="S12" s="42"/>
      <c r="T12" s="42"/>
      <c r="U12" s="42"/>
      <c r="V12" s="42"/>
      <c r="W12" s="43"/>
    </row>
    <row r="13" spans="1:23" ht="15" customHeight="1" x14ac:dyDescent="0.3">
      <c r="A13" s="44">
        <v>46079.607662037037</v>
      </c>
      <c r="B13" s="45" t="s">
        <v>699</v>
      </c>
      <c r="C13" s="45" t="s">
        <v>326</v>
      </c>
      <c r="D13" s="45" t="s">
        <v>325</v>
      </c>
      <c r="E13" s="45" t="s">
        <v>130</v>
      </c>
      <c r="F13" s="45" t="s">
        <v>1092</v>
      </c>
      <c r="G13" s="45" t="s">
        <v>1139</v>
      </c>
      <c r="H13" s="45" t="s">
        <v>15</v>
      </c>
      <c r="I13" s="41" t="s">
        <v>1140</v>
      </c>
      <c r="J13" s="41" t="s">
        <v>1141</v>
      </c>
      <c r="K13" s="71" t="s">
        <v>1142</v>
      </c>
      <c r="L13" s="70"/>
      <c r="M13" s="70"/>
      <c r="N13" s="46"/>
      <c r="O13" s="46"/>
      <c r="P13" s="46"/>
      <c r="Q13" s="46"/>
      <c r="R13" s="46"/>
      <c r="S13" s="46"/>
      <c r="T13" s="46"/>
      <c r="U13" s="46"/>
      <c r="V13" s="46"/>
      <c r="W13" s="47"/>
    </row>
    <row r="14" spans="1:23" ht="15" customHeight="1" x14ac:dyDescent="0.3">
      <c r="A14" s="39">
        <v>46079.609351851854</v>
      </c>
      <c r="B14" s="40" t="s">
        <v>829</v>
      </c>
      <c r="C14" s="40" t="s">
        <v>104</v>
      </c>
      <c r="D14" s="40" t="s">
        <v>103</v>
      </c>
      <c r="E14" s="40" t="s">
        <v>29</v>
      </c>
      <c r="F14" s="40" t="s">
        <v>1092</v>
      </c>
      <c r="G14" s="40" t="s">
        <v>1143</v>
      </c>
      <c r="H14" s="40" t="s">
        <v>8</v>
      </c>
      <c r="I14" s="41" t="s">
        <v>1144</v>
      </c>
      <c r="J14" s="41" t="s">
        <v>1145</v>
      </c>
      <c r="K14" s="71" t="s">
        <v>1146</v>
      </c>
      <c r="L14" s="70"/>
      <c r="M14" s="70"/>
      <c r="N14" s="42"/>
      <c r="O14" s="42"/>
      <c r="P14" s="42"/>
      <c r="Q14" s="42"/>
      <c r="R14" s="42"/>
      <c r="S14" s="42"/>
      <c r="T14" s="42"/>
      <c r="U14" s="42"/>
      <c r="V14" s="42"/>
      <c r="W14" s="43"/>
    </row>
    <row r="15" spans="1:23" ht="15" customHeight="1" x14ac:dyDescent="0.3">
      <c r="A15" s="44">
        <v>46079.625254629631</v>
      </c>
      <c r="B15" s="45" t="s">
        <v>1147</v>
      </c>
      <c r="C15" s="45" t="s">
        <v>314</v>
      </c>
      <c r="D15" s="45" t="s">
        <v>313</v>
      </c>
      <c r="E15" s="48">
        <v>414</v>
      </c>
      <c r="F15" s="45" t="s">
        <v>1092</v>
      </c>
      <c r="G15" s="45" t="s">
        <v>1148</v>
      </c>
      <c r="H15" s="45" t="s">
        <v>15</v>
      </c>
      <c r="I15" s="41" t="s">
        <v>1149</v>
      </c>
      <c r="J15" s="41" t="s">
        <v>1150</v>
      </c>
      <c r="K15" s="71" t="s">
        <v>1151</v>
      </c>
      <c r="L15" s="70"/>
      <c r="M15" s="70"/>
      <c r="N15" s="46"/>
      <c r="O15" s="46"/>
      <c r="P15" s="46"/>
      <c r="Q15" s="46"/>
      <c r="R15" s="46"/>
      <c r="S15" s="46"/>
      <c r="T15" s="46"/>
      <c r="U15" s="46"/>
      <c r="V15" s="46"/>
      <c r="W15" s="47"/>
    </row>
    <row r="16" spans="1:23" ht="15" customHeight="1" x14ac:dyDescent="0.3">
      <c r="A16" s="39">
        <v>46079.628703703704</v>
      </c>
      <c r="B16" s="40" t="s">
        <v>822</v>
      </c>
      <c r="C16" s="40" t="s">
        <v>188</v>
      </c>
      <c r="D16" s="40" t="s">
        <v>187</v>
      </c>
      <c r="E16" s="40" t="s">
        <v>29</v>
      </c>
      <c r="F16" s="40" t="s">
        <v>1092</v>
      </c>
      <c r="G16" s="40" t="s">
        <v>1152</v>
      </c>
      <c r="H16" s="40" t="s">
        <v>15</v>
      </c>
      <c r="I16" s="41" t="s">
        <v>1153</v>
      </c>
      <c r="J16" s="41" t="s">
        <v>1154</v>
      </c>
      <c r="K16" s="71" t="s">
        <v>1155</v>
      </c>
      <c r="L16" s="70"/>
      <c r="M16" s="70"/>
      <c r="N16" s="42"/>
      <c r="O16" s="42"/>
      <c r="P16" s="42"/>
      <c r="Q16" s="42"/>
      <c r="R16" s="42"/>
      <c r="S16" s="42"/>
      <c r="T16" s="42"/>
      <c r="U16" s="42"/>
      <c r="V16" s="42"/>
      <c r="W16" s="43"/>
    </row>
    <row r="17" spans="1:23" ht="15" customHeight="1" x14ac:dyDescent="0.3">
      <c r="A17" s="44">
        <v>46079.659849537034</v>
      </c>
      <c r="B17" s="45" t="s">
        <v>725</v>
      </c>
      <c r="C17" s="45" t="s">
        <v>336</v>
      </c>
      <c r="D17" s="45" t="s">
        <v>335</v>
      </c>
      <c r="E17" s="45" t="s">
        <v>130</v>
      </c>
      <c r="F17" s="45" t="s">
        <v>1092</v>
      </c>
      <c r="G17" s="45" t="s">
        <v>1156</v>
      </c>
      <c r="H17" s="45" t="s">
        <v>15</v>
      </c>
      <c r="I17" s="41" t="s">
        <v>1157</v>
      </c>
      <c r="J17" s="41" t="s">
        <v>1158</v>
      </c>
      <c r="K17" s="71" t="s">
        <v>1159</v>
      </c>
      <c r="L17" s="70"/>
      <c r="M17" s="70"/>
      <c r="N17" s="46"/>
      <c r="O17" s="46"/>
      <c r="P17" s="46"/>
      <c r="Q17" s="46"/>
      <c r="R17" s="46"/>
      <c r="S17" s="46"/>
      <c r="T17" s="46"/>
      <c r="U17" s="46"/>
      <c r="V17" s="46"/>
      <c r="W17" s="47"/>
    </row>
    <row r="18" spans="1:23" ht="15" customHeight="1" x14ac:dyDescent="0.3">
      <c r="A18" s="39">
        <v>46079.688009259262</v>
      </c>
      <c r="B18" s="40" t="s">
        <v>779</v>
      </c>
      <c r="C18" s="40" t="s">
        <v>132</v>
      </c>
      <c r="D18" s="40" t="s">
        <v>131</v>
      </c>
      <c r="E18" s="40" t="s">
        <v>130</v>
      </c>
      <c r="F18" s="40" t="s">
        <v>1092</v>
      </c>
      <c r="G18" s="40" t="s">
        <v>1160</v>
      </c>
      <c r="H18" s="40" t="s">
        <v>15</v>
      </c>
      <c r="I18" s="41" t="s">
        <v>1161</v>
      </c>
      <c r="J18" s="41" t="s">
        <v>1162</v>
      </c>
      <c r="K18" s="71" t="s">
        <v>1163</v>
      </c>
      <c r="L18" s="70"/>
      <c r="M18" s="70"/>
      <c r="N18" s="42"/>
      <c r="O18" s="42"/>
      <c r="P18" s="42"/>
      <c r="Q18" s="42"/>
      <c r="R18" s="42"/>
      <c r="S18" s="42"/>
      <c r="T18" s="42"/>
      <c r="U18" s="42"/>
      <c r="V18" s="42"/>
      <c r="W18" s="43"/>
    </row>
    <row r="19" spans="1:23" ht="15" customHeight="1" x14ac:dyDescent="0.3">
      <c r="A19" s="44">
        <v>46079.800173611111</v>
      </c>
      <c r="B19" s="45" t="s">
        <v>682</v>
      </c>
      <c r="C19" s="45" t="s">
        <v>275</v>
      </c>
      <c r="D19" s="45" t="s">
        <v>274</v>
      </c>
      <c r="E19" s="45" t="s">
        <v>263</v>
      </c>
      <c r="F19" s="45" t="s">
        <v>1092</v>
      </c>
      <c r="G19" s="45" t="s">
        <v>1164</v>
      </c>
      <c r="H19" s="45" t="s">
        <v>8</v>
      </c>
      <c r="I19" s="41" t="s">
        <v>1165</v>
      </c>
      <c r="J19" s="41" t="s">
        <v>1166</v>
      </c>
      <c r="K19" s="71" t="s">
        <v>1167</v>
      </c>
      <c r="L19" s="70"/>
      <c r="M19" s="70"/>
      <c r="N19" s="46"/>
      <c r="O19" s="46"/>
      <c r="P19" s="46"/>
      <c r="Q19" s="46"/>
      <c r="R19" s="46"/>
      <c r="S19" s="46"/>
      <c r="T19" s="46"/>
      <c r="U19" s="46"/>
      <c r="V19" s="46"/>
      <c r="W19" s="47"/>
    </row>
    <row r="20" spans="1:23" ht="15" customHeight="1" x14ac:dyDescent="0.3">
      <c r="A20" s="39">
        <v>46079.814988425926</v>
      </c>
      <c r="B20" s="40" t="s">
        <v>770</v>
      </c>
      <c r="C20" s="40" t="s">
        <v>526</v>
      </c>
      <c r="D20" s="40" t="s">
        <v>525</v>
      </c>
      <c r="E20" s="40" t="s">
        <v>130</v>
      </c>
      <c r="F20" s="40" t="s">
        <v>1092</v>
      </c>
      <c r="G20" s="40" t="s">
        <v>1168</v>
      </c>
      <c r="H20" s="40" t="s">
        <v>15</v>
      </c>
      <c r="I20" s="41" t="s">
        <v>1169</v>
      </c>
      <c r="J20" s="41" t="s">
        <v>1170</v>
      </c>
      <c r="K20" s="71" t="s">
        <v>1171</v>
      </c>
      <c r="L20" s="70"/>
      <c r="M20" s="70"/>
      <c r="N20" s="42"/>
      <c r="O20" s="42"/>
      <c r="P20" s="42"/>
      <c r="Q20" s="42"/>
      <c r="R20" s="42"/>
      <c r="S20" s="42"/>
      <c r="T20" s="42"/>
      <c r="U20" s="42"/>
      <c r="V20" s="42"/>
      <c r="W20" s="43"/>
    </row>
    <row r="21" spans="1:23" ht="15" customHeight="1" x14ac:dyDescent="0.3">
      <c r="A21" s="44">
        <v>46079.835335648146</v>
      </c>
      <c r="B21" s="45" t="s">
        <v>830</v>
      </c>
      <c r="C21" s="45" t="s">
        <v>162</v>
      </c>
      <c r="D21" s="45" t="s">
        <v>161</v>
      </c>
      <c r="E21" s="45" t="s">
        <v>29</v>
      </c>
      <c r="F21" s="45" t="s">
        <v>1092</v>
      </c>
      <c r="G21" s="45" t="s">
        <v>1172</v>
      </c>
      <c r="H21" s="45" t="s">
        <v>15</v>
      </c>
      <c r="I21" s="41" t="s">
        <v>1173</v>
      </c>
      <c r="J21" s="41" t="s">
        <v>1174</v>
      </c>
      <c r="K21" s="71" t="s">
        <v>1175</v>
      </c>
      <c r="L21" s="70"/>
      <c r="M21" s="70"/>
      <c r="N21" s="46"/>
      <c r="O21" s="46"/>
      <c r="P21" s="46"/>
      <c r="Q21" s="46"/>
      <c r="R21" s="46"/>
      <c r="S21" s="46"/>
      <c r="T21" s="46"/>
      <c r="U21" s="46"/>
      <c r="V21" s="46"/>
      <c r="W21" s="47"/>
    </row>
    <row r="22" spans="1:23" ht="15" customHeight="1" x14ac:dyDescent="0.3">
      <c r="A22" s="39">
        <v>46079.853773148148</v>
      </c>
      <c r="B22" s="40" t="s">
        <v>724</v>
      </c>
      <c r="C22" s="40" t="s">
        <v>486</v>
      </c>
      <c r="D22" s="40" t="s">
        <v>485</v>
      </c>
      <c r="E22" s="40" t="s">
        <v>485</v>
      </c>
      <c r="F22" s="40" t="s">
        <v>1092</v>
      </c>
      <c r="G22" s="40" t="s">
        <v>1176</v>
      </c>
      <c r="H22" s="40" t="s">
        <v>15</v>
      </c>
      <c r="I22" s="41" t="s">
        <v>1177</v>
      </c>
      <c r="J22" s="41" t="s">
        <v>1178</v>
      </c>
      <c r="K22" s="71" t="s">
        <v>1179</v>
      </c>
      <c r="L22" s="70"/>
      <c r="M22" s="70"/>
      <c r="N22" s="42"/>
      <c r="O22" s="42"/>
      <c r="P22" s="42"/>
      <c r="Q22" s="42"/>
      <c r="R22" s="42"/>
      <c r="S22" s="42"/>
      <c r="T22" s="42"/>
      <c r="U22" s="42"/>
      <c r="V22" s="42"/>
      <c r="W22" s="43"/>
    </row>
    <row r="23" spans="1:23" ht="15" customHeight="1" x14ac:dyDescent="0.3">
      <c r="A23" s="44">
        <v>46079.877905092595</v>
      </c>
      <c r="B23" s="45" t="s">
        <v>761</v>
      </c>
      <c r="C23" s="45" t="s">
        <v>516</v>
      </c>
      <c r="D23" s="45" t="s">
        <v>515</v>
      </c>
      <c r="E23" s="45" t="s">
        <v>130</v>
      </c>
      <c r="F23" s="45" t="s">
        <v>1092</v>
      </c>
      <c r="G23" s="45" t="s">
        <v>1180</v>
      </c>
      <c r="H23" s="45" t="s">
        <v>15</v>
      </c>
      <c r="I23" s="41" t="s">
        <v>1181</v>
      </c>
      <c r="J23" s="41" t="s">
        <v>1182</v>
      </c>
      <c r="K23" s="71" t="s">
        <v>1183</v>
      </c>
      <c r="L23" s="70"/>
      <c r="M23" s="70"/>
      <c r="N23" s="46"/>
      <c r="O23" s="46"/>
      <c r="P23" s="46"/>
      <c r="Q23" s="46"/>
      <c r="R23" s="46"/>
      <c r="S23" s="46"/>
      <c r="T23" s="46"/>
      <c r="U23" s="46"/>
      <c r="V23" s="46"/>
      <c r="W23" s="47"/>
    </row>
    <row r="24" spans="1:23" ht="15" customHeight="1" x14ac:dyDescent="0.3">
      <c r="A24" s="39">
        <v>46079.880127314813</v>
      </c>
      <c r="B24" s="40" t="s">
        <v>1184</v>
      </c>
      <c r="C24" s="40" t="s">
        <v>462</v>
      </c>
      <c r="D24" s="40" t="s">
        <v>461</v>
      </c>
      <c r="E24" s="40" t="s">
        <v>29</v>
      </c>
      <c r="F24" s="40" t="s">
        <v>1092</v>
      </c>
      <c r="G24" s="40" t="s">
        <v>1185</v>
      </c>
      <c r="H24" s="40" t="s">
        <v>8</v>
      </c>
      <c r="I24" s="41" t="s">
        <v>1186</v>
      </c>
      <c r="J24" s="41" t="s">
        <v>1187</v>
      </c>
      <c r="K24" s="71" t="s">
        <v>1188</v>
      </c>
      <c r="L24" s="70"/>
      <c r="M24" s="70"/>
      <c r="N24" s="42"/>
      <c r="O24" s="42"/>
      <c r="P24" s="42"/>
      <c r="Q24" s="42"/>
      <c r="R24" s="42"/>
      <c r="S24" s="42"/>
      <c r="T24" s="42"/>
      <c r="U24" s="42"/>
      <c r="V24" s="42"/>
      <c r="W24" s="43"/>
    </row>
    <row r="25" spans="1:23" ht="13" x14ac:dyDescent="0.3">
      <c r="A25" s="44">
        <v>46079.886701388888</v>
      </c>
      <c r="B25" s="45" t="s">
        <v>676</v>
      </c>
      <c r="C25" s="45" t="s">
        <v>271</v>
      </c>
      <c r="D25" s="45" t="s">
        <v>270</v>
      </c>
      <c r="E25" s="45" t="s">
        <v>263</v>
      </c>
      <c r="F25" s="45" t="s">
        <v>1092</v>
      </c>
      <c r="G25" s="45" t="s">
        <v>1189</v>
      </c>
      <c r="H25" s="45" t="s">
        <v>15</v>
      </c>
      <c r="I25" s="41" t="s">
        <v>1190</v>
      </c>
      <c r="J25" s="41" t="s">
        <v>1191</v>
      </c>
      <c r="K25" s="71" t="s">
        <v>1192</v>
      </c>
      <c r="L25" s="70"/>
      <c r="M25" s="70"/>
      <c r="N25" s="46"/>
      <c r="O25" s="46"/>
      <c r="P25" s="46"/>
      <c r="Q25" s="46"/>
      <c r="R25" s="46"/>
      <c r="S25" s="46"/>
      <c r="T25" s="46"/>
      <c r="U25" s="46"/>
      <c r="V25" s="46"/>
      <c r="W25" s="47"/>
    </row>
    <row r="26" spans="1:23" ht="13" x14ac:dyDescent="0.3">
      <c r="A26" s="39">
        <v>46079.905150462961</v>
      </c>
      <c r="B26" s="40" t="s">
        <v>743</v>
      </c>
      <c r="C26" s="40" t="s">
        <v>492</v>
      </c>
      <c r="D26" s="40" t="s">
        <v>491</v>
      </c>
      <c r="E26" s="40" t="s">
        <v>130</v>
      </c>
      <c r="F26" s="40" t="s">
        <v>1092</v>
      </c>
      <c r="G26" s="40" t="s">
        <v>1193</v>
      </c>
      <c r="H26" s="40" t="s">
        <v>15</v>
      </c>
      <c r="I26" s="41" t="s">
        <v>1194</v>
      </c>
      <c r="J26" s="41" t="s">
        <v>1195</v>
      </c>
      <c r="K26" s="71" t="s">
        <v>1196</v>
      </c>
      <c r="L26" s="70"/>
      <c r="M26" s="70"/>
      <c r="N26" s="42"/>
      <c r="O26" s="42"/>
      <c r="P26" s="42"/>
      <c r="Q26" s="42"/>
      <c r="R26" s="42"/>
      <c r="S26" s="42"/>
      <c r="T26" s="42"/>
      <c r="U26" s="42"/>
      <c r="V26" s="42"/>
      <c r="W26" s="43"/>
    </row>
    <row r="27" spans="1:23" ht="13" x14ac:dyDescent="0.3">
      <c r="A27" s="44">
        <v>46079.949212962965</v>
      </c>
      <c r="B27" s="45" t="s">
        <v>769</v>
      </c>
      <c r="C27" s="45" t="s">
        <v>524</v>
      </c>
      <c r="D27" s="45" t="s">
        <v>523</v>
      </c>
      <c r="E27" s="45" t="s">
        <v>130</v>
      </c>
      <c r="F27" s="45" t="s">
        <v>1092</v>
      </c>
      <c r="G27" s="45" t="s">
        <v>1197</v>
      </c>
      <c r="H27" s="45" t="s">
        <v>15</v>
      </c>
      <c r="I27" s="41" t="s">
        <v>1198</v>
      </c>
      <c r="J27" s="41" t="s">
        <v>1199</v>
      </c>
      <c r="K27" s="71" t="s">
        <v>1200</v>
      </c>
      <c r="L27" s="70"/>
      <c r="M27" s="70"/>
      <c r="N27" s="46"/>
      <c r="O27" s="46"/>
      <c r="P27" s="46"/>
      <c r="Q27" s="46"/>
      <c r="R27" s="46"/>
      <c r="S27" s="46"/>
      <c r="T27" s="46"/>
      <c r="U27" s="46"/>
      <c r="V27" s="46"/>
      <c r="W27" s="47"/>
    </row>
    <row r="28" spans="1:23" ht="13" x14ac:dyDescent="0.3">
      <c r="A28" s="39">
        <v>46079.953634259262</v>
      </c>
      <c r="B28" s="40" t="s">
        <v>700</v>
      </c>
      <c r="C28" s="40" t="s">
        <v>281</v>
      </c>
      <c r="D28" s="40" t="s">
        <v>280</v>
      </c>
      <c r="E28" s="40" t="s">
        <v>263</v>
      </c>
      <c r="F28" s="40" t="s">
        <v>1092</v>
      </c>
      <c r="G28" s="40" t="s">
        <v>1201</v>
      </c>
      <c r="H28" s="40" t="s">
        <v>15</v>
      </c>
      <c r="I28" s="41" t="s">
        <v>1202</v>
      </c>
      <c r="J28" s="41" t="s">
        <v>1203</v>
      </c>
      <c r="K28" s="71" t="s">
        <v>1204</v>
      </c>
      <c r="L28" s="70"/>
      <c r="M28" s="70"/>
      <c r="N28" s="42"/>
      <c r="O28" s="42"/>
      <c r="P28" s="42"/>
      <c r="Q28" s="42"/>
      <c r="R28" s="42"/>
      <c r="S28" s="42"/>
      <c r="T28" s="42"/>
      <c r="U28" s="42"/>
      <c r="V28" s="42"/>
      <c r="W28" s="43"/>
    </row>
    <row r="29" spans="1:23" ht="13" x14ac:dyDescent="0.3">
      <c r="A29" s="44">
        <v>46079.967361111114</v>
      </c>
      <c r="B29" s="45" t="s">
        <v>642</v>
      </c>
      <c r="C29" s="45" t="s">
        <v>262</v>
      </c>
      <c r="D29" s="45" t="s">
        <v>261</v>
      </c>
      <c r="E29" s="45" t="s">
        <v>263</v>
      </c>
      <c r="F29" s="45" t="s">
        <v>1092</v>
      </c>
      <c r="G29" s="45" t="s">
        <v>1205</v>
      </c>
      <c r="H29" s="45" t="s">
        <v>15</v>
      </c>
      <c r="I29" s="41" t="s">
        <v>1206</v>
      </c>
      <c r="J29" s="41" t="s">
        <v>1207</v>
      </c>
      <c r="K29" s="71" t="s">
        <v>1208</v>
      </c>
      <c r="L29" s="70"/>
      <c r="M29" s="70"/>
      <c r="N29" s="46"/>
      <c r="O29" s="46"/>
      <c r="P29" s="46"/>
      <c r="Q29" s="46"/>
      <c r="R29" s="46"/>
      <c r="S29" s="46"/>
      <c r="T29" s="46"/>
      <c r="U29" s="46"/>
      <c r="V29" s="46"/>
      <c r="W29" s="47"/>
    </row>
    <row r="30" spans="1:23" ht="13" x14ac:dyDescent="0.3">
      <c r="A30" s="39">
        <v>46079.999872685185</v>
      </c>
      <c r="B30" s="40" t="s">
        <v>815</v>
      </c>
      <c r="C30" s="40" t="s">
        <v>528</v>
      </c>
      <c r="D30" s="40" t="s">
        <v>527</v>
      </c>
      <c r="E30" s="40" t="s">
        <v>29</v>
      </c>
      <c r="F30" s="40" t="s">
        <v>1092</v>
      </c>
      <c r="G30" s="40" t="s">
        <v>1209</v>
      </c>
      <c r="H30" s="40" t="s">
        <v>8</v>
      </c>
      <c r="I30" s="41" t="s">
        <v>1210</v>
      </c>
      <c r="J30" s="41" t="s">
        <v>1211</v>
      </c>
      <c r="K30" s="71" t="s">
        <v>1212</v>
      </c>
      <c r="L30" s="70"/>
      <c r="M30" s="70"/>
      <c r="N30" s="42"/>
      <c r="O30" s="42"/>
      <c r="P30" s="42"/>
      <c r="Q30" s="42"/>
      <c r="R30" s="42"/>
      <c r="S30" s="42"/>
      <c r="T30" s="42"/>
      <c r="U30" s="42"/>
      <c r="V30" s="42"/>
      <c r="W30" s="43"/>
    </row>
    <row r="31" spans="1:23" ht="13" x14ac:dyDescent="0.3">
      <c r="A31" s="44">
        <v>46080.025138888886</v>
      </c>
      <c r="B31" s="45" t="s">
        <v>685</v>
      </c>
      <c r="C31" s="45" t="s">
        <v>182</v>
      </c>
      <c r="D31" s="45" t="s">
        <v>181</v>
      </c>
      <c r="E31" s="45" t="s">
        <v>130</v>
      </c>
      <c r="F31" s="45" t="s">
        <v>1092</v>
      </c>
      <c r="G31" s="45" t="s">
        <v>1213</v>
      </c>
      <c r="H31" s="45" t="s">
        <v>8</v>
      </c>
      <c r="I31" s="41" t="s">
        <v>1214</v>
      </c>
      <c r="J31" s="41" t="s">
        <v>1215</v>
      </c>
      <c r="K31" s="71" t="s">
        <v>1216</v>
      </c>
      <c r="L31" s="70"/>
      <c r="M31" s="70"/>
      <c r="N31" s="46"/>
      <c r="O31" s="46"/>
      <c r="P31" s="46"/>
      <c r="Q31" s="46"/>
      <c r="R31" s="46"/>
      <c r="S31" s="46"/>
      <c r="T31" s="46"/>
      <c r="U31" s="46"/>
      <c r="V31" s="46"/>
      <c r="W31" s="47"/>
    </row>
    <row r="32" spans="1:23" ht="13" x14ac:dyDescent="0.3">
      <c r="A32" s="39">
        <v>46080.054189814815</v>
      </c>
      <c r="B32" s="40" t="s">
        <v>767</v>
      </c>
      <c r="C32" s="40" t="s">
        <v>522</v>
      </c>
      <c r="D32" s="40" t="s">
        <v>521</v>
      </c>
      <c r="E32" s="40" t="s">
        <v>130</v>
      </c>
      <c r="F32" s="40" t="s">
        <v>1092</v>
      </c>
      <c r="G32" s="40" t="s">
        <v>1217</v>
      </c>
      <c r="H32" s="40" t="s">
        <v>15</v>
      </c>
      <c r="I32" s="41" t="s">
        <v>1218</v>
      </c>
      <c r="J32" s="41" t="s">
        <v>1219</v>
      </c>
      <c r="K32" s="71" t="s">
        <v>1220</v>
      </c>
      <c r="L32" s="70"/>
      <c r="M32" s="70"/>
      <c r="N32" s="42"/>
      <c r="O32" s="42"/>
      <c r="P32" s="42"/>
      <c r="Q32" s="42"/>
      <c r="R32" s="42"/>
      <c r="S32" s="42"/>
      <c r="T32" s="42"/>
      <c r="U32" s="42"/>
      <c r="V32" s="42"/>
      <c r="W32" s="43"/>
    </row>
    <row r="33" spans="1:23" ht="13" x14ac:dyDescent="0.3">
      <c r="A33" s="44">
        <v>46080.256469907406</v>
      </c>
      <c r="B33" s="45" t="s">
        <v>788</v>
      </c>
      <c r="C33" s="45" t="s">
        <v>156</v>
      </c>
      <c r="D33" s="45" t="s">
        <v>155</v>
      </c>
      <c r="E33" s="45" t="s">
        <v>130</v>
      </c>
      <c r="F33" s="45" t="s">
        <v>1092</v>
      </c>
      <c r="G33" s="45" t="s">
        <v>1221</v>
      </c>
      <c r="H33" s="45" t="s">
        <v>15</v>
      </c>
      <c r="I33" s="41" t="s">
        <v>1222</v>
      </c>
      <c r="J33" s="41" t="s">
        <v>1223</v>
      </c>
      <c r="K33" s="71" t="s">
        <v>1224</v>
      </c>
      <c r="L33" s="70"/>
      <c r="M33" s="70"/>
      <c r="N33" s="46"/>
      <c r="O33" s="46"/>
      <c r="P33" s="46"/>
      <c r="Q33" s="46"/>
      <c r="R33" s="46"/>
      <c r="S33" s="46"/>
      <c r="T33" s="46"/>
      <c r="U33" s="46"/>
      <c r="V33" s="46"/>
      <c r="W33" s="47"/>
    </row>
    <row r="34" spans="1:23" ht="13" x14ac:dyDescent="0.3">
      <c r="A34" s="39">
        <v>46080.336840277778</v>
      </c>
      <c r="B34" s="40" t="s">
        <v>887</v>
      </c>
      <c r="C34" s="40" t="s">
        <v>299</v>
      </c>
      <c r="D34" s="40" t="s">
        <v>298</v>
      </c>
      <c r="E34" s="40" t="s">
        <v>263</v>
      </c>
      <c r="F34" s="40" t="s">
        <v>1092</v>
      </c>
      <c r="G34" s="40" t="s">
        <v>1225</v>
      </c>
      <c r="H34" s="40" t="s">
        <v>15</v>
      </c>
      <c r="I34" s="41" t="s">
        <v>1226</v>
      </c>
      <c r="J34" s="41" t="s">
        <v>1227</v>
      </c>
      <c r="K34" s="71" t="s">
        <v>1228</v>
      </c>
      <c r="L34" s="70"/>
      <c r="M34" s="70"/>
      <c r="N34" s="42"/>
      <c r="O34" s="42"/>
      <c r="P34" s="42"/>
      <c r="Q34" s="42"/>
      <c r="R34" s="42"/>
      <c r="S34" s="42"/>
      <c r="T34" s="42"/>
      <c r="U34" s="42"/>
      <c r="V34" s="42"/>
      <c r="W34" s="43"/>
    </row>
    <row r="35" spans="1:23" ht="13" x14ac:dyDescent="0.3">
      <c r="A35" s="44">
        <v>46080.342928240738</v>
      </c>
      <c r="B35" s="45" t="s">
        <v>755</v>
      </c>
      <c r="C35" s="45" t="s">
        <v>494</v>
      </c>
      <c r="D35" s="45" t="s">
        <v>493</v>
      </c>
      <c r="E35" s="45" t="s">
        <v>130</v>
      </c>
      <c r="F35" s="45" t="s">
        <v>1092</v>
      </c>
      <c r="G35" s="45" t="s">
        <v>1229</v>
      </c>
      <c r="H35" s="45" t="s">
        <v>15</v>
      </c>
      <c r="I35" s="41" t="s">
        <v>1230</v>
      </c>
      <c r="J35" s="41" t="s">
        <v>1231</v>
      </c>
      <c r="K35" s="71" t="s">
        <v>1232</v>
      </c>
      <c r="L35" s="70"/>
      <c r="M35" s="70"/>
      <c r="N35" s="46"/>
      <c r="O35" s="46"/>
      <c r="P35" s="46"/>
      <c r="Q35" s="46"/>
      <c r="R35" s="46"/>
      <c r="S35" s="46"/>
      <c r="T35" s="46"/>
      <c r="U35" s="46"/>
      <c r="V35" s="46"/>
      <c r="W35" s="47"/>
    </row>
    <row r="36" spans="1:23" ht="13" x14ac:dyDescent="0.3">
      <c r="A36" s="39">
        <v>46080.343877314815</v>
      </c>
      <c r="B36" s="40" t="s">
        <v>672</v>
      </c>
      <c r="C36" s="40" t="s">
        <v>316</v>
      </c>
      <c r="D36" s="40" t="s">
        <v>315</v>
      </c>
      <c r="E36" s="40" t="s">
        <v>263</v>
      </c>
      <c r="F36" s="40" t="s">
        <v>1092</v>
      </c>
      <c r="G36" s="40" t="s">
        <v>1233</v>
      </c>
      <c r="H36" s="40" t="s">
        <v>15</v>
      </c>
      <c r="I36" s="41" t="s">
        <v>1234</v>
      </c>
      <c r="J36" s="41" t="s">
        <v>1235</v>
      </c>
      <c r="K36" s="71" t="s">
        <v>1236</v>
      </c>
      <c r="L36" s="70"/>
      <c r="M36" s="70"/>
      <c r="N36" s="42"/>
      <c r="O36" s="42"/>
      <c r="P36" s="42"/>
      <c r="Q36" s="42"/>
      <c r="R36" s="42"/>
      <c r="S36" s="42"/>
      <c r="T36" s="42"/>
      <c r="U36" s="42"/>
      <c r="V36" s="42"/>
      <c r="W36" s="43"/>
    </row>
    <row r="37" spans="1:23" ht="13" x14ac:dyDescent="0.3">
      <c r="A37" s="44">
        <v>46080.372465277775</v>
      </c>
      <c r="B37" s="45" t="s">
        <v>795</v>
      </c>
      <c r="C37" s="45" t="s">
        <v>186</v>
      </c>
      <c r="D37" s="45" t="s">
        <v>185</v>
      </c>
      <c r="E37" s="45" t="s">
        <v>29</v>
      </c>
      <c r="F37" s="45" t="s">
        <v>1092</v>
      </c>
      <c r="G37" s="45" t="s">
        <v>1237</v>
      </c>
      <c r="H37" s="45" t="s">
        <v>8</v>
      </c>
      <c r="I37" s="41" t="s">
        <v>1238</v>
      </c>
      <c r="J37" s="41" t="s">
        <v>1239</v>
      </c>
      <c r="K37" s="71" t="s">
        <v>1240</v>
      </c>
      <c r="L37" s="70"/>
      <c r="M37" s="70"/>
      <c r="N37" s="46"/>
      <c r="O37" s="46"/>
      <c r="P37" s="46"/>
      <c r="Q37" s="46"/>
      <c r="R37" s="46"/>
      <c r="S37" s="46"/>
      <c r="T37" s="46"/>
      <c r="U37" s="46"/>
      <c r="V37" s="46"/>
      <c r="W37" s="47"/>
    </row>
    <row r="38" spans="1:23" ht="13" x14ac:dyDescent="0.3">
      <c r="A38" s="39">
        <v>46080.402777777781</v>
      </c>
      <c r="B38" s="40" t="s">
        <v>680</v>
      </c>
      <c r="C38" s="40" t="s">
        <v>273</v>
      </c>
      <c r="D38" s="40" t="s">
        <v>272</v>
      </c>
      <c r="E38" s="40" t="s">
        <v>263</v>
      </c>
      <c r="F38" s="40" t="s">
        <v>1092</v>
      </c>
      <c r="G38" s="40" t="s">
        <v>1241</v>
      </c>
      <c r="H38" s="40" t="s">
        <v>15</v>
      </c>
      <c r="I38" s="41" t="s">
        <v>1242</v>
      </c>
      <c r="J38" s="41" t="s">
        <v>1243</v>
      </c>
      <c r="K38" s="71" t="s">
        <v>1244</v>
      </c>
      <c r="L38" s="70"/>
      <c r="M38" s="70"/>
      <c r="N38" s="42"/>
      <c r="O38" s="42"/>
      <c r="P38" s="42"/>
      <c r="Q38" s="42"/>
      <c r="R38" s="42"/>
      <c r="S38" s="42"/>
      <c r="T38" s="42"/>
      <c r="U38" s="42"/>
      <c r="V38" s="42"/>
      <c r="W38" s="43"/>
    </row>
    <row r="39" spans="1:23" ht="13" x14ac:dyDescent="0.3">
      <c r="A39" s="44">
        <v>46080.404444444444</v>
      </c>
      <c r="B39" s="45" t="s">
        <v>739</v>
      </c>
      <c r="C39" s="45" t="s">
        <v>490</v>
      </c>
      <c r="D39" s="45" t="s">
        <v>489</v>
      </c>
      <c r="E39" s="45" t="s">
        <v>130</v>
      </c>
      <c r="F39" s="45" t="s">
        <v>1092</v>
      </c>
      <c r="G39" s="45" t="s">
        <v>1245</v>
      </c>
      <c r="H39" s="45" t="s">
        <v>15</v>
      </c>
      <c r="I39" s="41" t="s">
        <v>1246</v>
      </c>
      <c r="J39" s="41" t="s">
        <v>1247</v>
      </c>
      <c r="K39" s="71" t="s">
        <v>1248</v>
      </c>
      <c r="L39" s="70"/>
      <c r="M39" s="70"/>
      <c r="N39" s="46"/>
      <c r="O39" s="46"/>
      <c r="P39" s="46"/>
      <c r="Q39" s="46"/>
      <c r="R39" s="46"/>
      <c r="S39" s="46"/>
      <c r="T39" s="46"/>
      <c r="U39" s="46"/>
      <c r="V39" s="46"/>
      <c r="W39" s="47"/>
    </row>
    <row r="40" spans="1:23" ht="13" x14ac:dyDescent="0.3">
      <c r="A40" s="39">
        <v>46080.41265046296</v>
      </c>
      <c r="B40" s="40" t="s">
        <v>678</v>
      </c>
      <c r="C40" s="40" t="s">
        <v>180</v>
      </c>
      <c r="D40" s="40" t="s">
        <v>179</v>
      </c>
      <c r="E40" s="40" t="s">
        <v>130</v>
      </c>
      <c r="F40" s="40" t="s">
        <v>1092</v>
      </c>
      <c r="G40" s="40" t="s">
        <v>1249</v>
      </c>
      <c r="H40" s="40" t="s">
        <v>15</v>
      </c>
      <c r="I40" s="41" t="s">
        <v>1250</v>
      </c>
      <c r="J40" s="41" t="s">
        <v>1251</v>
      </c>
      <c r="K40" s="71" t="s">
        <v>1252</v>
      </c>
      <c r="L40" s="70"/>
      <c r="M40" s="70"/>
      <c r="N40" s="42"/>
      <c r="O40" s="42"/>
      <c r="P40" s="42"/>
      <c r="Q40" s="42"/>
      <c r="R40" s="42"/>
      <c r="S40" s="42"/>
      <c r="T40" s="42"/>
      <c r="U40" s="42"/>
      <c r="V40" s="42"/>
      <c r="W40" s="43"/>
    </row>
    <row r="41" spans="1:23" ht="13" x14ac:dyDescent="0.3">
      <c r="A41" s="44">
        <v>46080.419340277775</v>
      </c>
      <c r="B41" s="45" t="s">
        <v>813</v>
      </c>
      <c r="C41" s="45" t="s">
        <v>101</v>
      </c>
      <c r="D41" s="45" t="s">
        <v>100</v>
      </c>
      <c r="E41" s="45" t="s">
        <v>29</v>
      </c>
      <c r="F41" s="45" t="s">
        <v>1092</v>
      </c>
      <c r="G41" s="45" t="s">
        <v>1253</v>
      </c>
      <c r="H41" s="45" t="s">
        <v>8</v>
      </c>
      <c r="I41" s="41" t="s">
        <v>1254</v>
      </c>
      <c r="J41" s="41" t="s">
        <v>1255</v>
      </c>
      <c r="K41" s="71" t="s">
        <v>1256</v>
      </c>
      <c r="L41" s="70"/>
      <c r="M41" s="70"/>
      <c r="N41" s="46"/>
      <c r="O41" s="46"/>
      <c r="P41" s="46"/>
      <c r="Q41" s="46"/>
      <c r="R41" s="46"/>
      <c r="S41" s="46"/>
      <c r="T41" s="46"/>
      <c r="U41" s="46"/>
      <c r="V41" s="46"/>
      <c r="W41" s="47"/>
    </row>
    <row r="42" spans="1:23" ht="13" x14ac:dyDescent="0.3">
      <c r="A42" s="39">
        <v>46080.431469907409</v>
      </c>
      <c r="B42" s="40" t="s">
        <v>806</v>
      </c>
      <c r="C42" s="40" t="s">
        <v>28</v>
      </c>
      <c r="D42" s="40" t="s">
        <v>27</v>
      </c>
      <c r="E42" s="40" t="s">
        <v>29</v>
      </c>
      <c r="F42" s="40" t="s">
        <v>1092</v>
      </c>
      <c r="G42" s="40" t="s">
        <v>1257</v>
      </c>
      <c r="H42" s="40" t="s">
        <v>8</v>
      </c>
      <c r="I42" s="41" t="s">
        <v>1258</v>
      </c>
      <c r="J42" s="41" t="s">
        <v>1259</v>
      </c>
      <c r="K42" s="71" t="s">
        <v>1260</v>
      </c>
      <c r="L42" s="70"/>
      <c r="M42" s="70"/>
      <c r="N42" s="42"/>
      <c r="O42" s="42"/>
      <c r="P42" s="42"/>
      <c r="Q42" s="42"/>
      <c r="R42" s="42"/>
      <c r="S42" s="42"/>
      <c r="T42" s="42"/>
      <c r="U42" s="42"/>
      <c r="V42" s="42"/>
      <c r="W42" s="43"/>
    </row>
    <row r="43" spans="1:23" ht="13" x14ac:dyDescent="0.3">
      <c r="A43" s="44">
        <v>46080.433900462966</v>
      </c>
      <c r="B43" s="45" t="s">
        <v>731</v>
      </c>
      <c r="C43" s="45" t="s">
        <v>338</v>
      </c>
      <c r="D43" s="45" t="s">
        <v>337</v>
      </c>
      <c r="E43" s="45" t="s">
        <v>1261</v>
      </c>
      <c r="F43" s="45" t="s">
        <v>1092</v>
      </c>
      <c r="G43" s="45" t="s">
        <v>1262</v>
      </c>
      <c r="H43" s="45" t="s">
        <v>15</v>
      </c>
      <c r="I43" s="41" t="s">
        <v>1263</v>
      </c>
      <c r="J43" s="41" t="s">
        <v>1264</v>
      </c>
      <c r="K43" s="71" t="s">
        <v>1265</v>
      </c>
      <c r="L43" s="70"/>
      <c r="M43" s="70"/>
      <c r="N43" s="46"/>
      <c r="O43" s="46"/>
      <c r="P43" s="46"/>
      <c r="Q43" s="46"/>
      <c r="R43" s="46"/>
      <c r="S43" s="46"/>
      <c r="T43" s="46"/>
      <c r="U43" s="46"/>
      <c r="V43" s="46"/>
      <c r="W43" s="47"/>
    </row>
    <row r="44" spans="1:23" ht="13" x14ac:dyDescent="0.3">
      <c r="A44" s="39">
        <v>46080.456504629627</v>
      </c>
      <c r="B44" s="40" t="s">
        <v>762</v>
      </c>
      <c r="C44" s="40" t="s">
        <v>518</v>
      </c>
      <c r="D44" s="40" t="s">
        <v>517</v>
      </c>
      <c r="E44" s="40" t="s">
        <v>130</v>
      </c>
      <c r="F44" s="40" t="s">
        <v>1092</v>
      </c>
      <c r="G44" s="40" t="s">
        <v>1266</v>
      </c>
      <c r="H44" s="40" t="s">
        <v>15</v>
      </c>
      <c r="I44" s="41" t="s">
        <v>1267</v>
      </c>
      <c r="J44" s="41" t="s">
        <v>1268</v>
      </c>
      <c r="K44" s="71" t="s">
        <v>1269</v>
      </c>
      <c r="L44" s="70"/>
      <c r="M44" s="70"/>
      <c r="N44" s="42"/>
      <c r="O44" s="42"/>
      <c r="P44" s="42"/>
      <c r="Q44" s="42"/>
      <c r="R44" s="42"/>
      <c r="S44" s="42"/>
      <c r="T44" s="42"/>
      <c r="U44" s="42"/>
      <c r="V44" s="42"/>
      <c r="W44" s="43"/>
    </row>
    <row r="45" spans="1:23" ht="13" x14ac:dyDescent="0.3">
      <c r="A45" s="44">
        <v>46080.461145833331</v>
      </c>
      <c r="B45" s="45" t="s">
        <v>839</v>
      </c>
      <c r="C45" s="45" t="s">
        <v>110</v>
      </c>
      <c r="D45" s="45" t="s">
        <v>109</v>
      </c>
      <c r="E45" s="45" t="s">
        <v>631</v>
      </c>
      <c r="F45" s="45" t="s">
        <v>1092</v>
      </c>
      <c r="G45" s="45" t="s">
        <v>1270</v>
      </c>
      <c r="H45" s="45" t="s">
        <v>15</v>
      </c>
      <c r="I45" s="41" t="s">
        <v>1271</v>
      </c>
      <c r="J45" s="41" t="s">
        <v>1272</v>
      </c>
      <c r="K45" s="71" t="s">
        <v>1273</v>
      </c>
      <c r="L45" s="70"/>
      <c r="M45" s="70"/>
      <c r="N45" s="46"/>
      <c r="O45" s="46"/>
      <c r="P45" s="46"/>
      <c r="Q45" s="46"/>
      <c r="R45" s="46"/>
      <c r="S45" s="46"/>
      <c r="T45" s="46"/>
      <c r="U45" s="46"/>
      <c r="V45" s="46"/>
      <c r="W45" s="47"/>
    </row>
    <row r="46" spans="1:23" ht="13" x14ac:dyDescent="0.3">
      <c r="A46" s="39">
        <v>46080.48065972222</v>
      </c>
      <c r="B46" s="40" t="s">
        <v>742</v>
      </c>
      <c r="C46" s="40" t="s">
        <v>293</v>
      </c>
      <c r="D46" s="40" t="s">
        <v>292</v>
      </c>
      <c r="E46" s="40" t="s">
        <v>263</v>
      </c>
      <c r="F46" s="40" t="s">
        <v>1092</v>
      </c>
      <c r="G46" s="40" t="s">
        <v>1274</v>
      </c>
      <c r="H46" s="40" t="s">
        <v>15</v>
      </c>
      <c r="I46" s="41" t="s">
        <v>1275</v>
      </c>
      <c r="J46" s="41" t="s">
        <v>1276</v>
      </c>
      <c r="K46" s="71" t="s">
        <v>1277</v>
      </c>
      <c r="L46" s="70"/>
      <c r="M46" s="70"/>
      <c r="N46" s="42"/>
      <c r="O46" s="42"/>
      <c r="P46" s="42"/>
      <c r="Q46" s="42"/>
      <c r="R46" s="42"/>
      <c r="S46" s="42"/>
      <c r="T46" s="42"/>
      <c r="U46" s="42"/>
      <c r="V46" s="42"/>
      <c r="W46" s="43"/>
    </row>
    <row r="47" spans="1:23" ht="13" x14ac:dyDescent="0.3">
      <c r="A47" s="44">
        <v>46080.484918981485</v>
      </c>
      <c r="B47" s="45" t="s">
        <v>691</v>
      </c>
      <c r="C47" s="45" t="s">
        <v>279</v>
      </c>
      <c r="D47" s="45" t="s">
        <v>278</v>
      </c>
      <c r="E47" s="45" t="s">
        <v>263</v>
      </c>
      <c r="F47" s="45" t="s">
        <v>1092</v>
      </c>
      <c r="G47" s="45" t="s">
        <v>1278</v>
      </c>
      <c r="H47" s="45" t="s">
        <v>15</v>
      </c>
      <c r="I47" s="41" t="s">
        <v>1279</v>
      </c>
      <c r="J47" s="41" t="s">
        <v>1280</v>
      </c>
      <c r="K47" s="71" t="s">
        <v>1281</v>
      </c>
      <c r="L47" s="70"/>
      <c r="M47" s="70"/>
      <c r="N47" s="46"/>
      <c r="O47" s="46"/>
      <c r="P47" s="46"/>
      <c r="Q47" s="46"/>
      <c r="R47" s="46"/>
      <c r="S47" s="46"/>
      <c r="T47" s="46"/>
      <c r="U47" s="46"/>
      <c r="V47" s="46"/>
      <c r="W47" s="47"/>
    </row>
    <row r="48" spans="1:23" ht="13" x14ac:dyDescent="0.3">
      <c r="A48" s="39">
        <v>46080.513888888891</v>
      </c>
      <c r="B48" s="40" t="s">
        <v>733</v>
      </c>
      <c r="C48" s="40" t="s">
        <v>340</v>
      </c>
      <c r="D48" s="40" t="s">
        <v>339</v>
      </c>
      <c r="E48" s="40" t="s">
        <v>263</v>
      </c>
      <c r="F48" s="40" t="s">
        <v>1092</v>
      </c>
      <c r="G48" s="40" t="s">
        <v>1282</v>
      </c>
      <c r="H48" s="40" t="s">
        <v>8</v>
      </c>
      <c r="I48" s="41" t="s">
        <v>1283</v>
      </c>
      <c r="J48" s="41" t="s">
        <v>1284</v>
      </c>
      <c r="K48" s="71" t="s">
        <v>1285</v>
      </c>
      <c r="L48" s="70"/>
      <c r="M48" s="70"/>
      <c r="N48" s="42"/>
      <c r="O48" s="42"/>
      <c r="P48" s="42"/>
      <c r="Q48" s="42"/>
      <c r="R48" s="42"/>
      <c r="S48" s="42"/>
      <c r="T48" s="42"/>
      <c r="U48" s="42"/>
      <c r="V48" s="42"/>
      <c r="W48" s="43"/>
    </row>
    <row r="49" spans="1:23" ht="13" x14ac:dyDescent="0.3">
      <c r="A49" s="44">
        <v>46080.516250000001</v>
      </c>
      <c r="B49" s="45" t="s">
        <v>708</v>
      </c>
      <c r="C49" s="45" t="s">
        <v>287</v>
      </c>
      <c r="D49" s="45" t="s">
        <v>286</v>
      </c>
      <c r="E49" s="45" t="s">
        <v>130</v>
      </c>
      <c r="F49" s="45" t="s">
        <v>1092</v>
      </c>
      <c r="G49" s="45" t="s">
        <v>1286</v>
      </c>
      <c r="H49" s="45" t="s">
        <v>15</v>
      </c>
      <c r="I49" s="41" t="s">
        <v>1287</v>
      </c>
      <c r="J49" s="41" t="s">
        <v>1288</v>
      </c>
      <c r="K49" s="71" t="s">
        <v>1289</v>
      </c>
      <c r="L49" s="70"/>
      <c r="M49" s="70"/>
      <c r="N49" s="46"/>
      <c r="O49" s="46"/>
      <c r="P49" s="46"/>
      <c r="Q49" s="46"/>
      <c r="R49" s="46"/>
      <c r="S49" s="46"/>
      <c r="T49" s="46"/>
      <c r="U49" s="46"/>
      <c r="V49" s="46"/>
      <c r="W49" s="47"/>
    </row>
    <row r="50" spans="1:23" ht="13" x14ac:dyDescent="0.3">
      <c r="A50" s="39">
        <v>46080.51840277778</v>
      </c>
      <c r="B50" s="40" t="s">
        <v>1290</v>
      </c>
      <c r="C50" s="40" t="s">
        <v>482</v>
      </c>
      <c r="D50" s="40" t="s">
        <v>481</v>
      </c>
      <c r="E50" s="40" t="s">
        <v>130</v>
      </c>
      <c r="F50" s="40" t="s">
        <v>1092</v>
      </c>
      <c r="G50" s="40" t="s">
        <v>1291</v>
      </c>
      <c r="H50" s="40" t="s">
        <v>15</v>
      </c>
      <c r="I50" s="41" t="s">
        <v>1292</v>
      </c>
      <c r="J50" s="41" t="s">
        <v>1293</v>
      </c>
      <c r="K50" s="71" t="s">
        <v>1294</v>
      </c>
      <c r="L50" s="70"/>
      <c r="M50" s="70"/>
      <c r="N50" s="42"/>
      <c r="O50" s="42"/>
      <c r="P50" s="42"/>
      <c r="Q50" s="42"/>
      <c r="R50" s="42"/>
      <c r="S50" s="42"/>
      <c r="T50" s="42"/>
      <c r="U50" s="42"/>
      <c r="V50" s="42"/>
      <c r="W50" s="43"/>
    </row>
    <row r="51" spans="1:23" ht="13" x14ac:dyDescent="0.3">
      <c r="A51" s="44">
        <v>46080.529583333337</v>
      </c>
      <c r="B51" s="45" t="s">
        <v>840</v>
      </c>
      <c r="C51" s="45" t="s">
        <v>112</v>
      </c>
      <c r="D51" s="45" t="s">
        <v>111</v>
      </c>
      <c r="E51" s="45" t="s">
        <v>29</v>
      </c>
      <c r="F51" s="45" t="s">
        <v>1092</v>
      </c>
      <c r="G51" s="45" t="s">
        <v>1295</v>
      </c>
      <c r="H51" s="45" t="s">
        <v>8</v>
      </c>
      <c r="I51" s="41" t="s">
        <v>1296</v>
      </c>
      <c r="J51" s="41" t="s">
        <v>1297</v>
      </c>
      <c r="K51" s="71" t="s">
        <v>1298</v>
      </c>
      <c r="L51" s="70"/>
      <c r="M51" s="70"/>
      <c r="N51" s="46"/>
      <c r="O51" s="46"/>
      <c r="P51" s="46"/>
      <c r="Q51" s="46"/>
      <c r="R51" s="46"/>
      <c r="S51" s="46"/>
      <c r="T51" s="46"/>
      <c r="U51" s="46"/>
      <c r="V51" s="46"/>
      <c r="W51" s="47"/>
    </row>
    <row r="52" spans="1:23" ht="13" x14ac:dyDescent="0.3">
      <c r="A52" s="39">
        <v>46080.542094907411</v>
      </c>
      <c r="B52" s="40" t="s">
        <v>706</v>
      </c>
      <c r="C52" s="40" t="s">
        <v>328</v>
      </c>
      <c r="D52" s="40" t="s">
        <v>327</v>
      </c>
      <c r="E52" s="40" t="s">
        <v>263</v>
      </c>
      <c r="F52" s="40" t="s">
        <v>1092</v>
      </c>
      <c r="G52" s="40" t="s">
        <v>1299</v>
      </c>
      <c r="H52" s="40" t="s">
        <v>15</v>
      </c>
      <c r="I52" s="41" t="s">
        <v>1300</v>
      </c>
      <c r="J52" s="41" t="s">
        <v>1301</v>
      </c>
      <c r="K52" s="71" t="s">
        <v>1302</v>
      </c>
      <c r="L52" s="70"/>
      <c r="M52" s="70"/>
      <c r="N52" s="42"/>
      <c r="O52" s="42"/>
      <c r="P52" s="42"/>
      <c r="Q52" s="42"/>
      <c r="R52" s="42"/>
      <c r="S52" s="42"/>
      <c r="T52" s="42"/>
      <c r="U52" s="42"/>
      <c r="V52" s="42"/>
      <c r="W52" s="43"/>
    </row>
    <row r="53" spans="1:23" ht="13" x14ac:dyDescent="0.3">
      <c r="A53" s="44">
        <v>46080.550775462965</v>
      </c>
      <c r="B53" s="45" t="s">
        <v>716</v>
      </c>
      <c r="C53" s="45" t="s">
        <v>332</v>
      </c>
      <c r="D53" s="45" t="s">
        <v>331</v>
      </c>
      <c r="E53" s="45" t="s">
        <v>263</v>
      </c>
      <c r="F53" s="45" t="s">
        <v>1092</v>
      </c>
      <c r="G53" s="45" t="s">
        <v>1303</v>
      </c>
      <c r="H53" s="45" t="s">
        <v>15</v>
      </c>
      <c r="I53" s="41" t="s">
        <v>1304</v>
      </c>
      <c r="J53" s="41" t="s">
        <v>1305</v>
      </c>
      <c r="K53" s="71" t="s">
        <v>1306</v>
      </c>
      <c r="L53" s="70"/>
      <c r="M53" s="70"/>
      <c r="N53" s="46"/>
      <c r="O53" s="46"/>
      <c r="P53" s="46"/>
      <c r="Q53" s="46"/>
      <c r="R53" s="46"/>
      <c r="S53" s="46"/>
      <c r="T53" s="46"/>
      <c r="U53" s="46"/>
      <c r="V53" s="46"/>
      <c r="W53" s="47"/>
    </row>
    <row r="54" spans="1:23" ht="13" x14ac:dyDescent="0.3">
      <c r="A54" s="39">
        <v>46080.551932870374</v>
      </c>
      <c r="B54" s="40" t="s">
        <v>753</v>
      </c>
      <c r="C54" s="40" t="s">
        <v>354</v>
      </c>
      <c r="D54" s="40" t="s">
        <v>353</v>
      </c>
      <c r="E54" s="40" t="s">
        <v>130</v>
      </c>
      <c r="F54" s="40" t="s">
        <v>1092</v>
      </c>
      <c r="G54" s="40" t="s">
        <v>1307</v>
      </c>
      <c r="H54" s="40" t="s">
        <v>15</v>
      </c>
      <c r="I54" s="41" t="s">
        <v>1308</v>
      </c>
      <c r="J54" s="41" t="s">
        <v>1309</v>
      </c>
      <c r="K54" s="71" t="s">
        <v>1310</v>
      </c>
      <c r="L54" s="70"/>
      <c r="M54" s="70"/>
      <c r="N54" s="42"/>
      <c r="O54" s="42"/>
      <c r="P54" s="42"/>
      <c r="Q54" s="42"/>
      <c r="R54" s="42"/>
      <c r="S54" s="42"/>
      <c r="T54" s="42"/>
      <c r="U54" s="42"/>
      <c r="V54" s="42"/>
      <c r="W54" s="43"/>
    </row>
    <row r="55" spans="1:23" ht="13" x14ac:dyDescent="0.3">
      <c r="A55" s="44">
        <v>46080.555150462962</v>
      </c>
      <c r="B55" s="45" t="s">
        <v>1008</v>
      </c>
      <c r="C55" s="45" t="s">
        <v>1311</v>
      </c>
      <c r="D55" s="45" t="s">
        <v>553</v>
      </c>
      <c r="E55" s="45" t="s">
        <v>7</v>
      </c>
      <c r="F55" s="45" t="s">
        <v>1092</v>
      </c>
      <c r="G55" s="45" t="s">
        <v>1312</v>
      </c>
      <c r="H55" s="45" t="s">
        <v>15</v>
      </c>
      <c r="I55" s="41" t="s">
        <v>1313</v>
      </c>
      <c r="J55" s="41" t="s">
        <v>1314</v>
      </c>
      <c r="K55" s="71" t="s">
        <v>1315</v>
      </c>
      <c r="L55" s="70"/>
      <c r="M55" s="70"/>
      <c r="N55" s="46"/>
      <c r="O55" s="46"/>
      <c r="P55" s="46"/>
      <c r="Q55" s="46"/>
      <c r="R55" s="46"/>
      <c r="S55" s="46"/>
      <c r="T55" s="46"/>
      <c r="U55" s="46"/>
      <c r="V55" s="46"/>
      <c r="W55" s="47"/>
    </row>
    <row r="56" spans="1:23" ht="13" x14ac:dyDescent="0.3">
      <c r="A56" s="39">
        <v>46080.572638888887</v>
      </c>
      <c r="B56" s="40" t="s">
        <v>689</v>
      </c>
      <c r="C56" s="40" t="s">
        <v>318</v>
      </c>
      <c r="D56" s="40" t="s">
        <v>317</v>
      </c>
      <c r="E56" s="40" t="s">
        <v>263</v>
      </c>
      <c r="F56" s="40" t="s">
        <v>1092</v>
      </c>
      <c r="G56" s="40" t="s">
        <v>1316</v>
      </c>
      <c r="H56" s="40" t="s">
        <v>15</v>
      </c>
      <c r="I56" s="41" t="s">
        <v>1317</v>
      </c>
      <c r="J56" s="41" t="s">
        <v>1318</v>
      </c>
      <c r="K56" s="71" t="s">
        <v>1319</v>
      </c>
      <c r="L56" s="70"/>
      <c r="M56" s="70"/>
      <c r="N56" s="42"/>
      <c r="O56" s="42"/>
      <c r="P56" s="42"/>
      <c r="Q56" s="42"/>
      <c r="R56" s="42"/>
      <c r="S56" s="42"/>
      <c r="T56" s="42"/>
      <c r="U56" s="42"/>
      <c r="V56" s="42"/>
      <c r="W56" s="43"/>
    </row>
    <row r="57" spans="1:23" ht="13" x14ac:dyDescent="0.3">
      <c r="A57" s="44">
        <v>46080.579606481479</v>
      </c>
      <c r="B57" s="45" t="s">
        <v>984</v>
      </c>
      <c r="C57" s="45" t="s">
        <v>435</v>
      </c>
      <c r="D57" s="45" t="s">
        <v>434</v>
      </c>
      <c r="E57" s="45" t="s">
        <v>18</v>
      </c>
      <c r="F57" s="45" t="s">
        <v>1092</v>
      </c>
      <c r="G57" s="45" t="s">
        <v>1320</v>
      </c>
      <c r="H57" s="45" t="s">
        <v>15</v>
      </c>
      <c r="I57" s="41" t="s">
        <v>1321</v>
      </c>
      <c r="J57" s="41" t="s">
        <v>1322</v>
      </c>
      <c r="K57" s="71" t="s">
        <v>1323</v>
      </c>
      <c r="L57" s="70"/>
      <c r="M57" s="70"/>
      <c r="N57" s="46"/>
      <c r="O57" s="46"/>
      <c r="P57" s="46"/>
      <c r="Q57" s="46"/>
      <c r="R57" s="46"/>
      <c r="S57" s="46"/>
      <c r="T57" s="46"/>
      <c r="U57" s="46"/>
      <c r="V57" s="46"/>
      <c r="W57" s="47"/>
    </row>
    <row r="58" spans="1:23" ht="13" x14ac:dyDescent="0.3">
      <c r="A58" s="39">
        <v>46080.580972222226</v>
      </c>
      <c r="B58" s="40" t="s">
        <v>639</v>
      </c>
      <c r="C58" s="40" t="s">
        <v>464</v>
      </c>
      <c r="D58" s="40" t="s">
        <v>463</v>
      </c>
      <c r="E58" s="40" t="s">
        <v>1324</v>
      </c>
      <c r="F58" s="40" t="s">
        <v>1092</v>
      </c>
      <c r="G58" s="40" t="s">
        <v>1325</v>
      </c>
      <c r="H58" s="40" t="s">
        <v>15</v>
      </c>
      <c r="I58" s="41" t="s">
        <v>1326</v>
      </c>
      <c r="J58" s="41" t="s">
        <v>1327</v>
      </c>
      <c r="K58" s="71" t="s">
        <v>1328</v>
      </c>
      <c r="L58" s="70"/>
      <c r="M58" s="70"/>
      <c r="N58" s="42"/>
      <c r="O58" s="42"/>
      <c r="P58" s="42"/>
      <c r="Q58" s="42"/>
      <c r="R58" s="42"/>
      <c r="S58" s="42"/>
      <c r="T58" s="42"/>
      <c r="U58" s="42"/>
      <c r="V58" s="42"/>
      <c r="W58" s="43"/>
    </row>
    <row r="59" spans="1:23" ht="13" x14ac:dyDescent="0.3">
      <c r="A59" s="44">
        <v>46080.580972222226</v>
      </c>
      <c r="B59" s="45" t="s">
        <v>657</v>
      </c>
      <c r="C59" s="45" t="s">
        <v>476</v>
      </c>
      <c r="D59" s="45" t="s">
        <v>475</v>
      </c>
      <c r="E59" s="45" t="s">
        <v>130</v>
      </c>
      <c r="F59" s="45" t="s">
        <v>1092</v>
      </c>
      <c r="G59" s="45" t="s">
        <v>1329</v>
      </c>
      <c r="H59" s="45" t="s">
        <v>15</v>
      </c>
      <c r="I59" s="41" t="s">
        <v>1330</v>
      </c>
      <c r="J59" s="41" t="s">
        <v>1331</v>
      </c>
      <c r="K59" s="71" t="s">
        <v>1332</v>
      </c>
      <c r="L59" s="70"/>
      <c r="M59" s="70"/>
      <c r="N59" s="46"/>
      <c r="O59" s="46"/>
      <c r="P59" s="46"/>
      <c r="Q59" s="46"/>
      <c r="R59" s="46"/>
      <c r="S59" s="46"/>
      <c r="T59" s="46"/>
      <c r="U59" s="46"/>
      <c r="V59" s="46"/>
      <c r="W59" s="47"/>
    </row>
    <row r="60" spans="1:23" ht="13" x14ac:dyDescent="0.3">
      <c r="A60" s="39">
        <v>46080.583148148151</v>
      </c>
      <c r="B60" s="40" t="s">
        <v>1333</v>
      </c>
      <c r="C60" s="40" t="s">
        <v>138</v>
      </c>
      <c r="D60" s="40" t="s">
        <v>137</v>
      </c>
      <c r="E60" s="40" t="s">
        <v>29</v>
      </c>
      <c r="F60" s="40" t="s">
        <v>1092</v>
      </c>
      <c r="G60" s="40" t="s">
        <v>1334</v>
      </c>
      <c r="H60" s="40" t="s">
        <v>8</v>
      </c>
      <c r="I60" s="41" t="s">
        <v>1335</v>
      </c>
      <c r="J60" s="41" t="s">
        <v>1336</v>
      </c>
      <c r="K60" s="71" t="s">
        <v>1337</v>
      </c>
      <c r="L60" s="70"/>
      <c r="M60" s="70"/>
      <c r="N60" s="42"/>
      <c r="O60" s="42"/>
      <c r="P60" s="42"/>
      <c r="Q60" s="42"/>
      <c r="R60" s="42"/>
      <c r="S60" s="42"/>
      <c r="T60" s="42"/>
      <c r="U60" s="42"/>
      <c r="V60" s="42"/>
      <c r="W60" s="43"/>
    </row>
    <row r="61" spans="1:23" ht="13" x14ac:dyDescent="0.3">
      <c r="A61" s="44">
        <v>46080.585902777777</v>
      </c>
      <c r="B61" s="45" t="s">
        <v>718</v>
      </c>
      <c r="C61" s="45" t="s">
        <v>480</v>
      </c>
      <c r="D61" s="45" t="s">
        <v>479</v>
      </c>
      <c r="E61" s="45" t="s">
        <v>130</v>
      </c>
      <c r="F61" s="45" t="s">
        <v>1092</v>
      </c>
      <c r="G61" s="45" t="s">
        <v>1338</v>
      </c>
      <c r="H61" s="45" t="s">
        <v>15</v>
      </c>
      <c r="I61" s="41" t="s">
        <v>1339</v>
      </c>
      <c r="J61" s="41" t="s">
        <v>1340</v>
      </c>
      <c r="K61" s="71" t="s">
        <v>1341</v>
      </c>
      <c r="L61" s="70"/>
      <c r="M61" s="70"/>
      <c r="N61" s="46"/>
      <c r="O61" s="46"/>
      <c r="P61" s="46"/>
      <c r="Q61" s="46"/>
      <c r="R61" s="46"/>
      <c r="S61" s="46"/>
      <c r="T61" s="46"/>
      <c r="U61" s="46"/>
      <c r="V61" s="46"/>
      <c r="W61" s="47"/>
    </row>
    <row r="62" spans="1:23" ht="13" x14ac:dyDescent="0.3">
      <c r="A62" s="39">
        <v>46080.586099537039</v>
      </c>
      <c r="B62" s="40" t="s">
        <v>833</v>
      </c>
      <c r="C62" s="40" t="s">
        <v>190</v>
      </c>
      <c r="D62" s="40" t="s">
        <v>189</v>
      </c>
      <c r="E62" s="40" t="s">
        <v>29</v>
      </c>
      <c r="F62" s="40" t="s">
        <v>1092</v>
      </c>
      <c r="G62" s="40" t="s">
        <v>1342</v>
      </c>
      <c r="H62" s="40" t="s">
        <v>8</v>
      </c>
      <c r="I62" s="41" t="s">
        <v>1343</v>
      </c>
      <c r="J62" s="41" t="s">
        <v>1344</v>
      </c>
      <c r="K62" s="71" t="s">
        <v>1345</v>
      </c>
      <c r="L62" s="70"/>
      <c r="M62" s="70"/>
      <c r="N62" s="42"/>
      <c r="O62" s="42"/>
      <c r="P62" s="42"/>
      <c r="Q62" s="42"/>
      <c r="R62" s="42"/>
      <c r="S62" s="42"/>
      <c r="T62" s="42"/>
      <c r="U62" s="42"/>
      <c r="V62" s="42"/>
      <c r="W62" s="43"/>
    </row>
    <row r="63" spans="1:23" ht="13" x14ac:dyDescent="0.3">
      <c r="A63" s="44">
        <v>46080.592662037037</v>
      </c>
      <c r="B63" s="45" t="s">
        <v>834</v>
      </c>
      <c r="C63" s="45" t="s">
        <v>106</v>
      </c>
      <c r="D63" s="45" t="s">
        <v>105</v>
      </c>
      <c r="E63" s="45" t="s">
        <v>29</v>
      </c>
      <c r="F63" s="45" t="s">
        <v>1092</v>
      </c>
      <c r="G63" s="45" t="s">
        <v>1346</v>
      </c>
      <c r="H63" s="45" t="s">
        <v>15</v>
      </c>
      <c r="I63" s="41" t="s">
        <v>1347</v>
      </c>
      <c r="J63" s="41" t="s">
        <v>1348</v>
      </c>
      <c r="K63" s="71" t="s">
        <v>1349</v>
      </c>
      <c r="L63" s="70"/>
      <c r="M63" s="70"/>
      <c r="N63" s="46"/>
      <c r="O63" s="46"/>
      <c r="P63" s="46"/>
      <c r="Q63" s="46"/>
      <c r="R63" s="46"/>
      <c r="S63" s="46"/>
      <c r="T63" s="46"/>
      <c r="U63" s="46"/>
      <c r="V63" s="46"/>
      <c r="W63" s="47"/>
    </row>
    <row r="64" spans="1:23" ht="13" x14ac:dyDescent="0.3">
      <c r="A64" s="39">
        <v>46080.605694444443</v>
      </c>
      <c r="B64" s="40" t="s">
        <v>723</v>
      </c>
      <c r="C64" s="40" t="s">
        <v>484</v>
      </c>
      <c r="D64" s="40" t="s">
        <v>483</v>
      </c>
      <c r="E64" s="40" t="s">
        <v>130</v>
      </c>
      <c r="F64" s="40" t="s">
        <v>1092</v>
      </c>
      <c r="G64" s="40" t="s">
        <v>1350</v>
      </c>
      <c r="H64" s="40" t="s">
        <v>15</v>
      </c>
      <c r="I64" s="41" t="s">
        <v>1351</v>
      </c>
      <c r="J64" s="41" t="s">
        <v>1352</v>
      </c>
      <c r="K64" s="71" t="s">
        <v>1353</v>
      </c>
      <c r="L64" s="70"/>
      <c r="M64" s="70"/>
      <c r="N64" s="42"/>
      <c r="O64" s="42"/>
      <c r="P64" s="42"/>
      <c r="Q64" s="42"/>
      <c r="R64" s="42"/>
      <c r="S64" s="42"/>
      <c r="T64" s="42"/>
      <c r="U64" s="42"/>
      <c r="V64" s="42"/>
      <c r="W64" s="43"/>
    </row>
    <row r="65" spans="1:23" ht="13" x14ac:dyDescent="0.3">
      <c r="A65" s="44">
        <v>46080.606562499997</v>
      </c>
      <c r="B65" s="45" t="s">
        <v>720</v>
      </c>
      <c r="C65" s="45" t="s">
        <v>334</v>
      </c>
      <c r="D65" s="45" t="s">
        <v>333</v>
      </c>
      <c r="E65" s="45" t="s">
        <v>263</v>
      </c>
      <c r="F65" s="45" t="s">
        <v>1092</v>
      </c>
      <c r="G65" s="45" t="s">
        <v>1354</v>
      </c>
      <c r="H65" s="45" t="s">
        <v>15</v>
      </c>
      <c r="I65" s="41" t="s">
        <v>1355</v>
      </c>
      <c r="J65" s="41" t="s">
        <v>1356</v>
      </c>
      <c r="K65" s="71" t="s">
        <v>1357</v>
      </c>
      <c r="L65" s="70"/>
      <c r="M65" s="70"/>
      <c r="N65" s="46"/>
      <c r="O65" s="46"/>
      <c r="P65" s="46"/>
      <c r="Q65" s="46"/>
      <c r="R65" s="46"/>
      <c r="S65" s="46"/>
      <c r="T65" s="46"/>
      <c r="U65" s="46"/>
      <c r="V65" s="46"/>
      <c r="W65" s="47"/>
    </row>
    <row r="66" spans="1:23" ht="13" x14ac:dyDescent="0.3">
      <c r="A66" s="39">
        <v>46080.617511574077</v>
      </c>
      <c r="B66" s="40" t="s">
        <v>650</v>
      </c>
      <c r="C66" s="40" t="s">
        <v>466</v>
      </c>
      <c r="D66" s="40" t="s">
        <v>465</v>
      </c>
      <c r="E66" s="40" t="s">
        <v>130</v>
      </c>
      <c r="F66" s="40" t="s">
        <v>1092</v>
      </c>
      <c r="G66" s="40" t="s">
        <v>1358</v>
      </c>
      <c r="H66" s="40" t="s">
        <v>15</v>
      </c>
      <c r="I66" s="41" t="s">
        <v>1359</v>
      </c>
      <c r="J66" s="41" t="s">
        <v>1360</v>
      </c>
      <c r="K66" s="71" t="s">
        <v>1361</v>
      </c>
      <c r="L66" s="70"/>
      <c r="M66" s="70"/>
      <c r="N66" s="42"/>
      <c r="O66" s="42"/>
      <c r="P66" s="42"/>
      <c r="Q66" s="42"/>
      <c r="R66" s="42"/>
      <c r="S66" s="42"/>
      <c r="T66" s="42"/>
      <c r="U66" s="42"/>
      <c r="V66" s="42"/>
      <c r="W66" s="43"/>
    </row>
    <row r="67" spans="1:23" ht="13" x14ac:dyDescent="0.3">
      <c r="A67" s="44">
        <v>46080.621516203704</v>
      </c>
      <c r="B67" s="45" t="s">
        <v>710</v>
      </c>
      <c r="C67" s="45" t="s">
        <v>478</v>
      </c>
      <c r="D67" s="45" t="s">
        <v>477</v>
      </c>
      <c r="E67" s="45" t="s">
        <v>130</v>
      </c>
      <c r="F67" s="45" t="s">
        <v>1092</v>
      </c>
      <c r="G67" s="45" t="s">
        <v>1362</v>
      </c>
      <c r="H67" s="45" t="s">
        <v>15</v>
      </c>
      <c r="I67" s="41" t="s">
        <v>1363</v>
      </c>
      <c r="J67" s="41" t="s">
        <v>1364</v>
      </c>
      <c r="K67" s="71" t="s">
        <v>1365</v>
      </c>
      <c r="L67" s="70"/>
      <c r="M67" s="70"/>
      <c r="N67" s="46"/>
      <c r="O67" s="46"/>
      <c r="P67" s="46"/>
      <c r="Q67" s="46"/>
      <c r="R67" s="46"/>
      <c r="S67" s="46"/>
      <c r="T67" s="46"/>
      <c r="U67" s="46"/>
      <c r="V67" s="46"/>
      <c r="W67" s="47"/>
    </row>
    <row r="68" spans="1:23" ht="13" x14ac:dyDescent="0.3">
      <c r="A68" s="39">
        <v>46080.622546296298</v>
      </c>
      <c r="B68" s="40" t="s">
        <v>786</v>
      </c>
      <c r="C68" s="40" t="s">
        <v>360</v>
      </c>
      <c r="D68" s="40" t="s">
        <v>359</v>
      </c>
      <c r="E68" s="40" t="s">
        <v>263</v>
      </c>
      <c r="F68" s="40" t="s">
        <v>1092</v>
      </c>
      <c r="G68" s="40" t="s">
        <v>1366</v>
      </c>
      <c r="H68" s="40" t="s">
        <v>8</v>
      </c>
      <c r="I68" s="41" t="s">
        <v>1367</v>
      </c>
      <c r="J68" s="41" t="s">
        <v>1368</v>
      </c>
      <c r="K68" s="71" t="s">
        <v>1369</v>
      </c>
      <c r="L68" s="70"/>
      <c r="M68" s="70"/>
      <c r="N68" s="42"/>
      <c r="O68" s="42"/>
      <c r="P68" s="42"/>
      <c r="Q68" s="42"/>
      <c r="R68" s="42"/>
      <c r="S68" s="42"/>
      <c r="T68" s="42"/>
      <c r="U68" s="42"/>
      <c r="V68" s="42"/>
      <c r="W68" s="43"/>
    </row>
    <row r="69" spans="1:23" ht="13" x14ac:dyDescent="0.3">
      <c r="A69" s="44">
        <v>46080.623472222222</v>
      </c>
      <c r="B69" s="45" t="s">
        <v>836</v>
      </c>
      <c r="C69" s="45" t="s">
        <v>192</v>
      </c>
      <c r="D69" s="45" t="s">
        <v>191</v>
      </c>
      <c r="E69" s="45" t="s">
        <v>29</v>
      </c>
      <c r="F69" s="45" t="s">
        <v>1092</v>
      </c>
      <c r="G69" s="45" t="s">
        <v>1370</v>
      </c>
      <c r="H69" s="45" t="s">
        <v>8</v>
      </c>
      <c r="I69" s="41" t="s">
        <v>1371</v>
      </c>
      <c r="J69" s="41" t="s">
        <v>1372</v>
      </c>
      <c r="K69" s="71" t="s">
        <v>1373</v>
      </c>
      <c r="L69" s="70"/>
      <c r="M69" s="70"/>
      <c r="N69" s="46"/>
      <c r="O69" s="46"/>
      <c r="P69" s="46"/>
      <c r="Q69" s="46"/>
      <c r="R69" s="46"/>
      <c r="S69" s="46"/>
      <c r="T69" s="46"/>
      <c r="U69" s="46"/>
      <c r="V69" s="46"/>
      <c r="W69" s="47"/>
    </row>
    <row r="70" spans="1:23" ht="13" x14ac:dyDescent="0.3">
      <c r="A70" s="39">
        <v>46080.64576388889</v>
      </c>
      <c r="B70" s="40" t="s">
        <v>701</v>
      </c>
      <c r="C70" s="40" t="s">
        <v>283</v>
      </c>
      <c r="D70" s="40" t="s">
        <v>282</v>
      </c>
      <c r="E70" s="40" t="s">
        <v>130</v>
      </c>
      <c r="F70" s="40" t="s">
        <v>1092</v>
      </c>
      <c r="G70" s="40" t="s">
        <v>1374</v>
      </c>
      <c r="H70" s="40" t="s">
        <v>15</v>
      </c>
      <c r="I70" s="41" t="s">
        <v>1375</v>
      </c>
      <c r="J70" s="41" t="s">
        <v>1376</v>
      </c>
      <c r="K70" s="71" t="s">
        <v>1377</v>
      </c>
      <c r="L70" s="70"/>
      <c r="M70" s="70"/>
      <c r="N70" s="42"/>
      <c r="O70" s="42"/>
      <c r="P70" s="42"/>
      <c r="Q70" s="42"/>
      <c r="R70" s="42"/>
      <c r="S70" s="42"/>
      <c r="T70" s="42"/>
      <c r="U70" s="42"/>
      <c r="V70" s="42"/>
      <c r="W70" s="43"/>
    </row>
    <row r="71" spans="1:23" ht="13" x14ac:dyDescent="0.3">
      <c r="A71" s="44">
        <v>46080.647245370368</v>
      </c>
      <c r="B71" s="45" t="s">
        <v>819</v>
      </c>
      <c r="C71" s="45" t="s">
        <v>136</v>
      </c>
      <c r="D71" s="45" t="s">
        <v>135</v>
      </c>
      <c r="E71" s="45" t="s">
        <v>29</v>
      </c>
      <c r="F71" s="45" t="s">
        <v>1092</v>
      </c>
      <c r="G71" s="45" t="s">
        <v>1378</v>
      </c>
      <c r="H71" s="45" t="s">
        <v>8</v>
      </c>
      <c r="I71" s="41" t="s">
        <v>1379</v>
      </c>
      <c r="J71" s="41" t="s">
        <v>1380</v>
      </c>
      <c r="K71" s="71" t="s">
        <v>1381</v>
      </c>
      <c r="L71" s="70"/>
      <c r="M71" s="70"/>
      <c r="N71" s="46"/>
      <c r="O71" s="46"/>
      <c r="P71" s="46"/>
      <c r="Q71" s="46"/>
      <c r="R71" s="46"/>
      <c r="S71" s="46"/>
      <c r="T71" s="46"/>
      <c r="U71" s="46"/>
      <c r="V71" s="46"/>
      <c r="W71" s="47"/>
    </row>
    <row r="72" spans="1:23" ht="13" x14ac:dyDescent="0.3">
      <c r="A72" s="39">
        <v>46080.659814814811</v>
      </c>
      <c r="B72" s="40" t="s">
        <v>727</v>
      </c>
      <c r="C72" s="40" t="s">
        <v>289</v>
      </c>
      <c r="D72" s="40" t="s">
        <v>288</v>
      </c>
      <c r="E72" s="40" t="s">
        <v>263</v>
      </c>
      <c r="F72" s="40" t="s">
        <v>1092</v>
      </c>
      <c r="G72" s="40" t="s">
        <v>1382</v>
      </c>
      <c r="H72" s="40" t="s">
        <v>15</v>
      </c>
      <c r="I72" s="41" t="s">
        <v>1383</v>
      </c>
      <c r="J72" s="41" t="s">
        <v>1384</v>
      </c>
      <c r="K72" s="71" t="s">
        <v>1385</v>
      </c>
      <c r="L72" s="70"/>
      <c r="M72" s="70"/>
      <c r="N72" s="42"/>
      <c r="O72" s="42"/>
      <c r="P72" s="42"/>
      <c r="Q72" s="42"/>
      <c r="R72" s="42"/>
      <c r="S72" s="42"/>
      <c r="T72" s="42"/>
      <c r="U72" s="42"/>
      <c r="V72" s="42"/>
      <c r="W72" s="43"/>
    </row>
    <row r="73" spans="1:23" ht="13" x14ac:dyDescent="0.3">
      <c r="A73" s="44">
        <v>46080.665763888886</v>
      </c>
      <c r="B73" s="45" t="s">
        <v>777</v>
      </c>
      <c r="C73" s="45" t="s">
        <v>356</v>
      </c>
      <c r="D73" s="45" t="s">
        <v>355</v>
      </c>
      <c r="E73" s="45" t="s">
        <v>263</v>
      </c>
      <c r="F73" s="45" t="s">
        <v>1092</v>
      </c>
      <c r="G73" s="45" t="s">
        <v>1386</v>
      </c>
      <c r="H73" s="45" t="s">
        <v>15</v>
      </c>
      <c r="I73" s="41" t="s">
        <v>1387</v>
      </c>
      <c r="J73" s="41" t="s">
        <v>1388</v>
      </c>
      <c r="K73" s="71" t="s">
        <v>1389</v>
      </c>
      <c r="L73" s="70"/>
      <c r="M73" s="70"/>
      <c r="N73" s="46"/>
      <c r="O73" s="46"/>
      <c r="P73" s="46"/>
      <c r="Q73" s="46"/>
      <c r="R73" s="46"/>
      <c r="S73" s="46"/>
      <c r="T73" s="46"/>
      <c r="U73" s="46"/>
      <c r="V73" s="46"/>
      <c r="W73" s="47"/>
    </row>
    <row r="74" spans="1:23" ht="13" x14ac:dyDescent="0.3">
      <c r="A74" s="39">
        <v>46080.665925925925</v>
      </c>
      <c r="B74" s="40" t="s">
        <v>825</v>
      </c>
      <c r="C74" s="40" t="s">
        <v>33</v>
      </c>
      <c r="D74" s="40" t="s">
        <v>32</v>
      </c>
      <c r="E74" s="40" t="s">
        <v>29</v>
      </c>
      <c r="F74" s="40" t="s">
        <v>1092</v>
      </c>
      <c r="G74" s="40" t="s">
        <v>1390</v>
      </c>
      <c r="H74" s="40" t="s">
        <v>8</v>
      </c>
      <c r="I74" s="41" t="s">
        <v>1391</v>
      </c>
      <c r="J74" s="41" t="s">
        <v>1392</v>
      </c>
      <c r="K74" s="71" t="s">
        <v>1393</v>
      </c>
      <c r="L74" s="70"/>
      <c r="M74" s="70"/>
      <c r="N74" s="42"/>
      <c r="O74" s="42"/>
      <c r="P74" s="42"/>
      <c r="Q74" s="42"/>
      <c r="R74" s="42"/>
      <c r="S74" s="42"/>
      <c r="T74" s="42"/>
      <c r="U74" s="42"/>
      <c r="V74" s="42"/>
      <c r="W74" s="43"/>
    </row>
    <row r="75" spans="1:23" ht="13" x14ac:dyDescent="0.3">
      <c r="A75" s="44">
        <v>46080.67900462963</v>
      </c>
      <c r="B75" s="45" t="s">
        <v>654</v>
      </c>
      <c r="C75" s="45" t="s">
        <v>472</v>
      </c>
      <c r="D75" s="45" t="s">
        <v>471</v>
      </c>
      <c r="E75" s="45" t="s">
        <v>130</v>
      </c>
      <c r="F75" s="45" t="s">
        <v>1092</v>
      </c>
      <c r="G75" s="45" t="s">
        <v>1394</v>
      </c>
      <c r="H75" s="45" t="s">
        <v>15</v>
      </c>
      <c r="I75" s="41" t="s">
        <v>1395</v>
      </c>
      <c r="J75" s="41" t="s">
        <v>1396</v>
      </c>
      <c r="K75" s="71" t="s">
        <v>1397</v>
      </c>
      <c r="L75" s="70"/>
      <c r="M75" s="70"/>
      <c r="N75" s="46"/>
      <c r="O75" s="46"/>
      <c r="P75" s="46"/>
      <c r="Q75" s="46"/>
      <c r="R75" s="46"/>
      <c r="S75" s="46"/>
      <c r="T75" s="46"/>
      <c r="U75" s="46"/>
      <c r="V75" s="46"/>
      <c r="W75" s="47"/>
    </row>
    <row r="76" spans="1:23" ht="13" x14ac:dyDescent="0.3">
      <c r="A76" s="39">
        <v>46080.683530092596</v>
      </c>
      <c r="B76" s="40" t="s">
        <v>1398</v>
      </c>
      <c r="C76" s="40" t="s">
        <v>255</v>
      </c>
      <c r="D76" s="40" t="s">
        <v>254</v>
      </c>
      <c r="E76" s="40" t="s">
        <v>1399</v>
      </c>
      <c r="F76" s="40" t="s">
        <v>1092</v>
      </c>
      <c r="G76" s="40" t="s">
        <v>1400</v>
      </c>
      <c r="H76" s="40" t="s">
        <v>15</v>
      </c>
      <c r="I76" s="41" t="s">
        <v>1401</v>
      </c>
      <c r="J76" s="41" t="s">
        <v>1402</v>
      </c>
      <c r="K76" s="71" t="s">
        <v>1403</v>
      </c>
      <c r="L76" s="70"/>
      <c r="M76" s="70"/>
      <c r="N76" s="42"/>
      <c r="O76" s="42"/>
      <c r="P76" s="42"/>
      <c r="Q76" s="42"/>
      <c r="R76" s="42"/>
      <c r="S76" s="42"/>
      <c r="T76" s="42"/>
      <c r="U76" s="42"/>
      <c r="V76" s="42"/>
      <c r="W76" s="43"/>
    </row>
    <row r="77" spans="1:23" ht="13" x14ac:dyDescent="0.3">
      <c r="A77" s="44">
        <v>46080.685879629629</v>
      </c>
      <c r="B77" s="45" t="s">
        <v>670</v>
      </c>
      <c r="C77" s="45" t="s">
        <v>176</v>
      </c>
      <c r="D77" s="45" t="s">
        <v>175</v>
      </c>
      <c r="E77" s="45" t="s">
        <v>130</v>
      </c>
      <c r="F77" s="45" t="s">
        <v>1092</v>
      </c>
      <c r="G77" s="45" t="s">
        <v>1404</v>
      </c>
      <c r="H77" s="45" t="s">
        <v>15</v>
      </c>
      <c r="I77" s="41" t="s">
        <v>1405</v>
      </c>
      <c r="J77" s="41" t="s">
        <v>1406</v>
      </c>
      <c r="K77" s="71" t="s">
        <v>1407</v>
      </c>
      <c r="L77" s="70"/>
      <c r="M77" s="70"/>
      <c r="N77" s="46"/>
      <c r="O77" s="46"/>
      <c r="P77" s="46"/>
      <c r="Q77" s="46"/>
      <c r="R77" s="46"/>
      <c r="S77" s="46"/>
      <c r="T77" s="46"/>
      <c r="U77" s="46"/>
      <c r="V77" s="46"/>
      <c r="W77" s="47"/>
    </row>
    <row r="78" spans="1:23" ht="13" x14ac:dyDescent="0.3">
      <c r="A78" s="39">
        <v>46080.69321759259</v>
      </c>
      <c r="B78" s="40" t="s">
        <v>1408</v>
      </c>
      <c r="C78" s="40" t="s">
        <v>160</v>
      </c>
      <c r="D78" s="40" t="s">
        <v>159</v>
      </c>
      <c r="E78" s="40" t="s">
        <v>29</v>
      </c>
      <c r="F78" s="40" t="s">
        <v>1092</v>
      </c>
      <c r="G78" s="40" t="s">
        <v>1409</v>
      </c>
      <c r="H78" s="40" t="s">
        <v>15</v>
      </c>
      <c r="I78" s="41" t="s">
        <v>1410</v>
      </c>
      <c r="J78" s="41" t="s">
        <v>1411</v>
      </c>
      <c r="K78" s="71" t="s">
        <v>1412</v>
      </c>
      <c r="L78" s="70"/>
      <c r="M78" s="70"/>
      <c r="N78" s="42"/>
      <c r="O78" s="42"/>
      <c r="P78" s="42"/>
      <c r="Q78" s="42"/>
      <c r="R78" s="42"/>
      <c r="S78" s="42"/>
      <c r="T78" s="42"/>
      <c r="U78" s="42"/>
      <c r="V78" s="42"/>
      <c r="W78" s="43"/>
    </row>
    <row r="79" spans="1:23" ht="13" x14ac:dyDescent="0.3">
      <c r="A79" s="44">
        <v>46080.698495370372</v>
      </c>
      <c r="B79" s="45" t="s">
        <v>705</v>
      </c>
      <c r="C79" s="45" t="s">
        <v>285</v>
      </c>
      <c r="D79" s="45" t="s">
        <v>284</v>
      </c>
      <c r="E79" s="45" t="s">
        <v>130</v>
      </c>
      <c r="F79" s="45" t="s">
        <v>1092</v>
      </c>
      <c r="G79" s="45" t="s">
        <v>1413</v>
      </c>
      <c r="H79" s="45" t="s">
        <v>15</v>
      </c>
      <c r="I79" s="41" t="s">
        <v>1414</v>
      </c>
      <c r="J79" s="41" t="s">
        <v>1415</v>
      </c>
      <c r="K79" s="71" t="s">
        <v>1416</v>
      </c>
      <c r="L79" s="70"/>
      <c r="M79" s="70"/>
      <c r="N79" s="46"/>
      <c r="O79" s="46"/>
      <c r="P79" s="46"/>
      <c r="Q79" s="46"/>
      <c r="R79" s="46"/>
      <c r="S79" s="46"/>
      <c r="T79" s="46"/>
      <c r="U79" s="46"/>
      <c r="V79" s="46"/>
      <c r="W79" s="47"/>
    </row>
    <row r="80" spans="1:23" ht="13" x14ac:dyDescent="0.3">
      <c r="A80" s="39">
        <v>46080.704583333332</v>
      </c>
      <c r="B80" s="40" t="s">
        <v>647</v>
      </c>
      <c r="C80" s="40" t="s">
        <v>312</v>
      </c>
      <c r="D80" s="40" t="s">
        <v>311</v>
      </c>
      <c r="E80" s="40" t="s">
        <v>263</v>
      </c>
      <c r="F80" s="40" t="s">
        <v>1092</v>
      </c>
      <c r="G80" s="40" t="s">
        <v>1417</v>
      </c>
      <c r="H80" s="40" t="s">
        <v>8</v>
      </c>
      <c r="I80" s="41" t="s">
        <v>1418</v>
      </c>
      <c r="J80" s="41" t="s">
        <v>1419</v>
      </c>
      <c r="K80" s="71" t="s">
        <v>1420</v>
      </c>
      <c r="L80" s="70"/>
      <c r="M80" s="70"/>
      <c r="N80" s="42"/>
      <c r="O80" s="42"/>
      <c r="P80" s="42"/>
      <c r="Q80" s="42"/>
      <c r="R80" s="42"/>
      <c r="S80" s="42"/>
      <c r="T80" s="42"/>
      <c r="U80" s="42"/>
      <c r="V80" s="42"/>
      <c r="W80" s="43"/>
    </row>
    <row r="81" spans="1:23" ht="13" x14ac:dyDescent="0.3">
      <c r="A81" s="44">
        <v>46080.706307870372</v>
      </c>
      <c r="B81" s="45" t="s">
        <v>1421</v>
      </c>
      <c r="C81" s="45" t="s">
        <v>454</v>
      </c>
      <c r="D81" s="45" t="s">
        <v>453</v>
      </c>
      <c r="E81" s="45" t="s">
        <v>256</v>
      </c>
      <c r="F81" s="45" t="s">
        <v>1092</v>
      </c>
      <c r="G81" s="45" t="s">
        <v>1422</v>
      </c>
      <c r="H81" s="45" t="s">
        <v>15</v>
      </c>
      <c r="I81" s="41" t="s">
        <v>1423</v>
      </c>
      <c r="J81" s="41" t="s">
        <v>1424</v>
      </c>
      <c r="K81" s="71" t="s">
        <v>1425</v>
      </c>
      <c r="L81" s="70"/>
      <c r="M81" s="70"/>
      <c r="N81" s="46"/>
      <c r="O81" s="46"/>
      <c r="P81" s="46"/>
      <c r="Q81" s="46"/>
      <c r="R81" s="46"/>
      <c r="S81" s="46"/>
      <c r="T81" s="46"/>
      <c r="U81" s="46"/>
      <c r="V81" s="46"/>
      <c r="W81" s="47"/>
    </row>
    <row r="82" spans="1:23" ht="13" x14ac:dyDescent="0.3">
      <c r="A82" s="39">
        <v>46080.707511574074</v>
      </c>
      <c r="B82" s="40" t="s">
        <v>652</v>
      </c>
      <c r="C82" s="40" t="s">
        <v>468</v>
      </c>
      <c r="D82" s="40" t="s">
        <v>467</v>
      </c>
      <c r="E82" s="40" t="s">
        <v>130</v>
      </c>
      <c r="F82" s="40" t="s">
        <v>1092</v>
      </c>
      <c r="G82" s="40" t="s">
        <v>1426</v>
      </c>
      <c r="H82" s="40" t="s">
        <v>15</v>
      </c>
      <c r="I82" s="41" t="s">
        <v>1427</v>
      </c>
      <c r="J82" s="41" t="s">
        <v>1428</v>
      </c>
      <c r="K82" s="71" t="s">
        <v>1429</v>
      </c>
      <c r="L82" s="70"/>
      <c r="M82" s="70"/>
      <c r="N82" s="42"/>
      <c r="O82" s="42"/>
      <c r="P82" s="42"/>
      <c r="Q82" s="42"/>
      <c r="R82" s="42"/>
      <c r="S82" s="42"/>
      <c r="T82" s="42"/>
      <c r="U82" s="42"/>
      <c r="V82" s="42"/>
      <c r="W82" s="43"/>
    </row>
    <row r="83" spans="1:23" ht="13" x14ac:dyDescent="0.3">
      <c r="A83" s="44">
        <v>46080.712465277778</v>
      </c>
      <c r="B83" s="45" t="s">
        <v>695</v>
      </c>
      <c r="C83" s="45" t="s">
        <v>1430</v>
      </c>
      <c r="D83" s="45" t="s">
        <v>319</v>
      </c>
      <c r="E83" s="45" t="s">
        <v>263</v>
      </c>
      <c r="F83" s="45" t="s">
        <v>1092</v>
      </c>
      <c r="G83" s="45" t="s">
        <v>1431</v>
      </c>
      <c r="H83" s="45" t="s">
        <v>15</v>
      </c>
      <c r="I83" s="41" t="s">
        <v>1432</v>
      </c>
      <c r="J83" s="41" t="s">
        <v>1433</v>
      </c>
      <c r="K83" s="71" t="s">
        <v>1434</v>
      </c>
      <c r="L83" s="70"/>
      <c r="M83" s="70"/>
      <c r="N83" s="46"/>
      <c r="O83" s="46"/>
      <c r="P83" s="46"/>
      <c r="Q83" s="46"/>
      <c r="R83" s="46"/>
      <c r="S83" s="46"/>
      <c r="T83" s="46"/>
      <c r="U83" s="46"/>
      <c r="V83" s="46"/>
      <c r="W83" s="47"/>
    </row>
    <row r="84" spans="1:23" ht="13" x14ac:dyDescent="0.3">
      <c r="A84" s="39">
        <v>46080.714942129627</v>
      </c>
      <c r="B84" s="40" t="s">
        <v>737</v>
      </c>
      <c r="C84" s="40" t="s">
        <v>342</v>
      </c>
      <c r="D84" s="40" t="s">
        <v>341</v>
      </c>
      <c r="E84" s="40" t="s">
        <v>263</v>
      </c>
      <c r="F84" s="40" t="s">
        <v>1092</v>
      </c>
      <c r="G84" s="40" t="s">
        <v>1435</v>
      </c>
      <c r="H84" s="40" t="s">
        <v>15</v>
      </c>
      <c r="I84" s="41" t="s">
        <v>1436</v>
      </c>
      <c r="J84" s="41" t="s">
        <v>1437</v>
      </c>
      <c r="K84" s="71" t="s">
        <v>1438</v>
      </c>
      <c r="L84" s="70"/>
      <c r="M84" s="70"/>
      <c r="N84" s="42"/>
      <c r="O84" s="42"/>
      <c r="P84" s="42"/>
      <c r="Q84" s="42"/>
      <c r="R84" s="42"/>
      <c r="S84" s="42"/>
      <c r="T84" s="42"/>
      <c r="U84" s="42"/>
      <c r="V84" s="42"/>
      <c r="W84" s="43"/>
    </row>
    <row r="85" spans="1:23" ht="13" x14ac:dyDescent="0.3">
      <c r="A85" s="44">
        <v>46080.717465277776</v>
      </c>
      <c r="B85" s="45" t="s">
        <v>644</v>
      </c>
      <c r="C85" s="45" t="s">
        <v>265</v>
      </c>
      <c r="D85" s="45" t="s">
        <v>264</v>
      </c>
      <c r="E85" s="45" t="s">
        <v>263</v>
      </c>
      <c r="F85" s="45" t="s">
        <v>1092</v>
      </c>
      <c r="G85" s="45" t="s">
        <v>1439</v>
      </c>
      <c r="H85" s="45" t="s">
        <v>8</v>
      </c>
      <c r="I85" s="41" t="s">
        <v>1440</v>
      </c>
      <c r="J85" s="41" t="s">
        <v>1441</v>
      </c>
      <c r="K85" s="71" t="s">
        <v>1442</v>
      </c>
      <c r="L85" s="70"/>
      <c r="M85" s="70"/>
      <c r="N85" s="46"/>
      <c r="O85" s="46"/>
      <c r="P85" s="46"/>
      <c r="Q85" s="46"/>
      <c r="R85" s="46"/>
      <c r="S85" s="46"/>
      <c r="T85" s="46"/>
      <c r="U85" s="46"/>
      <c r="V85" s="46"/>
      <c r="W85" s="47"/>
    </row>
    <row r="86" spans="1:23" ht="13" x14ac:dyDescent="0.3">
      <c r="A86" s="39">
        <v>46080.723761574074</v>
      </c>
      <c r="B86" s="40" t="s">
        <v>1443</v>
      </c>
      <c r="C86" s="40" t="s">
        <v>259</v>
      </c>
      <c r="D86" s="40" t="s">
        <v>258</v>
      </c>
      <c r="E86" s="40" t="s">
        <v>260</v>
      </c>
      <c r="F86" s="40" t="s">
        <v>1092</v>
      </c>
      <c r="G86" s="40" t="s">
        <v>1444</v>
      </c>
      <c r="H86" s="40" t="s">
        <v>15</v>
      </c>
      <c r="I86" s="41" t="s">
        <v>1445</v>
      </c>
      <c r="J86" s="41" t="s">
        <v>1446</v>
      </c>
      <c r="K86" s="71" t="s">
        <v>1447</v>
      </c>
      <c r="L86" s="70"/>
      <c r="M86" s="70"/>
      <c r="N86" s="42"/>
      <c r="O86" s="42"/>
      <c r="P86" s="42"/>
      <c r="Q86" s="42"/>
      <c r="R86" s="42"/>
      <c r="S86" s="42"/>
      <c r="T86" s="42"/>
      <c r="U86" s="42"/>
      <c r="V86" s="42"/>
      <c r="W86" s="43"/>
    </row>
    <row r="87" spans="1:23" ht="13" x14ac:dyDescent="0.3">
      <c r="A87" s="44">
        <v>46080.729953703703</v>
      </c>
      <c r="B87" s="45" t="s">
        <v>800</v>
      </c>
      <c r="C87" s="45" t="s">
        <v>510</v>
      </c>
      <c r="D87" s="45" t="s">
        <v>509</v>
      </c>
      <c r="E87" s="45" t="s">
        <v>631</v>
      </c>
      <c r="F87" s="45" t="s">
        <v>1092</v>
      </c>
      <c r="G87" s="45" t="s">
        <v>617</v>
      </c>
      <c r="H87" s="45" t="s">
        <v>8</v>
      </c>
      <c r="I87" s="41" t="s">
        <v>1448</v>
      </c>
      <c r="J87" s="41" t="s">
        <v>1449</v>
      </c>
      <c r="K87" s="71" t="s">
        <v>1450</v>
      </c>
      <c r="L87" s="70"/>
      <c r="M87" s="70"/>
      <c r="N87" s="46"/>
      <c r="O87" s="46"/>
      <c r="P87" s="46"/>
      <c r="Q87" s="46"/>
      <c r="R87" s="46"/>
      <c r="S87" s="46"/>
      <c r="T87" s="46"/>
      <c r="U87" s="46"/>
      <c r="V87" s="46"/>
      <c r="W87" s="47"/>
    </row>
    <row r="88" spans="1:23" ht="13" x14ac:dyDescent="0.3">
      <c r="A88" s="39">
        <v>46080.734363425923</v>
      </c>
      <c r="B88" s="40" t="s">
        <v>674</v>
      </c>
      <c r="C88" s="40" t="s">
        <v>178</v>
      </c>
      <c r="D88" s="40" t="s">
        <v>177</v>
      </c>
      <c r="E88" s="40" t="s">
        <v>130</v>
      </c>
      <c r="F88" s="40" t="s">
        <v>1092</v>
      </c>
      <c r="G88" s="40" t="s">
        <v>1451</v>
      </c>
      <c r="H88" s="40" t="s">
        <v>15</v>
      </c>
      <c r="I88" s="41" t="s">
        <v>1452</v>
      </c>
      <c r="J88" s="41" t="s">
        <v>1453</v>
      </c>
      <c r="K88" s="71" t="s">
        <v>1454</v>
      </c>
      <c r="L88" s="70"/>
      <c r="M88" s="70"/>
      <c r="N88" s="42"/>
      <c r="O88" s="42"/>
      <c r="P88" s="42"/>
      <c r="Q88" s="42"/>
      <c r="R88" s="42"/>
      <c r="S88" s="42"/>
      <c r="T88" s="42"/>
      <c r="U88" s="42"/>
      <c r="V88" s="42"/>
      <c r="W88" s="43"/>
    </row>
    <row r="89" spans="1:23" ht="13" x14ac:dyDescent="0.3">
      <c r="A89" s="44">
        <v>46080.735439814816</v>
      </c>
      <c r="B89" s="45" t="s">
        <v>790</v>
      </c>
      <c r="C89" s="45" t="s">
        <v>158</v>
      </c>
      <c r="D89" s="45" t="s">
        <v>157</v>
      </c>
      <c r="E89" s="45" t="s">
        <v>130</v>
      </c>
      <c r="F89" s="45" t="s">
        <v>1092</v>
      </c>
      <c r="G89" s="45" t="s">
        <v>1455</v>
      </c>
      <c r="H89" s="45" t="s">
        <v>15</v>
      </c>
      <c r="I89" s="41" t="s">
        <v>1456</v>
      </c>
      <c r="J89" s="41" t="s">
        <v>1457</v>
      </c>
      <c r="K89" s="71" t="s">
        <v>1458</v>
      </c>
      <c r="L89" s="70"/>
      <c r="M89" s="70"/>
      <c r="N89" s="46"/>
      <c r="O89" s="46"/>
      <c r="P89" s="46"/>
      <c r="Q89" s="46"/>
      <c r="R89" s="46"/>
      <c r="S89" s="46"/>
      <c r="T89" s="46"/>
      <c r="U89" s="46"/>
      <c r="V89" s="46"/>
      <c r="W89" s="47"/>
    </row>
    <row r="90" spans="1:23" ht="13" x14ac:dyDescent="0.3">
      <c r="A90" s="39">
        <v>46080.741064814814</v>
      </c>
      <c r="B90" s="40" t="s">
        <v>683</v>
      </c>
      <c r="C90" s="40" t="s">
        <v>277</v>
      </c>
      <c r="D90" s="40" t="s">
        <v>276</v>
      </c>
      <c r="E90" s="40" t="s">
        <v>263</v>
      </c>
      <c r="F90" s="40" t="s">
        <v>1092</v>
      </c>
      <c r="G90" s="40" t="s">
        <v>1459</v>
      </c>
      <c r="H90" s="40" t="s">
        <v>15</v>
      </c>
      <c r="I90" s="41" t="s">
        <v>1460</v>
      </c>
      <c r="J90" s="41" t="s">
        <v>1461</v>
      </c>
      <c r="K90" s="71" t="s">
        <v>1462</v>
      </c>
      <c r="L90" s="70"/>
      <c r="M90" s="70"/>
      <c r="N90" s="42"/>
      <c r="O90" s="42"/>
      <c r="P90" s="42"/>
      <c r="Q90" s="42"/>
      <c r="R90" s="42"/>
      <c r="S90" s="42"/>
      <c r="T90" s="42"/>
      <c r="U90" s="42"/>
      <c r="V90" s="42"/>
      <c r="W90" s="43"/>
    </row>
    <row r="91" spans="1:23" ht="13" x14ac:dyDescent="0.3">
      <c r="A91" s="44">
        <v>46080.745763888888</v>
      </c>
      <c r="B91" s="45" t="s">
        <v>729</v>
      </c>
      <c r="C91" s="45" t="s">
        <v>488</v>
      </c>
      <c r="D91" s="45" t="s">
        <v>487</v>
      </c>
      <c r="E91" s="45" t="s">
        <v>130</v>
      </c>
      <c r="F91" s="45" t="s">
        <v>1092</v>
      </c>
      <c r="G91" s="45" t="s">
        <v>1463</v>
      </c>
      <c r="H91" s="45" t="s">
        <v>15</v>
      </c>
      <c r="I91" s="41" t="s">
        <v>1464</v>
      </c>
      <c r="J91" s="41" t="s">
        <v>1465</v>
      </c>
      <c r="K91" s="71" t="s">
        <v>1466</v>
      </c>
      <c r="L91" s="70"/>
      <c r="M91" s="70"/>
      <c r="N91" s="46"/>
      <c r="O91" s="46"/>
      <c r="P91" s="46"/>
      <c r="Q91" s="46"/>
      <c r="R91" s="46"/>
      <c r="S91" s="46"/>
      <c r="T91" s="46"/>
      <c r="U91" s="46"/>
      <c r="V91" s="46"/>
      <c r="W91" s="47"/>
    </row>
    <row r="92" spans="1:23" ht="13" x14ac:dyDescent="0.3">
      <c r="A92" s="39">
        <v>46080.758217592593</v>
      </c>
      <c r="B92" s="40" t="s">
        <v>824</v>
      </c>
      <c r="C92" s="40" t="s">
        <v>31</v>
      </c>
      <c r="D92" s="40" t="s">
        <v>30</v>
      </c>
      <c r="E92" s="40" t="s">
        <v>29</v>
      </c>
      <c r="F92" s="40" t="s">
        <v>1092</v>
      </c>
      <c r="G92" s="40" t="s">
        <v>1467</v>
      </c>
      <c r="H92" s="40" t="s">
        <v>15</v>
      </c>
      <c r="I92" s="41" t="s">
        <v>1468</v>
      </c>
      <c r="J92" s="41" t="s">
        <v>1469</v>
      </c>
      <c r="K92" s="71" t="s">
        <v>1470</v>
      </c>
      <c r="L92" s="70"/>
      <c r="M92" s="70"/>
      <c r="N92" s="42"/>
      <c r="O92" s="42"/>
      <c r="P92" s="42"/>
      <c r="Q92" s="42"/>
      <c r="R92" s="42"/>
      <c r="S92" s="42"/>
      <c r="T92" s="42"/>
      <c r="U92" s="42"/>
      <c r="V92" s="42"/>
      <c r="W92" s="43"/>
    </row>
    <row r="93" spans="1:23" ht="13" x14ac:dyDescent="0.3">
      <c r="A93" s="44">
        <v>46080.759791666664</v>
      </c>
      <c r="B93" s="45" t="s">
        <v>765</v>
      </c>
      <c r="C93" s="45" t="s">
        <v>520</v>
      </c>
      <c r="D93" s="45" t="s">
        <v>519</v>
      </c>
      <c r="E93" s="45" t="s">
        <v>130</v>
      </c>
      <c r="F93" s="45" t="s">
        <v>1092</v>
      </c>
      <c r="G93" s="45" t="s">
        <v>1471</v>
      </c>
      <c r="H93" s="45" t="s">
        <v>15</v>
      </c>
      <c r="I93" s="41" t="s">
        <v>1472</v>
      </c>
      <c r="J93" s="41" t="s">
        <v>1473</v>
      </c>
      <c r="K93" s="71" t="s">
        <v>1474</v>
      </c>
      <c r="L93" s="70"/>
      <c r="M93" s="70"/>
      <c r="N93" s="46"/>
      <c r="O93" s="46"/>
      <c r="P93" s="46"/>
      <c r="Q93" s="46"/>
      <c r="R93" s="46"/>
      <c r="S93" s="46"/>
      <c r="T93" s="46"/>
      <c r="U93" s="46"/>
      <c r="V93" s="46"/>
      <c r="W93" s="47"/>
    </row>
    <row r="94" spans="1:23" ht="13" x14ac:dyDescent="0.3">
      <c r="A94" s="39">
        <v>46080.79310185185</v>
      </c>
      <c r="B94" s="40" t="s">
        <v>660</v>
      </c>
      <c r="C94" s="40" t="s">
        <v>269</v>
      </c>
      <c r="D94" s="40" t="s">
        <v>268</v>
      </c>
      <c r="E94" s="40" t="s">
        <v>263</v>
      </c>
      <c r="F94" s="40" t="s">
        <v>1092</v>
      </c>
      <c r="G94" s="40" t="s">
        <v>1475</v>
      </c>
      <c r="H94" s="40" t="s">
        <v>8</v>
      </c>
      <c r="I94" s="41" t="s">
        <v>1476</v>
      </c>
      <c r="J94" s="41" t="s">
        <v>1477</v>
      </c>
      <c r="K94" s="71" t="s">
        <v>1478</v>
      </c>
      <c r="L94" s="70"/>
      <c r="M94" s="70"/>
      <c r="N94" s="42"/>
      <c r="O94" s="42"/>
      <c r="P94" s="42"/>
      <c r="Q94" s="42"/>
      <c r="R94" s="42"/>
      <c r="S94" s="42"/>
      <c r="T94" s="42"/>
      <c r="U94" s="42"/>
      <c r="V94" s="42"/>
      <c r="W94" s="43"/>
    </row>
    <row r="95" spans="1:23" ht="13" x14ac:dyDescent="0.3">
      <c r="A95" s="44">
        <v>46080.819201388891</v>
      </c>
      <c r="B95" s="45" t="s">
        <v>750</v>
      </c>
      <c r="C95" s="45" t="s">
        <v>352</v>
      </c>
      <c r="D95" s="45" t="s">
        <v>351</v>
      </c>
      <c r="E95" s="45" t="s">
        <v>1261</v>
      </c>
      <c r="F95" s="45" t="s">
        <v>1092</v>
      </c>
      <c r="G95" s="45" t="s">
        <v>1479</v>
      </c>
      <c r="H95" s="45" t="s">
        <v>15</v>
      </c>
      <c r="I95" s="41" t="s">
        <v>1480</v>
      </c>
      <c r="J95" s="41" t="s">
        <v>1481</v>
      </c>
      <c r="K95" s="71" t="s">
        <v>1482</v>
      </c>
      <c r="L95" s="70"/>
      <c r="M95" s="70"/>
      <c r="N95" s="46"/>
      <c r="O95" s="46"/>
      <c r="P95" s="46"/>
      <c r="Q95" s="46"/>
      <c r="R95" s="46"/>
      <c r="S95" s="46"/>
      <c r="T95" s="46"/>
      <c r="U95" s="46"/>
      <c r="V95" s="46"/>
      <c r="W95" s="47"/>
    </row>
    <row r="96" spans="1:23" ht="13" x14ac:dyDescent="0.3">
      <c r="A96" s="39">
        <v>46080.821053240739</v>
      </c>
      <c r="B96" s="40" t="s">
        <v>645</v>
      </c>
      <c r="C96" s="40" t="s">
        <v>267</v>
      </c>
      <c r="D96" s="40" t="s">
        <v>266</v>
      </c>
      <c r="E96" s="40" t="s">
        <v>263</v>
      </c>
      <c r="F96" s="40" t="s">
        <v>1092</v>
      </c>
      <c r="G96" s="40" t="s">
        <v>1483</v>
      </c>
      <c r="H96" s="40" t="s">
        <v>15</v>
      </c>
      <c r="I96" s="41" t="s">
        <v>1484</v>
      </c>
      <c r="J96" s="41" t="s">
        <v>1485</v>
      </c>
      <c r="K96" s="71" t="s">
        <v>1486</v>
      </c>
      <c r="L96" s="70"/>
      <c r="M96" s="70"/>
      <c r="N96" s="42"/>
      <c r="O96" s="42"/>
      <c r="P96" s="42"/>
      <c r="Q96" s="42"/>
      <c r="R96" s="42"/>
      <c r="S96" s="42"/>
      <c r="T96" s="42"/>
      <c r="U96" s="42"/>
      <c r="V96" s="42"/>
      <c r="W96" s="43"/>
    </row>
    <row r="97" spans="1:23" ht="13" x14ac:dyDescent="0.3">
      <c r="A97" s="44">
        <v>46080.825092592589</v>
      </c>
      <c r="B97" s="45" t="s">
        <v>747</v>
      </c>
      <c r="C97" s="45" t="s">
        <v>348</v>
      </c>
      <c r="D97" s="45" t="s">
        <v>347</v>
      </c>
      <c r="E97" s="45" t="s">
        <v>263</v>
      </c>
      <c r="F97" s="45" t="s">
        <v>1092</v>
      </c>
      <c r="G97" s="45" t="s">
        <v>1487</v>
      </c>
      <c r="H97" s="45" t="s">
        <v>15</v>
      </c>
      <c r="I97" s="41" t="s">
        <v>1488</v>
      </c>
      <c r="J97" s="41" t="s">
        <v>1489</v>
      </c>
      <c r="K97" s="71" t="s">
        <v>1490</v>
      </c>
      <c r="L97" s="70"/>
      <c r="M97" s="70"/>
      <c r="N97" s="46"/>
      <c r="O97" s="46"/>
      <c r="P97" s="46"/>
      <c r="Q97" s="46"/>
      <c r="R97" s="46"/>
      <c r="S97" s="46"/>
      <c r="T97" s="46"/>
      <c r="U97" s="46"/>
      <c r="V97" s="46"/>
      <c r="W97" s="47"/>
    </row>
    <row r="98" spans="1:23" ht="13" x14ac:dyDescent="0.3">
      <c r="A98" s="39">
        <v>46080.826342592591</v>
      </c>
      <c r="B98" s="40" t="s">
        <v>837</v>
      </c>
      <c r="C98" s="40" t="s">
        <v>108</v>
      </c>
      <c r="D98" s="40" t="s">
        <v>107</v>
      </c>
      <c r="E98" s="40" t="s">
        <v>29</v>
      </c>
      <c r="F98" s="40" t="s">
        <v>1092</v>
      </c>
      <c r="G98" s="40" t="s">
        <v>1491</v>
      </c>
      <c r="H98" s="40" t="s">
        <v>15</v>
      </c>
      <c r="I98" s="41" t="s">
        <v>1492</v>
      </c>
      <c r="J98" s="41" t="s">
        <v>1493</v>
      </c>
      <c r="K98" s="71" t="s">
        <v>1494</v>
      </c>
      <c r="L98" s="70"/>
      <c r="M98" s="70"/>
      <c r="N98" s="42"/>
      <c r="O98" s="42"/>
      <c r="P98" s="42"/>
      <c r="Q98" s="42"/>
      <c r="R98" s="42"/>
      <c r="S98" s="42"/>
      <c r="T98" s="42"/>
      <c r="U98" s="42"/>
      <c r="V98" s="42"/>
      <c r="W98" s="43"/>
    </row>
    <row r="99" spans="1:23" ht="13" x14ac:dyDescent="0.3">
      <c r="A99" s="44">
        <v>46080.830023148148</v>
      </c>
      <c r="B99" s="45" t="s">
        <v>785</v>
      </c>
      <c r="C99" s="45" t="s">
        <v>153</v>
      </c>
      <c r="D99" s="45" t="s">
        <v>152</v>
      </c>
      <c r="E99" s="45" t="s">
        <v>130</v>
      </c>
      <c r="F99" s="45" t="s">
        <v>1092</v>
      </c>
      <c r="G99" s="45" t="s">
        <v>1495</v>
      </c>
      <c r="H99" s="45" t="s">
        <v>15</v>
      </c>
      <c r="I99" s="41" t="s">
        <v>1496</v>
      </c>
      <c r="J99" s="41" t="s">
        <v>1497</v>
      </c>
      <c r="K99" s="71" t="s">
        <v>1498</v>
      </c>
      <c r="L99" s="70"/>
      <c r="M99" s="70"/>
      <c r="N99" s="46"/>
      <c r="O99" s="46"/>
      <c r="P99" s="46"/>
      <c r="Q99" s="46"/>
      <c r="R99" s="46"/>
      <c r="S99" s="46"/>
      <c r="T99" s="46"/>
      <c r="U99" s="46"/>
      <c r="V99" s="46"/>
      <c r="W99" s="47"/>
    </row>
    <row r="100" spans="1:23" ht="13" x14ac:dyDescent="0.3">
      <c r="A100" s="39">
        <v>46080.830370370371</v>
      </c>
      <c r="B100" s="40" t="s">
        <v>812</v>
      </c>
      <c r="C100" s="40" t="s">
        <v>380</v>
      </c>
      <c r="D100" s="40" t="s">
        <v>379</v>
      </c>
      <c r="E100" s="40" t="s">
        <v>29</v>
      </c>
      <c r="F100" s="40" t="s">
        <v>1092</v>
      </c>
      <c r="G100" s="40" t="s">
        <v>1499</v>
      </c>
      <c r="H100" s="40" t="s">
        <v>8</v>
      </c>
      <c r="I100" s="41" t="s">
        <v>1500</v>
      </c>
      <c r="J100" s="41" t="s">
        <v>1501</v>
      </c>
      <c r="K100" s="71" t="s">
        <v>1502</v>
      </c>
      <c r="L100" s="70"/>
      <c r="M100" s="70"/>
      <c r="N100" s="42"/>
      <c r="O100" s="42"/>
      <c r="P100" s="42"/>
      <c r="Q100" s="42"/>
      <c r="R100" s="42"/>
      <c r="S100" s="42"/>
      <c r="T100" s="42"/>
      <c r="U100" s="42"/>
      <c r="V100" s="42"/>
      <c r="W100" s="43"/>
    </row>
    <row r="101" spans="1:23" ht="13" x14ac:dyDescent="0.3">
      <c r="A101" s="44">
        <v>46080.850057870368</v>
      </c>
      <c r="B101" s="45" t="s">
        <v>662</v>
      </c>
      <c r="C101" s="45" t="s">
        <v>514</v>
      </c>
      <c r="D101" s="45" t="s">
        <v>513</v>
      </c>
      <c r="E101" s="45" t="s">
        <v>130</v>
      </c>
      <c r="F101" s="45" t="s">
        <v>1092</v>
      </c>
      <c r="G101" s="45" t="s">
        <v>1503</v>
      </c>
      <c r="H101" s="45" t="s">
        <v>15</v>
      </c>
      <c r="I101" s="41" t="s">
        <v>1504</v>
      </c>
      <c r="J101" s="41" t="s">
        <v>1505</v>
      </c>
      <c r="K101" s="71" t="s">
        <v>1506</v>
      </c>
      <c r="L101" s="70"/>
      <c r="M101" s="70"/>
      <c r="N101" s="46"/>
      <c r="O101" s="46"/>
      <c r="P101" s="46"/>
      <c r="Q101" s="46"/>
      <c r="R101" s="46"/>
      <c r="S101" s="46"/>
      <c r="T101" s="46"/>
      <c r="U101" s="46"/>
      <c r="V101" s="46"/>
      <c r="W101" s="47"/>
    </row>
    <row r="102" spans="1:23" ht="13" x14ac:dyDescent="0.3">
      <c r="A102" s="39">
        <v>46080.855914351851</v>
      </c>
      <c r="B102" s="40" t="s">
        <v>653</v>
      </c>
      <c r="C102" s="40" t="s">
        <v>470</v>
      </c>
      <c r="D102" s="40" t="s">
        <v>469</v>
      </c>
      <c r="E102" s="40" t="s">
        <v>130</v>
      </c>
      <c r="F102" s="40" t="s">
        <v>1092</v>
      </c>
      <c r="G102" s="40" t="s">
        <v>1507</v>
      </c>
      <c r="H102" s="40" t="s">
        <v>15</v>
      </c>
      <c r="I102" s="41" t="s">
        <v>1508</v>
      </c>
      <c r="J102" s="41" t="s">
        <v>1509</v>
      </c>
      <c r="K102" s="71" t="s">
        <v>1510</v>
      </c>
      <c r="L102" s="70"/>
      <c r="M102" s="70"/>
      <c r="N102" s="42"/>
      <c r="O102" s="42"/>
      <c r="P102" s="42"/>
      <c r="Q102" s="42"/>
      <c r="R102" s="42"/>
      <c r="S102" s="42"/>
      <c r="T102" s="42"/>
      <c r="U102" s="42"/>
      <c r="V102" s="42"/>
      <c r="W102" s="43"/>
    </row>
    <row r="103" spans="1:23" ht="13" x14ac:dyDescent="0.3">
      <c r="A103" s="44">
        <v>46080.862546296295</v>
      </c>
      <c r="B103" s="45" t="s">
        <v>636</v>
      </c>
      <c r="C103" s="45" t="s">
        <v>309</v>
      </c>
      <c r="D103" s="45" t="s">
        <v>308</v>
      </c>
      <c r="E103" s="45" t="s">
        <v>263</v>
      </c>
      <c r="F103" s="45" t="s">
        <v>1092</v>
      </c>
      <c r="G103" s="45" t="s">
        <v>1511</v>
      </c>
      <c r="H103" s="45" t="s">
        <v>8</v>
      </c>
      <c r="I103" s="41" t="s">
        <v>1512</v>
      </c>
      <c r="J103" s="41" t="s">
        <v>1513</v>
      </c>
      <c r="K103" s="71" t="s">
        <v>1514</v>
      </c>
      <c r="L103" s="70"/>
      <c r="M103" s="70"/>
      <c r="N103" s="46"/>
      <c r="O103" s="46"/>
      <c r="P103" s="46"/>
      <c r="Q103" s="46"/>
      <c r="R103" s="46"/>
      <c r="S103" s="46"/>
      <c r="T103" s="46"/>
      <c r="U103" s="46"/>
      <c r="V103" s="46"/>
      <c r="W103" s="47"/>
    </row>
    <row r="104" spans="1:23" ht="13" x14ac:dyDescent="0.3">
      <c r="A104" s="39">
        <v>46080.870069444441</v>
      </c>
      <c r="B104" s="40" t="s">
        <v>789</v>
      </c>
      <c r="C104" s="40" t="s">
        <v>362</v>
      </c>
      <c r="D104" s="40" t="s">
        <v>361</v>
      </c>
      <c r="E104" s="40" t="s">
        <v>263</v>
      </c>
      <c r="F104" s="40" t="s">
        <v>1092</v>
      </c>
      <c r="G104" s="40" t="s">
        <v>1515</v>
      </c>
      <c r="H104" s="40" t="s">
        <v>15</v>
      </c>
      <c r="I104" s="41" t="s">
        <v>1516</v>
      </c>
      <c r="J104" s="41" t="s">
        <v>1517</v>
      </c>
      <c r="K104" s="71" t="s">
        <v>1518</v>
      </c>
      <c r="L104" s="70"/>
      <c r="M104" s="70"/>
      <c r="N104" s="42"/>
      <c r="O104" s="42"/>
      <c r="P104" s="42"/>
      <c r="Q104" s="42"/>
      <c r="R104" s="42"/>
      <c r="S104" s="42"/>
      <c r="T104" s="42"/>
      <c r="U104" s="42"/>
      <c r="V104" s="42"/>
      <c r="W104" s="43"/>
    </row>
    <row r="105" spans="1:23" ht="13" x14ac:dyDescent="0.3">
      <c r="A105" s="44">
        <v>46080.898229166669</v>
      </c>
      <c r="B105" s="45" t="s">
        <v>827</v>
      </c>
      <c r="C105" s="45" t="s">
        <v>35</v>
      </c>
      <c r="D105" s="45" t="s">
        <v>34</v>
      </c>
      <c r="E105" s="45" t="s">
        <v>29</v>
      </c>
      <c r="F105" s="45" t="s">
        <v>1092</v>
      </c>
      <c r="G105" s="45" t="s">
        <v>1519</v>
      </c>
      <c r="H105" s="45" t="s">
        <v>8</v>
      </c>
      <c r="I105" s="41" t="s">
        <v>1520</v>
      </c>
      <c r="J105" s="41" t="s">
        <v>1521</v>
      </c>
      <c r="K105" s="71" t="s">
        <v>1522</v>
      </c>
      <c r="L105" s="70"/>
      <c r="M105" s="70"/>
      <c r="N105" s="46"/>
      <c r="O105" s="46"/>
      <c r="P105" s="46"/>
      <c r="Q105" s="46"/>
      <c r="R105" s="46"/>
      <c r="S105" s="46"/>
      <c r="T105" s="46"/>
      <c r="U105" s="46"/>
      <c r="V105" s="46"/>
      <c r="W105" s="47"/>
    </row>
    <row r="106" spans="1:23" ht="13" x14ac:dyDescent="0.3">
      <c r="A106" s="39">
        <v>46080.916585648149</v>
      </c>
      <c r="B106" s="40" t="s">
        <v>668</v>
      </c>
      <c r="C106" s="40" t="s">
        <v>173</v>
      </c>
      <c r="D106" s="40" t="s">
        <v>172</v>
      </c>
      <c r="E106" s="40" t="s">
        <v>130</v>
      </c>
      <c r="F106" s="40" t="s">
        <v>1092</v>
      </c>
      <c r="G106" s="40" t="s">
        <v>1523</v>
      </c>
      <c r="H106" s="40" t="s">
        <v>15</v>
      </c>
      <c r="I106" s="41" t="s">
        <v>1524</v>
      </c>
      <c r="J106" s="41" t="s">
        <v>1525</v>
      </c>
      <c r="K106" s="71" t="s">
        <v>1526</v>
      </c>
      <c r="L106" s="70"/>
      <c r="M106" s="70"/>
      <c r="N106" s="42"/>
      <c r="O106" s="42"/>
      <c r="P106" s="42"/>
      <c r="Q106" s="42"/>
      <c r="R106" s="42"/>
      <c r="S106" s="42"/>
      <c r="T106" s="42"/>
      <c r="U106" s="42"/>
      <c r="V106" s="42"/>
      <c r="W106" s="43"/>
    </row>
    <row r="107" spans="1:23" ht="13" x14ac:dyDescent="0.3">
      <c r="A107" s="44">
        <v>46080.921886574077</v>
      </c>
      <c r="B107" s="45" t="s">
        <v>772</v>
      </c>
      <c r="C107" s="45" t="s">
        <v>129</v>
      </c>
      <c r="D107" s="45" t="s">
        <v>128</v>
      </c>
      <c r="E107" s="45" t="s">
        <v>130</v>
      </c>
      <c r="F107" s="45" t="s">
        <v>1092</v>
      </c>
      <c r="G107" s="45" t="s">
        <v>1527</v>
      </c>
      <c r="H107" s="45" t="s">
        <v>15</v>
      </c>
      <c r="I107" s="41" t="s">
        <v>1528</v>
      </c>
      <c r="J107" s="41" t="s">
        <v>1529</v>
      </c>
      <c r="K107" s="71" t="s">
        <v>1530</v>
      </c>
      <c r="L107" s="70"/>
      <c r="M107" s="70"/>
      <c r="N107" s="46"/>
      <c r="O107" s="46"/>
      <c r="P107" s="46"/>
      <c r="Q107" s="46"/>
      <c r="R107" s="46"/>
      <c r="S107" s="46"/>
      <c r="T107" s="46"/>
      <c r="U107" s="46"/>
      <c r="V107" s="46"/>
      <c r="W107" s="47"/>
    </row>
    <row r="108" spans="1:23" ht="13" x14ac:dyDescent="0.3">
      <c r="A108" s="39">
        <v>46080.9219212963</v>
      </c>
      <c r="B108" s="40" t="s">
        <v>783</v>
      </c>
      <c r="C108" s="40" t="s">
        <v>134</v>
      </c>
      <c r="D108" s="40" t="s">
        <v>133</v>
      </c>
      <c r="E108" s="40" t="s">
        <v>130</v>
      </c>
      <c r="F108" s="40" t="s">
        <v>1092</v>
      </c>
      <c r="G108" s="40" t="s">
        <v>1531</v>
      </c>
      <c r="H108" s="40" t="s">
        <v>15</v>
      </c>
      <c r="I108" s="41" t="s">
        <v>1532</v>
      </c>
      <c r="J108" s="41" t="s">
        <v>1533</v>
      </c>
      <c r="K108" s="71" t="s">
        <v>1534</v>
      </c>
      <c r="L108" s="70"/>
      <c r="M108" s="70"/>
      <c r="N108" s="42"/>
      <c r="O108" s="42"/>
      <c r="P108" s="42"/>
      <c r="Q108" s="42"/>
      <c r="R108" s="42"/>
      <c r="S108" s="42"/>
      <c r="T108" s="42"/>
      <c r="U108" s="42"/>
      <c r="V108" s="42"/>
      <c r="W108" s="43"/>
    </row>
    <row r="109" spans="1:23" ht="13" x14ac:dyDescent="0.3">
      <c r="A109" s="44">
        <v>46080.938425925924</v>
      </c>
      <c r="B109" s="45" t="s">
        <v>741</v>
      </c>
      <c r="C109" s="45" t="s">
        <v>344</v>
      </c>
      <c r="D109" s="45" t="s">
        <v>343</v>
      </c>
      <c r="E109" s="45" t="s">
        <v>263</v>
      </c>
      <c r="F109" s="45" t="s">
        <v>1092</v>
      </c>
      <c r="G109" s="45" t="s">
        <v>1535</v>
      </c>
      <c r="H109" s="45" t="s">
        <v>15</v>
      </c>
      <c r="I109" s="41" t="s">
        <v>1536</v>
      </c>
      <c r="J109" s="41" t="s">
        <v>1537</v>
      </c>
      <c r="K109" s="71" t="s">
        <v>1538</v>
      </c>
      <c r="L109" s="70"/>
      <c r="M109" s="70"/>
      <c r="N109" s="46"/>
      <c r="O109" s="46"/>
      <c r="P109" s="46"/>
      <c r="Q109" s="46"/>
      <c r="R109" s="46"/>
      <c r="S109" s="46"/>
      <c r="T109" s="46"/>
      <c r="U109" s="46"/>
      <c r="V109" s="46"/>
      <c r="W109" s="47"/>
    </row>
    <row r="110" spans="1:23" ht="13" x14ac:dyDescent="0.3">
      <c r="A110" s="39">
        <v>46080.973993055559</v>
      </c>
      <c r="B110" s="40" t="s">
        <v>792</v>
      </c>
      <c r="C110" s="40" t="s">
        <v>184</v>
      </c>
      <c r="D110" s="40" t="s">
        <v>183</v>
      </c>
      <c r="E110" s="40" t="s">
        <v>29</v>
      </c>
      <c r="F110" s="40" t="s">
        <v>1092</v>
      </c>
      <c r="G110" s="40" t="s">
        <v>1539</v>
      </c>
      <c r="H110" s="40" t="s">
        <v>15</v>
      </c>
      <c r="I110" s="41" t="s">
        <v>1540</v>
      </c>
      <c r="J110" s="41" t="s">
        <v>1541</v>
      </c>
      <c r="K110" s="71" t="s">
        <v>1542</v>
      </c>
      <c r="L110" s="70"/>
      <c r="M110" s="70"/>
      <c r="N110" s="42"/>
      <c r="O110" s="42"/>
      <c r="P110" s="42"/>
      <c r="Q110" s="42"/>
      <c r="R110" s="42"/>
      <c r="S110" s="42"/>
      <c r="T110" s="42"/>
      <c r="U110" s="42"/>
      <c r="V110" s="42"/>
      <c r="W110" s="43"/>
    </row>
    <row r="111" spans="1:23" ht="13" x14ac:dyDescent="0.3">
      <c r="A111" s="44">
        <v>46080.976053240738</v>
      </c>
      <c r="B111" s="45" t="s">
        <v>734</v>
      </c>
      <c r="C111" s="45" t="s">
        <v>291</v>
      </c>
      <c r="D111" s="45" t="s">
        <v>290</v>
      </c>
      <c r="E111" s="45" t="s">
        <v>263</v>
      </c>
      <c r="F111" s="45" t="s">
        <v>1092</v>
      </c>
      <c r="G111" s="45" t="s">
        <v>1543</v>
      </c>
      <c r="H111" s="45" t="s">
        <v>8</v>
      </c>
      <c r="I111" s="41" t="s">
        <v>1544</v>
      </c>
      <c r="J111" s="41" t="s">
        <v>1545</v>
      </c>
      <c r="K111" s="71" t="s">
        <v>1546</v>
      </c>
      <c r="L111" s="70"/>
      <c r="M111" s="70"/>
      <c r="N111" s="46"/>
      <c r="O111" s="46"/>
      <c r="P111" s="46"/>
      <c r="Q111" s="46"/>
      <c r="R111" s="46"/>
      <c r="S111" s="46"/>
      <c r="T111" s="46"/>
      <c r="U111" s="46"/>
      <c r="V111" s="46"/>
      <c r="W111" s="47"/>
    </row>
    <row r="112" spans="1:23" ht="13" x14ac:dyDescent="0.3">
      <c r="A112" s="39">
        <v>46080.977094907408</v>
      </c>
      <c r="B112" s="40" t="s">
        <v>807</v>
      </c>
      <c r="C112" s="40" t="s">
        <v>616</v>
      </c>
      <c r="D112" s="40" t="s">
        <v>615</v>
      </c>
      <c r="E112" s="40" t="s">
        <v>29</v>
      </c>
      <c r="F112" s="40" t="s">
        <v>1092</v>
      </c>
      <c r="G112" s="40" t="s">
        <v>1547</v>
      </c>
      <c r="H112" s="40" t="s">
        <v>8</v>
      </c>
      <c r="I112" s="42"/>
      <c r="J112" s="42"/>
      <c r="K112" s="71" t="s">
        <v>1548</v>
      </c>
      <c r="L112" s="70"/>
      <c r="M112" s="70"/>
      <c r="N112" s="42"/>
      <c r="O112" s="42"/>
      <c r="P112" s="42"/>
      <c r="Q112" s="42"/>
      <c r="R112" s="42"/>
      <c r="S112" s="42"/>
      <c r="T112" s="42"/>
      <c r="U112" s="42"/>
      <c r="V112" s="42"/>
      <c r="W112" s="43"/>
    </row>
    <row r="113" spans="1:23" ht="13" x14ac:dyDescent="0.3">
      <c r="A113" s="44">
        <v>46080.989560185182</v>
      </c>
      <c r="B113" s="45" t="s">
        <v>901</v>
      </c>
      <c r="C113" s="45" t="s">
        <v>53</v>
      </c>
      <c r="D113" s="45" t="s">
        <v>52</v>
      </c>
      <c r="E113" s="45" t="s">
        <v>18</v>
      </c>
      <c r="F113" s="45" t="s">
        <v>1092</v>
      </c>
      <c r="G113" s="45" t="s">
        <v>1549</v>
      </c>
      <c r="H113" s="45" t="s">
        <v>15</v>
      </c>
      <c r="I113" s="41" t="s">
        <v>1550</v>
      </c>
      <c r="J113" s="41" t="s">
        <v>1551</v>
      </c>
      <c r="K113" s="71" t="s">
        <v>1552</v>
      </c>
      <c r="L113" s="70"/>
      <c r="M113" s="70"/>
      <c r="N113" s="46"/>
      <c r="O113" s="46"/>
      <c r="P113" s="46"/>
      <c r="Q113" s="46"/>
      <c r="R113" s="46"/>
      <c r="S113" s="46"/>
      <c r="T113" s="46"/>
      <c r="U113" s="46"/>
      <c r="V113" s="46"/>
      <c r="W113" s="47"/>
    </row>
    <row r="114" spans="1:23" ht="13" x14ac:dyDescent="0.3">
      <c r="A114" s="39">
        <v>46080.993055555555</v>
      </c>
      <c r="B114" s="40" t="s">
        <v>744</v>
      </c>
      <c r="C114" s="40" t="s">
        <v>1553</v>
      </c>
      <c r="D114" s="40" t="s">
        <v>345</v>
      </c>
      <c r="E114" s="40" t="s">
        <v>263</v>
      </c>
      <c r="F114" s="40" t="s">
        <v>1092</v>
      </c>
      <c r="G114" s="40" t="s">
        <v>1554</v>
      </c>
      <c r="H114" s="40" t="s">
        <v>8</v>
      </c>
      <c r="I114" s="41" t="s">
        <v>1555</v>
      </c>
      <c r="J114" s="41" t="s">
        <v>1556</v>
      </c>
      <c r="K114" s="71" t="s">
        <v>1557</v>
      </c>
      <c r="L114" s="70"/>
      <c r="M114" s="70"/>
      <c r="N114" s="42"/>
      <c r="O114" s="42"/>
      <c r="P114" s="42"/>
      <c r="Q114" s="42"/>
      <c r="R114" s="42"/>
      <c r="S114" s="42"/>
      <c r="T114" s="42"/>
      <c r="U114" s="42"/>
      <c r="V114" s="42"/>
      <c r="W114" s="43"/>
    </row>
    <row r="115" spans="1:23" ht="13" x14ac:dyDescent="0.3">
      <c r="A115" s="44">
        <v>46080.997199074074</v>
      </c>
      <c r="B115" s="45" t="s">
        <v>1035</v>
      </c>
      <c r="C115" s="45" t="s">
        <v>14</v>
      </c>
      <c r="D115" s="45" t="s">
        <v>13</v>
      </c>
      <c r="E115" s="45" t="s">
        <v>7</v>
      </c>
      <c r="F115" s="45" t="s">
        <v>1092</v>
      </c>
      <c r="G115" s="45" t="s">
        <v>1558</v>
      </c>
      <c r="H115" s="45" t="s">
        <v>8</v>
      </c>
      <c r="I115" s="41" t="s">
        <v>1559</v>
      </c>
      <c r="J115" s="41" t="s">
        <v>1560</v>
      </c>
      <c r="K115" s="71" t="s">
        <v>1561</v>
      </c>
      <c r="L115" s="70"/>
      <c r="M115" s="70"/>
      <c r="N115" s="46"/>
      <c r="O115" s="46"/>
      <c r="P115" s="46"/>
      <c r="Q115" s="46"/>
      <c r="R115" s="46"/>
      <c r="S115" s="46"/>
      <c r="T115" s="46"/>
      <c r="U115" s="46"/>
      <c r="V115" s="46"/>
      <c r="W115" s="47"/>
    </row>
    <row r="116" spans="1:23" ht="13" x14ac:dyDescent="0.3">
      <c r="A116" s="39">
        <v>46081.072743055556</v>
      </c>
      <c r="B116" s="40" t="s">
        <v>714</v>
      </c>
      <c r="C116" s="40" t="s">
        <v>330</v>
      </c>
      <c r="D116" s="40" t="s">
        <v>329</v>
      </c>
      <c r="E116" s="40" t="s">
        <v>263</v>
      </c>
      <c r="F116" s="40" t="s">
        <v>1092</v>
      </c>
      <c r="G116" s="40" t="s">
        <v>1562</v>
      </c>
      <c r="H116" s="40" t="s">
        <v>15</v>
      </c>
      <c r="I116" s="41" t="s">
        <v>1563</v>
      </c>
      <c r="J116" s="41" t="s">
        <v>1564</v>
      </c>
      <c r="K116" s="71" t="s">
        <v>1565</v>
      </c>
      <c r="L116" s="70"/>
      <c r="M116" s="70"/>
      <c r="N116" s="42"/>
      <c r="O116" s="42"/>
      <c r="P116" s="42"/>
      <c r="Q116" s="42"/>
      <c r="R116" s="42"/>
      <c r="S116" s="42"/>
      <c r="T116" s="42"/>
      <c r="U116" s="42"/>
      <c r="V116" s="42"/>
      <c r="W116" s="43"/>
    </row>
    <row r="117" spans="1:23" ht="13" x14ac:dyDescent="0.3">
      <c r="A117" s="44">
        <v>46081.196168981478</v>
      </c>
      <c r="B117" s="45" t="s">
        <v>781</v>
      </c>
      <c r="C117" s="45" t="s">
        <v>358</v>
      </c>
      <c r="D117" s="45" t="s">
        <v>357</v>
      </c>
      <c r="E117" s="45" t="s">
        <v>263</v>
      </c>
      <c r="F117" s="45" t="s">
        <v>1092</v>
      </c>
      <c r="G117" s="45" t="s">
        <v>1566</v>
      </c>
      <c r="H117" s="45" t="s">
        <v>15</v>
      </c>
      <c r="I117" s="41" t="s">
        <v>1567</v>
      </c>
      <c r="J117" s="41" t="s">
        <v>1568</v>
      </c>
      <c r="K117" s="71" t="s">
        <v>1569</v>
      </c>
      <c r="L117" s="70"/>
      <c r="M117" s="70"/>
      <c r="N117" s="46"/>
      <c r="O117" s="46"/>
      <c r="P117" s="46"/>
      <c r="Q117" s="46"/>
      <c r="R117" s="46"/>
      <c r="S117" s="46"/>
      <c r="T117" s="46"/>
      <c r="U117" s="46"/>
      <c r="V117" s="46"/>
      <c r="W117" s="47"/>
    </row>
    <row r="118" spans="1:23" ht="13" x14ac:dyDescent="0.3">
      <c r="A118" s="39">
        <v>46075.914074074077</v>
      </c>
      <c r="B118" s="40" t="s">
        <v>854</v>
      </c>
      <c r="C118" s="40" t="s">
        <v>579</v>
      </c>
      <c r="D118" s="40" t="s">
        <v>578</v>
      </c>
      <c r="E118" s="40" t="s">
        <v>543</v>
      </c>
      <c r="F118" s="72" t="s">
        <v>1570</v>
      </c>
      <c r="G118" s="70"/>
      <c r="H118" s="40" t="s">
        <v>8</v>
      </c>
      <c r="I118" s="42"/>
      <c r="J118" s="42"/>
      <c r="K118" s="42"/>
      <c r="L118" s="40" t="s">
        <v>8</v>
      </c>
      <c r="M118" s="40" t="s">
        <v>8</v>
      </c>
      <c r="N118" s="40" t="s">
        <v>580</v>
      </c>
      <c r="O118" s="41" t="s">
        <v>1571</v>
      </c>
      <c r="P118" s="41" t="s">
        <v>1572</v>
      </c>
      <c r="Q118" s="41" t="s">
        <v>1573</v>
      </c>
      <c r="R118" s="40" t="s">
        <v>580</v>
      </c>
      <c r="S118" s="41" t="s">
        <v>1574</v>
      </c>
      <c r="T118" s="41" t="s">
        <v>1575</v>
      </c>
      <c r="U118" s="71" t="s">
        <v>1576</v>
      </c>
      <c r="V118" s="70"/>
      <c r="W118" s="49" t="s">
        <v>1577</v>
      </c>
    </row>
    <row r="119" spans="1:23" ht="13" x14ac:dyDescent="0.3">
      <c r="A119" s="44">
        <v>46076.91505787037</v>
      </c>
      <c r="B119" s="45" t="s">
        <v>774</v>
      </c>
      <c r="C119" s="45" t="s">
        <v>437</v>
      </c>
      <c r="D119" s="45" t="s">
        <v>436</v>
      </c>
      <c r="E119" s="45" t="s">
        <v>130</v>
      </c>
      <c r="F119" s="69" t="s">
        <v>1570</v>
      </c>
      <c r="G119" s="70"/>
      <c r="H119" s="45" t="s">
        <v>15</v>
      </c>
      <c r="I119" s="46"/>
      <c r="J119" s="46"/>
      <c r="K119" s="46"/>
      <c r="L119" s="45" t="s">
        <v>15</v>
      </c>
      <c r="M119" s="45" t="s">
        <v>15</v>
      </c>
      <c r="N119" s="45" t="s">
        <v>438</v>
      </c>
      <c r="O119" s="41" t="s">
        <v>1578</v>
      </c>
      <c r="P119" s="41" t="s">
        <v>1579</v>
      </c>
      <c r="Q119" s="41" t="s">
        <v>1580</v>
      </c>
      <c r="R119" s="45" t="s">
        <v>438</v>
      </c>
      <c r="S119" s="41" t="s">
        <v>1581</v>
      </c>
      <c r="T119" s="41" t="s">
        <v>1582</v>
      </c>
      <c r="U119" s="41" t="s">
        <v>1583</v>
      </c>
      <c r="V119" s="71" t="s">
        <v>1584</v>
      </c>
      <c r="W119" s="70"/>
    </row>
    <row r="120" spans="1:23" ht="13" x14ac:dyDescent="0.3">
      <c r="A120" s="39">
        <v>46078.496145833335</v>
      </c>
      <c r="B120" s="40" t="s">
        <v>873</v>
      </c>
      <c r="C120" s="40" t="s">
        <v>1585</v>
      </c>
      <c r="D120" s="40" t="s">
        <v>606</v>
      </c>
      <c r="E120" s="40" t="s">
        <v>1586</v>
      </c>
      <c r="F120" s="72" t="s">
        <v>1570</v>
      </c>
      <c r="G120" s="70"/>
      <c r="H120" s="40" t="s">
        <v>15</v>
      </c>
      <c r="I120" s="42"/>
      <c r="J120" s="42"/>
      <c r="K120" s="42"/>
      <c r="L120" s="40" t="s">
        <v>15</v>
      </c>
      <c r="M120" s="40" t="s">
        <v>8</v>
      </c>
      <c r="N120" s="40" t="s">
        <v>1587</v>
      </c>
      <c r="O120" s="41" t="s">
        <v>1588</v>
      </c>
      <c r="P120" s="41" t="s">
        <v>1589</v>
      </c>
      <c r="Q120" s="41" t="s">
        <v>1590</v>
      </c>
      <c r="R120" s="40" t="s">
        <v>608</v>
      </c>
      <c r="S120" s="41" t="s">
        <v>1591</v>
      </c>
      <c r="T120" s="41" t="s">
        <v>1592</v>
      </c>
      <c r="U120" s="71" t="s">
        <v>1593</v>
      </c>
      <c r="V120" s="70"/>
      <c r="W120" s="70"/>
    </row>
    <row r="121" spans="1:23" ht="13" x14ac:dyDescent="0.3">
      <c r="A121" s="44">
        <v>46078.585578703707</v>
      </c>
      <c r="B121" s="45" t="s">
        <v>1049</v>
      </c>
      <c r="C121" s="45" t="s">
        <v>382</v>
      </c>
      <c r="D121" s="45" t="s">
        <v>381</v>
      </c>
      <c r="E121" s="45" t="s">
        <v>18</v>
      </c>
      <c r="F121" s="69" t="s">
        <v>1570</v>
      </c>
      <c r="G121" s="70"/>
      <c r="H121" s="45" t="s">
        <v>15</v>
      </c>
      <c r="I121" s="46"/>
      <c r="J121" s="46"/>
      <c r="K121" s="46"/>
      <c r="L121" s="45" t="s">
        <v>15</v>
      </c>
      <c r="M121" s="45" t="s">
        <v>15</v>
      </c>
      <c r="N121" s="45" t="s">
        <v>1594</v>
      </c>
      <c r="O121" s="41" t="s">
        <v>1595</v>
      </c>
      <c r="P121" s="41" t="s">
        <v>1596</v>
      </c>
      <c r="Q121" s="41" t="s">
        <v>1597</v>
      </c>
      <c r="R121" s="45" t="s">
        <v>1594</v>
      </c>
      <c r="S121" s="41" t="s">
        <v>1598</v>
      </c>
      <c r="T121" s="41" t="s">
        <v>1599</v>
      </c>
      <c r="U121" s="41" t="s">
        <v>1600</v>
      </c>
      <c r="V121" s="41" t="s">
        <v>1601</v>
      </c>
      <c r="W121" s="49" t="s">
        <v>1602</v>
      </c>
    </row>
    <row r="122" spans="1:23" ht="13" x14ac:dyDescent="0.3">
      <c r="A122" s="39">
        <v>46078.787453703706</v>
      </c>
      <c r="B122" s="40" t="s">
        <v>809</v>
      </c>
      <c r="C122" s="40" t="s">
        <v>441</v>
      </c>
      <c r="D122" s="40" t="s">
        <v>440</v>
      </c>
      <c r="E122" s="40" t="s">
        <v>29</v>
      </c>
      <c r="F122" s="72" t="s">
        <v>1570</v>
      </c>
      <c r="G122" s="70"/>
      <c r="H122" s="40" t="s">
        <v>8</v>
      </c>
      <c r="I122" s="42"/>
      <c r="J122" s="42"/>
      <c r="K122" s="42"/>
      <c r="L122" s="40" t="s">
        <v>8</v>
      </c>
      <c r="M122" s="40" t="s">
        <v>8</v>
      </c>
      <c r="N122" s="40" t="s">
        <v>1603</v>
      </c>
      <c r="O122" s="41" t="s">
        <v>1604</v>
      </c>
      <c r="P122" s="41" t="s">
        <v>1605</v>
      </c>
      <c r="Q122" s="41" t="s">
        <v>1606</v>
      </c>
      <c r="R122" s="40" t="s">
        <v>1607</v>
      </c>
      <c r="S122" s="41" t="s">
        <v>1608</v>
      </c>
      <c r="T122" s="41" t="s">
        <v>1609</v>
      </c>
      <c r="U122" s="41" t="s">
        <v>1610</v>
      </c>
      <c r="V122" s="71" t="s">
        <v>1611</v>
      </c>
      <c r="W122" s="70"/>
    </row>
    <row r="123" spans="1:23" ht="13" x14ac:dyDescent="0.3">
      <c r="A123" s="44">
        <v>46079.023425925923</v>
      </c>
      <c r="B123" s="45" t="s">
        <v>969</v>
      </c>
      <c r="C123" s="45" t="s">
        <v>387</v>
      </c>
      <c r="D123" s="45" t="s">
        <v>386</v>
      </c>
      <c r="E123" s="45" t="s">
        <v>18</v>
      </c>
      <c r="F123" s="69" t="s">
        <v>1570</v>
      </c>
      <c r="G123" s="70"/>
      <c r="H123" s="45" t="s">
        <v>8</v>
      </c>
      <c r="I123" s="46"/>
      <c r="J123" s="46"/>
      <c r="K123" s="46"/>
      <c r="L123" s="45" t="s">
        <v>8</v>
      </c>
      <c r="M123" s="45" t="s">
        <v>8</v>
      </c>
      <c r="N123" s="45" t="s">
        <v>1612</v>
      </c>
      <c r="O123" s="41" t="s">
        <v>1613</v>
      </c>
      <c r="P123" s="41" t="s">
        <v>1614</v>
      </c>
      <c r="Q123" s="41" t="s">
        <v>1615</v>
      </c>
      <c r="R123" s="45" t="s">
        <v>388</v>
      </c>
      <c r="S123" s="41" t="s">
        <v>1616</v>
      </c>
      <c r="T123" s="41" t="s">
        <v>1617</v>
      </c>
      <c r="U123" s="41" t="s">
        <v>1618</v>
      </c>
      <c r="V123" s="71" t="s">
        <v>1619</v>
      </c>
      <c r="W123" s="70"/>
    </row>
    <row r="124" spans="1:23" ht="13" x14ac:dyDescent="0.3">
      <c r="A124" s="39">
        <v>46079.548645833333</v>
      </c>
      <c r="B124" s="40" t="s">
        <v>1015</v>
      </c>
      <c r="C124" s="40" t="s">
        <v>93</v>
      </c>
      <c r="D124" s="40" t="s">
        <v>92</v>
      </c>
      <c r="E124" s="40" t="s">
        <v>7</v>
      </c>
      <c r="F124" s="72" t="s">
        <v>1570</v>
      </c>
      <c r="G124" s="70"/>
      <c r="H124" s="40" t="s">
        <v>8</v>
      </c>
      <c r="I124" s="42"/>
      <c r="J124" s="42"/>
      <c r="K124" s="42"/>
      <c r="L124" s="40" t="s">
        <v>8</v>
      </c>
      <c r="M124" s="40" t="s">
        <v>8</v>
      </c>
      <c r="N124" s="40" t="s">
        <v>1620</v>
      </c>
      <c r="O124" s="41" t="s">
        <v>1621</v>
      </c>
      <c r="P124" s="41" t="s">
        <v>1622</v>
      </c>
      <c r="Q124" s="41" t="s">
        <v>1623</v>
      </c>
      <c r="R124" s="40" t="s">
        <v>94</v>
      </c>
      <c r="S124" s="41" t="s">
        <v>1624</v>
      </c>
      <c r="T124" s="41" t="s">
        <v>1625</v>
      </c>
      <c r="U124" s="41" t="s">
        <v>1626</v>
      </c>
      <c r="V124" s="71" t="s">
        <v>1627</v>
      </c>
      <c r="W124" s="70"/>
    </row>
    <row r="125" spans="1:23" ht="13" x14ac:dyDescent="0.3">
      <c r="A125" s="44">
        <v>46079.890127314815</v>
      </c>
      <c r="B125" s="45" t="s">
        <v>665</v>
      </c>
      <c r="C125" s="45" t="s">
        <v>407</v>
      </c>
      <c r="D125" s="45" t="s">
        <v>406</v>
      </c>
      <c r="E125" s="45" t="s">
        <v>130</v>
      </c>
      <c r="F125" s="69" t="s">
        <v>1570</v>
      </c>
      <c r="G125" s="70"/>
      <c r="H125" s="45" t="s">
        <v>8</v>
      </c>
      <c r="I125" s="46"/>
      <c r="J125" s="46"/>
      <c r="K125" s="46"/>
      <c r="L125" s="45" t="s">
        <v>8</v>
      </c>
      <c r="M125" s="45" t="s">
        <v>8</v>
      </c>
      <c r="N125" s="45" t="s">
        <v>1628</v>
      </c>
      <c r="O125" s="41" t="s">
        <v>1629</v>
      </c>
      <c r="P125" s="41" t="s">
        <v>1630</v>
      </c>
      <c r="Q125" s="41" t="s">
        <v>1631</v>
      </c>
      <c r="R125" s="45" t="s">
        <v>408</v>
      </c>
      <c r="S125" s="41" t="s">
        <v>1632</v>
      </c>
      <c r="T125" s="41" t="s">
        <v>1633</v>
      </c>
      <c r="U125" s="41" t="s">
        <v>1634</v>
      </c>
      <c r="V125" s="41" t="s">
        <v>1635</v>
      </c>
      <c r="W125" s="49" t="s">
        <v>1636</v>
      </c>
    </row>
    <row r="126" spans="1:23" ht="13" x14ac:dyDescent="0.3">
      <c r="A126" s="39">
        <v>46079.918842592589</v>
      </c>
      <c r="B126" s="40" t="s">
        <v>862</v>
      </c>
      <c r="C126" s="40" t="s">
        <v>546</v>
      </c>
      <c r="D126" s="40" t="s">
        <v>545</v>
      </c>
      <c r="E126" s="40" t="s">
        <v>543</v>
      </c>
      <c r="F126" s="72" t="s">
        <v>1570</v>
      </c>
      <c r="G126" s="70"/>
      <c r="H126" s="40" t="s">
        <v>8</v>
      </c>
      <c r="I126" s="42"/>
      <c r="J126" s="42"/>
      <c r="K126" s="42"/>
      <c r="L126" s="40" t="s">
        <v>8</v>
      </c>
      <c r="M126" s="40" t="s">
        <v>8</v>
      </c>
      <c r="N126" s="40" t="s">
        <v>547</v>
      </c>
      <c r="O126" s="41" t="s">
        <v>1637</v>
      </c>
      <c r="P126" s="41" t="s">
        <v>1638</v>
      </c>
      <c r="Q126" s="41" t="s">
        <v>1639</v>
      </c>
      <c r="R126" s="40" t="s">
        <v>547</v>
      </c>
      <c r="S126" s="41" t="s">
        <v>1640</v>
      </c>
      <c r="T126" s="41" t="s">
        <v>1641</v>
      </c>
      <c r="U126" s="71" t="s">
        <v>1642</v>
      </c>
      <c r="V126" s="70"/>
      <c r="W126" s="70"/>
    </row>
    <row r="127" spans="1:23" ht="13" x14ac:dyDescent="0.3">
      <c r="A127" s="44">
        <v>46079.935474537036</v>
      </c>
      <c r="B127" s="45" t="s">
        <v>927</v>
      </c>
      <c r="C127" s="45" t="s">
        <v>307</v>
      </c>
      <c r="D127" s="45" t="s">
        <v>306</v>
      </c>
      <c r="E127" s="45" t="s">
        <v>18</v>
      </c>
      <c r="F127" s="69" t="s">
        <v>1570</v>
      </c>
      <c r="G127" s="70"/>
      <c r="H127" s="45" t="s">
        <v>8</v>
      </c>
      <c r="I127" s="46"/>
      <c r="J127" s="46"/>
      <c r="K127" s="46"/>
      <c r="L127" s="45" t="s">
        <v>8</v>
      </c>
      <c r="M127" s="45" t="s">
        <v>15</v>
      </c>
      <c r="N127" s="45" t="s">
        <v>1643</v>
      </c>
      <c r="O127" s="41" t="s">
        <v>1644</v>
      </c>
      <c r="P127" s="41" t="s">
        <v>1645</v>
      </c>
      <c r="Q127" s="41" t="s">
        <v>1646</v>
      </c>
      <c r="R127" s="45" t="s">
        <v>1647</v>
      </c>
      <c r="S127" s="41" t="s">
        <v>1648</v>
      </c>
      <c r="T127" s="41" t="s">
        <v>1649</v>
      </c>
      <c r="U127" s="41" t="s">
        <v>1650</v>
      </c>
      <c r="V127" s="71" t="s">
        <v>1651</v>
      </c>
      <c r="W127" s="70"/>
    </row>
    <row r="128" spans="1:23" ht="13" x14ac:dyDescent="0.3">
      <c r="A128" s="39">
        <v>46079.94672453704</v>
      </c>
      <c r="B128" s="40" t="s">
        <v>946</v>
      </c>
      <c r="C128" s="40" t="s">
        <v>249</v>
      </c>
      <c r="D128" s="40" t="s">
        <v>248</v>
      </c>
      <c r="E128" s="40" t="s">
        <v>248</v>
      </c>
      <c r="F128" s="72" t="s">
        <v>1570</v>
      </c>
      <c r="G128" s="70"/>
      <c r="H128" s="40" t="s">
        <v>15</v>
      </c>
      <c r="I128" s="42"/>
      <c r="J128" s="42"/>
      <c r="K128" s="42"/>
      <c r="L128" s="40" t="s">
        <v>15</v>
      </c>
      <c r="M128" s="40" t="s">
        <v>15</v>
      </c>
      <c r="N128" s="40" t="s">
        <v>1652</v>
      </c>
      <c r="O128" s="41" t="s">
        <v>1653</v>
      </c>
      <c r="P128" s="41" t="s">
        <v>1654</v>
      </c>
      <c r="Q128" s="41" t="s">
        <v>1655</v>
      </c>
      <c r="R128" s="40" t="s">
        <v>1656</v>
      </c>
      <c r="S128" s="41" t="s">
        <v>1657</v>
      </c>
      <c r="T128" s="41" t="s">
        <v>1658</v>
      </c>
      <c r="U128" s="71" t="s">
        <v>1659</v>
      </c>
      <c r="V128" s="70"/>
      <c r="W128" s="70"/>
    </row>
    <row r="129" spans="1:23" ht="13" x14ac:dyDescent="0.3">
      <c r="A129" s="44">
        <v>46080.007708333331</v>
      </c>
      <c r="B129" s="45" t="s">
        <v>875</v>
      </c>
      <c r="C129" s="50" t="s">
        <v>540</v>
      </c>
      <c r="D129" s="45" t="s">
        <v>609</v>
      </c>
      <c r="E129" s="45" t="s">
        <v>543</v>
      </c>
      <c r="F129" s="69" t="s">
        <v>1570</v>
      </c>
      <c r="G129" s="70"/>
      <c r="H129" s="45" t="s">
        <v>8</v>
      </c>
      <c r="I129" s="46"/>
      <c r="J129" s="46"/>
      <c r="K129" s="46"/>
      <c r="L129" s="45" t="s">
        <v>8</v>
      </c>
      <c r="M129" s="45" t="s">
        <v>8</v>
      </c>
      <c r="N129" s="45" t="s">
        <v>610</v>
      </c>
      <c r="O129" s="41" t="s">
        <v>1660</v>
      </c>
      <c r="P129" s="41" t="s">
        <v>1661</v>
      </c>
      <c r="Q129" s="41" t="s">
        <v>1662</v>
      </c>
      <c r="R129" s="45" t="s">
        <v>610</v>
      </c>
      <c r="S129" s="41" t="s">
        <v>1663</v>
      </c>
      <c r="T129" s="41" t="s">
        <v>1664</v>
      </c>
      <c r="U129" s="41" t="s">
        <v>1665</v>
      </c>
      <c r="V129" s="71" t="s">
        <v>1666</v>
      </c>
      <c r="W129" s="70"/>
    </row>
    <row r="130" spans="1:23" ht="13" x14ac:dyDescent="0.3">
      <c r="A130" s="39">
        <v>46080.028020833335</v>
      </c>
      <c r="B130" s="40" t="s">
        <v>931</v>
      </c>
      <c r="C130" s="40" t="s">
        <v>364</v>
      </c>
      <c r="D130" s="40" t="s">
        <v>363</v>
      </c>
      <c r="E130" s="40" t="s">
        <v>18</v>
      </c>
      <c r="F130" s="72" t="s">
        <v>1570</v>
      </c>
      <c r="G130" s="70"/>
      <c r="H130" s="40" t="s">
        <v>8</v>
      </c>
      <c r="I130" s="42"/>
      <c r="J130" s="42"/>
      <c r="K130" s="42"/>
      <c r="L130" s="40" t="s">
        <v>8</v>
      </c>
      <c r="M130" s="40" t="s">
        <v>15</v>
      </c>
      <c r="N130" s="40" t="s">
        <v>1667</v>
      </c>
      <c r="O130" s="41" t="s">
        <v>1668</v>
      </c>
      <c r="P130" s="41" t="s">
        <v>1669</v>
      </c>
      <c r="Q130" s="41" t="s">
        <v>1670</v>
      </c>
      <c r="R130" s="40" t="s">
        <v>1671</v>
      </c>
      <c r="S130" s="41" t="s">
        <v>1672</v>
      </c>
      <c r="T130" s="41" t="s">
        <v>1673</v>
      </c>
      <c r="U130" s="41" t="s">
        <v>1674</v>
      </c>
      <c r="V130" s="71" t="s">
        <v>1675</v>
      </c>
      <c r="W130" s="70"/>
    </row>
    <row r="131" spans="1:23" ht="13" x14ac:dyDescent="0.3">
      <c r="A131" s="44">
        <v>46080.144918981481</v>
      </c>
      <c r="B131" s="45" t="s">
        <v>933</v>
      </c>
      <c r="C131" s="45" t="s">
        <v>127</v>
      </c>
      <c r="D131" s="45" t="s">
        <v>126</v>
      </c>
      <c r="E131" s="45" t="s">
        <v>18</v>
      </c>
      <c r="F131" s="69" t="s">
        <v>1570</v>
      </c>
      <c r="G131" s="70"/>
      <c r="H131" s="45" t="s">
        <v>15</v>
      </c>
      <c r="I131" s="46"/>
      <c r="J131" s="46"/>
      <c r="K131" s="46"/>
      <c r="L131" s="45" t="s">
        <v>15</v>
      </c>
      <c r="M131" s="45" t="s">
        <v>15</v>
      </c>
      <c r="N131" s="45" t="s">
        <v>1676</v>
      </c>
      <c r="O131" s="41" t="s">
        <v>1677</v>
      </c>
      <c r="P131" s="41" t="s">
        <v>1678</v>
      </c>
      <c r="Q131" s="41" t="s">
        <v>1679</v>
      </c>
      <c r="R131" s="45" t="s">
        <v>1676</v>
      </c>
      <c r="S131" s="41" t="s">
        <v>1680</v>
      </c>
      <c r="T131" s="41" t="s">
        <v>1681</v>
      </c>
      <c r="U131" s="41" t="s">
        <v>1682</v>
      </c>
      <c r="V131" s="71" t="s">
        <v>1683</v>
      </c>
      <c r="W131" s="70"/>
    </row>
    <row r="132" spans="1:23" ht="13" x14ac:dyDescent="0.3">
      <c r="A132" s="39">
        <v>46080.342442129629</v>
      </c>
      <c r="B132" s="40" t="s">
        <v>1007</v>
      </c>
      <c r="C132" s="40" t="s">
        <v>243</v>
      </c>
      <c r="D132" s="40" t="s">
        <v>242</v>
      </c>
      <c r="E132" s="40" t="s">
        <v>7</v>
      </c>
      <c r="F132" s="72" t="s">
        <v>1570</v>
      </c>
      <c r="G132" s="70"/>
      <c r="H132" s="40" t="s">
        <v>8</v>
      </c>
      <c r="I132" s="42"/>
      <c r="J132" s="42"/>
      <c r="K132" s="42"/>
      <c r="L132" s="40" t="s">
        <v>8</v>
      </c>
      <c r="M132" s="40" t="s">
        <v>15</v>
      </c>
      <c r="N132" s="40" t="s">
        <v>1684</v>
      </c>
      <c r="O132" s="41" t="s">
        <v>1685</v>
      </c>
      <c r="P132" s="41" t="s">
        <v>1686</v>
      </c>
      <c r="Q132" s="41" t="s">
        <v>1687</v>
      </c>
      <c r="R132" s="40" t="s">
        <v>244</v>
      </c>
      <c r="S132" s="41" t="s">
        <v>1688</v>
      </c>
      <c r="T132" s="41" t="s">
        <v>1689</v>
      </c>
      <c r="U132" s="41" t="s">
        <v>1690</v>
      </c>
      <c r="V132" s="71" t="s">
        <v>1691</v>
      </c>
      <c r="W132" s="70"/>
    </row>
    <row r="133" spans="1:23" ht="13" x14ac:dyDescent="0.3">
      <c r="A133" s="44">
        <v>46080.38753472222</v>
      </c>
      <c r="B133" s="45" t="s">
        <v>799</v>
      </c>
      <c r="C133" s="45" t="s">
        <v>398</v>
      </c>
      <c r="D133" s="45" t="s">
        <v>397</v>
      </c>
      <c r="E133" s="45" t="s">
        <v>29</v>
      </c>
      <c r="F133" s="69" t="s">
        <v>1570</v>
      </c>
      <c r="G133" s="70"/>
      <c r="H133" s="45" t="s">
        <v>15</v>
      </c>
      <c r="I133" s="46"/>
      <c r="J133" s="46"/>
      <c r="K133" s="46"/>
      <c r="L133" s="45" t="s">
        <v>15</v>
      </c>
      <c r="M133" s="45" t="s">
        <v>15</v>
      </c>
      <c r="N133" s="45" t="s">
        <v>399</v>
      </c>
      <c r="O133" s="41" t="s">
        <v>1692</v>
      </c>
      <c r="P133" s="41" t="s">
        <v>1693</v>
      </c>
      <c r="Q133" s="41" t="s">
        <v>1694</v>
      </c>
      <c r="R133" s="45" t="s">
        <v>399</v>
      </c>
      <c r="S133" s="41" t="s">
        <v>1695</v>
      </c>
      <c r="T133" s="41" t="s">
        <v>1696</v>
      </c>
      <c r="U133" s="41" t="s">
        <v>1697</v>
      </c>
      <c r="V133" s="71" t="s">
        <v>1698</v>
      </c>
      <c r="W133" s="70"/>
    </row>
    <row r="134" spans="1:23" ht="13" x14ac:dyDescent="0.3">
      <c r="A134" s="39">
        <v>46080.410034722219</v>
      </c>
      <c r="B134" s="40" t="s">
        <v>974</v>
      </c>
      <c r="C134" s="40" t="s">
        <v>373</v>
      </c>
      <c r="D134" s="40" t="s">
        <v>372</v>
      </c>
      <c r="E134" s="40" t="s">
        <v>18</v>
      </c>
      <c r="F134" s="72" t="s">
        <v>1570</v>
      </c>
      <c r="G134" s="70"/>
      <c r="H134" s="40" t="s">
        <v>15</v>
      </c>
      <c r="I134" s="42"/>
      <c r="J134" s="42"/>
      <c r="K134" s="42"/>
      <c r="L134" s="40" t="s">
        <v>15</v>
      </c>
      <c r="M134" s="40" t="s">
        <v>15</v>
      </c>
      <c r="N134" s="40" t="s">
        <v>1699</v>
      </c>
      <c r="O134" s="41" t="s">
        <v>1700</v>
      </c>
      <c r="P134" s="41" t="s">
        <v>1701</v>
      </c>
      <c r="Q134" s="41" t="s">
        <v>1702</v>
      </c>
      <c r="R134" s="40" t="s">
        <v>374</v>
      </c>
      <c r="S134" s="41" t="s">
        <v>1703</v>
      </c>
      <c r="T134" s="41" t="s">
        <v>1704</v>
      </c>
      <c r="U134" s="71" t="s">
        <v>1705</v>
      </c>
      <c r="V134" s="70"/>
      <c r="W134" s="70"/>
    </row>
    <row r="135" spans="1:23" ht="13" x14ac:dyDescent="0.3">
      <c r="A135" s="44">
        <v>46080.411909722221</v>
      </c>
      <c r="B135" s="45" t="s">
        <v>871</v>
      </c>
      <c r="C135" s="45" t="s">
        <v>552</v>
      </c>
      <c r="D135" s="45" t="s">
        <v>1706</v>
      </c>
      <c r="E135" s="45" t="s">
        <v>543</v>
      </c>
      <c r="F135" s="69" t="s">
        <v>1570</v>
      </c>
      <c r="G135" s="70"/>
      <c r="H135" s="45" t="s">
        <v>8</v>
      </c>
      <c r="I135" s="46"/>
      <c r="J135" s="46"/>
      <c r="K135" s="46"/>
      <c r="L135" s="45" t="s">
        <v>8</v>
      </c>
      <c r="M135" s="45" t="s">
        <v>8</v>
      </c>
      <c r="N135" s="45" t="s">
        <v>1707</v>
      </c>
      <c r="O135" s="41" t="s">
        <v>1708</v>
      </c>
      <c r="P135" s="41" t="s">
        <v>1709</v>
      </c>
      <c r="Q135" s="41" t="s">
        <v>1710</v>
      </c>
      <c r="R135" s="45" t="s">
        <v>1707</v>
      </c>
      <c r="S135" s="41" t="s">
        <v>1711</v>
      </c>
      <c r="T135" s="41" t="s">
        <v>1712</v>
      </c>
      <c r="U135" s="71" t="s">
        <v>1713</v>
      </c>
      <c r="V135" s="70"/>
      <c r="W135" s="70"/>
    </row>
    <row r="136" spans="1:23" ht="13" x14ac:dyDescent="0.3">
      <c r="A136" s="39">
        <v>46080.413958333331</v>
      </c>
      <c r="B136" s="40" t="s">
        <v>831</v>
      </c>
      <c r="C136" s="40" t="s">
        <v>496</v>
      </c>
      <c r="D136" s="40" t="s">
        <v>495</v>
      </c>
      <c r="E136" s="40" t="s">
        <v>29</v>
      </c>
      <c r="F136" s="72" t="s">
        <v>1570</v>
      </c>
      <c r="G136" s="70"/>
      <c r="H136" s="40" t="s">
        <v>8</v>
      </c>
      <c r="I136" s="42"/>
      <c r="J136" s="42"/>
      <c r="K136" s="42"/>
      <c r="L136" s="40" t="s">
        <v>8</v>
      </c>
      <c r="M136" s="40" t="s">
        <v>15</v>
      </c>
      <c r="N136" s="40" t="s">
        <v>1714</v>
      </c>
      <c r="O136" s="41" t="s">
        <v>1715</v>
      </c>
      <c r="P136" s="41" t="s">
        <v>1716</v>
      </c>
      <c r="Q136" s="41" t="s">
        <v>1717</v>
      </c>
      <c r="R136" s="40" t="s">
        <v>497</v>
      </c>
      <c r="S136" s="41" t="s">
        <v>1718</v>
      </c>
      <c r="T136" s="41" t="s">
        <v>1719</v>
      </c>
      <c r="U136" s="41" t="s">
        <v>1720</v>
      </c>
      <c r="V136" s="71" t="s">
        <v>1721</v>
      </c>
      <c r="W136" s="70"/>
    </row>
    <row r="137" spans="1:23" ht="13" x14ac:dyDescent="0.3">
      <c r="A137" s="44">
        <v>46080.4299537037</v>
      </c>
      <c r="B137" s="45" t="s">
        <v>937</v>
      </c>
      <c r="C137" s="45" t="s">
        <v>935</v>
      </c>
      <c r="D137" s="45" t="s">
        <v>245</v>
      </c>
      <c r="E137" s="45" t="s">
        <v>18</v>
      </c>
      <c r="F137" s="69" t="s">
        <v>1570</v>
      </c>
      <c r="G137" s="70"/>
      <c r="H137" s="45" t="s">
        <v>15</v>
      </c>
      <c r="I137" s="46"/>
      <c r="J137" s="46"/>
      <c r="K137" s="46"/>
      <c r="L137" s="45" t="s">
        <v>15</v>
      </c>
      <c r="M137" s="45" t="s">
        <v>15</v>
      </c>
      <c r="N137" s="45" t="s">
        <v>247</v>
      </c>
      <c r="O137" s="41" t="s">
        <v>1722</v>
      </c>
      <c r="P137" s="41" t="s">
        <v>1723</v>
      </c>
      <c r="Q137" s="41" t="s">
        <v>1724</v>
      </c>
      <c r="R137" s="45" t="s">
        <v>247</v>
      </c>
      <c r="S137" s="41" t="s">
        <v>1725</v>
      </c>
      <c r="T137" s="41" t="s">
        <v>1726</v>
      </c>
      <c r="U137" s="41" t="s">
        <v>1727</v>
      </c>
      <c r="V137" s="71" t="s">
        <v>1728</v>
      </c>
      <c r="W137" s="70"/>
    </row>
    <row r="138" spans="1:23" ht="13" x14ac:dyDescent="0.3">
      <c r="A138" s="39">
        <v>46080.448287037034</v>
      </c>
      <c r="B138" s="40" t="s">
        <v>951</v>
      </c>
      <c r="C138" s="40" t="s">
        <v>143</v>
      </c>
      <c r="D138" s="40" t="s">
        <v>142</v>
      </c>
      <c r="E138" s="40" t="s">
        <v>18</v>
      </c>
      <c r="F138" s="72" t="s">
        <v>1570</v>
      </c>
      <c r="G138" s="70"/>
      <c r="H138" s="40" t="s">
        <v>8</v>
      </c>
      <c r="I138" s="42"/>
      <c r="J138" s="42"/>
      <c r="K138" s="42"/>
      <c r="L138" s="40" t="s">
        <v>8</v>
      </c>
      <c r="M138" s="40" t="s">
        <v>15</v>
      </c>
      <c r="N138" s="40" t="s">
        <v>1729</v>
      </c>
      <c r="O138" s="41" t="s">
        <v>1730</v>
      </c>
      <c r="P138" s="41" t="s">
        <v>1731</v>
      </c>
      <c r="Q138" s="41" t="s">
        <v>1732</v>
      </c>
      <c r="R138" s="40" t="s">
        <v>1733</v>
      </c>
      <c r="S138" s="41" t="s">
        <v>1734</v>
      </c>
      <c r="T138" s="41" t="s">
        <v>1735</v>
      </c>
      <c r="U138" s="41" t="s">
        <v>1736</v>
      </c>
      <c r="V138" s="71" t="s">
        <v>1737</v>
      </c>
      <c r="W138" s="70"/>
    </row>
    <row r="139" spans="1:23" ht="13" x14ac:dyDescent="0.3">
      <c r="A139" s="44">
        <v>46080.475277777776</v>
      </c>
      <c r="B139" s="45" t="s">
        <v>1738</v>
      </c>
      <c r="C139" s="45" t="s">
        <v>443</v>
      </c>
      <c r="D139" s="45" t="s">
        <v>442</v>
      </c>
      <c r="E139" s="45" t="s">
        <v>29</v>
      </c>
      <c r="F139" s="69" t="s">
        <v>1570</v>
      </c>
      <c r="G139" s="70"/>
      <c r="H139" s="45" t="s">
        <v>8</v>
      </c>
      <c r="I139" s="46"/>
      <c r="J139" s="46"/>
      <c r="K139" s="46"/>
      <c r="L139" s="45" t="s">
        <v>8</v>
      </c>
      <c r="M139" s="45" t="s">
        <v>8</v>
      </c>
      <c r="N139" s="45" t="s">
        <v>1739</v>
      </c>
      <c r="O139" s="41" t="s">
        <v>1740</v>
      </c>
      <c r="P139" s="41" t="s">
        <v>1741</v>
      </c>
      <c r="Q139" s="41" t="s">
        <v>1742</v>
      </c>
      <c r="R139" s="45" t="s">
        <v>1739</v>
      </c>
      <c r="S139" s="41" t="s">
        <v>1743</v>
      </c>
      <c r="T139" s="41" t="s">
        <v>1744</v>
      </c>
      <c r="U139" s="41" t="s">
        <v>1745</v>
      </c>
      <c r="V139" s="71" t="s">
        <v>1746</v>
      </c>
      <c r="W139" s="70"/>
    </row>
    <row r="140" spans="1:23" ht="13" x14ac:dyDescent="0.3">
      <c r="A140" s="39">
        <v>46080.478912037041</v>
      </c>
      <c r="B140" s="40" t="s">
        <v>736</v>
      </c>
      <c r="C140" s="40" t="s">
        <v>445</v>
      </c>
      <c r="D140" s="40" t="s">
        <v>444</v>
      </c>
      <c r="E140" s="40" t="s">
        <v>130</v>
      </c>
      <c r="F140" s="72" t="s">
        <v>1570</v>
      </c>
      <c r="G140" s="70"/>
      <c r="H140" s="40" t="s">
        <v>15</v>
      </c>
      <c r="I140" s="42"/>
      <c r="J140" s="42"/>
      <c r="K140" s="42"/>
      <c r="L140" s="40" t="s">
        <v>15</v>
      </c>
      <c r="M140" s="40" t="s">
        <v>15</v>
      </c>
      <c r="N140" s="40" t="s">
        <v>446</v>
      </c>
      <c r="O140" s="41" t="s">
        <v>1747</v>
      </c>
      <c r="P140" s="41" t="s">
        <v>1748</v>
      </c>
      <c r="Q140" s="41" t="s">
        <v>1749</v>
      </c>
      <c r="R140" s="40" t="s">
        <v>446</v>
      </c>
      <c r="S140" s="41" t="s">
        <v>1750</v>
      </c>
      <c r="T140" s="41" t="s">
        <v>1751</v>
      </c>
      <c r="U140" s="71" t="s">
        <v>1752</v>
      </c>
      <c r="V140" s="70"/>
      <c r="W140" s="70"/>
    </row>
    <row r="141" spans="1:23" ht="13" x14ac:dyDescent="0.3">
      <c r="A141" s="44">
        <v>46080.479108796295</v>
      </c>
      <c r="B141" s="45" t="s">
        <v>922</v>
      </c>
      <c r="C141" s="45" t="s">
        <v>218</v>
      </c>
      <c r="D141" s="45" t="s">
        <v>217</v>
      </c>
      <c r="E141" s="45" t="s">
        <v>18</v>
      </c>
      <c r="F141" s="69" t="s">
        <v>1570</v>
      </c>
      <c r="G141" s="70"/>
      <c r="H141" s="45" t="s">
        <v>8</v>
      </c>
      <c r="I141" s="46"/>
      <c r="J141" s="46"/>
      <c r="K141" s="46"/>
      <c r="L141" s="45" t="s">
        <v>8</v>
      </c>
      <c r="M141" s="45" t="s">
        <v>8</v>
      </c>
      <c r="N141" s="45" t="s">
        <v>1753</v>
      </c>
      <c r="O141" s="41" t="s">
        <v>1754</v>
      </c>
      <c r="P141" s="41" t="s">
        <v>1755</v>
      </c>
      <c r="Q141" s="41" t="s">
        <v>1756</v>
      </c>
      <c r="R141" s="45" t="s">
        <v>1753</v>
      </c>
      <c r="S141" s="41" t="s">
        <v>1757</v>
      </c>
      <c r="T141" s="41" t="s">
        <v>1758</v>
      </c>
      <c r="U141" s="41" t="s">
        <v>1759</v>
      </c>
      <c r="V141" s="71" t="s">
        <v>1760</v>
      </c>
      <c r="W141" s="70"/>
    </row>
    <row r="142" spans="1:23" ht="13" x14ac:dyDescent="0.3">
      <c r="A142" s="39">
        <v>46080.479444444441</v>
      </c>
      <c r="B142" s="40" t="s">
        <v>878</v>
      </c>
      <c r="C142" s="40" t="s">
        <v>558</v>
      </c>
      <c r="D142" s="40" t="s">
        <v>557</v>
      </c>
      <c r="E142" s="40" t="s">
        <v>543</v>
      </c>
      <c r="F142" s="72" t="s">
        <v>1570</v>
      </c>
      <c r="G142" s="70"/>
      <c r="H142" s="40" t="s">
        <v>8</v>
      </c>
      <c r="I142" s="42"/>
      <c r="J142" s="42"/>
      <c r="K142" s="42"/>
      <c r="L142" s="40" t="s">
        <v>8</v>
      </c>
      <c r="M142" s="40" t="s">
        <v>8</v>
      </c>
      <c r="N142" s="40" t="s">
        <v>559</v>
      </c>
      <c r="O142" s="41" t="s">
        <v>1761</v>
      </c>
      <c r="P142" s="41" t="s">
        <v>1762</v>
      </c>
      <c r="Q142" s="41" t="s">
        <v>1763</v>
      </c>
      <c r="R142" s="40" t="s">
        <v>559</v>
      </c>
      <c r="S142" s="41" t="s">
        <v>1764</v>
      </c>
      <c r="T142" s="41" t="s">
        <v>1765</v>
      </c>
      <c r="U142" s="41" t="s">
        <v>1766</v>
      </c>
      <c r="V142" s="71" t="s">
        <v>1767</v>
      </c>
      <c r="W142" s="70"/>
    </row>
    <row r="143" spans="1:23" ht="13" x14ac:dyDescent="0.3">
      <c r="A143" s="44">
        <v>46080.498645833337</v>
      </c>
      <c r="B143" s="45" t="s">
        <v>1768</v>
      </c>
      <c r="C143" s="45" t="s">
        <v>89</v>
      </c>
      <c r="D143" s="45" t="s">
        <v>88</v>
      </c>
      <c r="E143" s="45" t="s">
        <v>18</v>
      </c>
      <c r="F143" s="69" t="s">
        <v>1570</v>
      </c>
      <c r="G143" s="70"/>
      <c r="H143" s="45" t="s">
        <v>8</v>
      </c>
      <c r="I143" s="46"/>
      <c r="J143" s="46"/>
      <c r="K143" s="46"/>
      <c r="L143" s="45" t="s">
        <v>8</v>
      </c>
      <c r="M143" s="45" t="s">
        <v>15</v>
      </c>
      <c r="N143" s="45" t="s">
        <v>1769</v>
      </c>
      <c r="O143" s="41" t="s">
        <v>1770</v>
      </c>
      <c r="P143" s="41" t="s">
        <v>1771</v>
      </c>
      <c r="Q143" s="41" t="s">
        <v>1772</v>
      </c>
      <c r="R143" s="45" t="s">
        <v>1773</v>
      </c>
      <c r="S143" s="41" t="s">
        <v>1774</v>
      </c>
      <c r="T143" s="41" t="s">
        <v>1775</v>
      </c>
      <c r="U143" s="41" t="s">
        <v>1776</v>
      </c>
      <c r="V143" s="71" t="s">
        <v>1777</v>
      </c>
      <c r="W143" s="70"/>
    </row>
    <row r="144" spans="1:23" ht="13" x14ac:dyDescent="0.3">
      <c r="A144" s="39">
        <v>46080.502743055556</v>
      </c>
      <c r="B144" s="40" t="s">
        <v>896</v>
      </c>
      <c r="C144" s="40" t="s">
        <v>17</v>
      </c>
      <c r="D144" s="40" t="s">
        <v>16</v>
      </c>
      <c r="E144" s="40" t="s">
        <v>18</v>
      </c>
      <c r="F144" s="72" t="s">
        <v>1570</v>
      </c>
      <c r="G144" s="70"/>
      <c r="H144" s="40" t="s">
        <v>15</v>
      </c>
      <c r="I144" s="42"/>
      <c r="J144" s="42"/>
      <c r="K144" s="42"/>
      <c r="L144" s="40" t="s">
        <v>15</v>
      </c>
      <c r="M144" s="40" t="s">
        <v>15</v>
      </c>
      <c r="N144" s="40" t="s">
        <v>1778</v>
      </c>
      <c r="O144" s="41" t="s">
        <v>1779</v>
      </c>
      <c r="P144" s="41" t="s">
        <v>1780</v>
      </c>
      <c r="Q144" s="41" t="s">
        <v>1781</v>
      </c>
      <c r="R144" s="40" t="s">
        <v>19</v>
      </c>
      <c r="S144" s="41" t="s">
        <v>1782</v>
      </c>
      <c r="T144" s="41" t="s">
        <v>1783</v>
      </c>
      <c r="U144" s="41" t="s">
        <v>1784</v>
      </c>
      <c r="V144" s="71" t="s">
        <v>1785</v>
      </c>
      <c r="W144" s="70"/>
    </row>
    <row r="145" spans="1:23" ht="13" x14ac:dyDescent="0.3">
      <c r="A145" s="44">
        <v>46080.528298611112</v>
      </c>
      <c r="B145" s="45" t="s">
        <v>920</v>
      </c>
      <c r="C145" s="45" t="s">
        <v>56</v>
      </c>
      <c r="D145" s="45" t="s">
        <v>55</v>
      </c>
      <c r="E145" s="45" t="s">
        <v>18</v>
      </c>
      <c r="F145" s="69" t="s">
        <v>1570</v>
      </c>
      <c r="G145" s="70"/>
      <c r="H145" s="45" t="s">
        <v>15</v>
      </c>
      <c r="I145" s="46"/>
      <c r="J145" s="46"/>
      <c r="K145" s="46"/>
      <c r="L145" s="45" t="s">
        <v>15</v>
      </c>
      <c r="M145" s="45" t="s">
        <v>15</v>
      </c>
      <c r="N145" s="45" t="s">
        <v>1786</v>
      </c>
      <c r="O145" s="41" t="s">
        <v>1787</v>
      </c>
      <c r="P145" s="41" t="s">
        <v>1788</v>
      </c>
      <c r="Q145" s="41" t="s">
        <v>1789</v>
      </c>
      <c r="R145" s="45" t="s">
        <v>1786</v>
      </c>
      <c r="S145" s="41" t="s">
        <v>1790</v>
      </c>
      <c r="T145" s="41" t="s">
        <v>1791</v>
      </c>
      <c r="U145" s="41" t="s">
        <v>1792</v>
      </c>
      <c r="V145" s="71" t="s">
        <v>1793</v>
      </c>
      <c r="W145" s="70"/>
    </row>
    <row r="146" spans="1:23" ht="13" x14ac:dyDescent="0.3">
      <c r="A146" s="39">
        <v>46080.539837962962</v>
      </c>
      <c r="B146" s="40" t="s">
        <v>703</v>
      </c>
      <c r="C146" s="40" t="s">
        <v>537</v>
      </c>
      <c r="D146" s="40" t="s">
        <v>536</v>
      </c>
      <c r="E146" s="40" t="s">
        <v>130</v>
      </c>
      <c r="F146" s="72" t="s">
        <v>1570</v>
      </c>
      <c r="G146" s="70"/>
      <c r="H146" s="40" t="s">
        <v>15</v>
      </c>
      <c r="I146" s="42"/>
      <c r="J146" s="42"/>
      <c r="K146" s="42"/>
      <c r="L146" s="40" t="s">
        <v>15</v>
      </c>
      <c r="M146" s="40" t="s">
        <v>15</v>
      </c>
      <c r="N146" s="40" t="s">
        <v>538</v>
      </c>
      <c r="O146" s="41" t="s">
        <v>1794</v>
      </c>
      <c r="P146" s="41" t="s">
        <v>1795</v>
      </c>
      <c r="Q146" s="41" t="s">
        <v>1796</v>
      </c>
      <c r="R146" s="40" t="s">
        <v>538</v>
      </c>
      <c r="S146" s="41" t="s">
        <v>1797</v>
      </c>
      <c r="T146" s="41" t="s">
        <v>1798</v>
      </c>
      <c r="U146" s="71" t="s">
        <v>1799</v>
      </c>
      <c r="V146" s="70"/>
      <c r="W146" s="70"/>
    </row>
    <row r="147" spans="1:23" ht="13" x14ac:dyDescent="0.3">
      <c r="A147" s="44">
        <v>46080.547337962962</v>
      </c>
      <c r="B147" s="45" t="s">
        <v>906</v>
      </c>
      <c r="C147" s="45" t="s">
        <v>25</v>
      </c>
      <c r="D147" s="45" t="s">
        <v>24</v>
      </c>
      <c r="E147" s="45" t="s">
        <v>18</v>
      </c>
      <c r="F147" s="69" t="s">
        <v>1570</v>
      </c>
      <c r="G147" s="70"/>
      <c r="H147" s="45" t="s">
        <v>15</v>
      </c>
      <c r="I147" s="46"/>
      <c r="J147" s="46"/>
      <c r="K147" s="46"/>
      <c r="L147" s="45" t="s">
        <v>15</v>
      </c>
      <c r="M147" s="45" t="s">
        <v>15</v>
      </c>
      <c r="N147" s="45" t="s">
        <v>26</v>
      </c>
      <c r="O147" s="41" t="s">
        <v>1800</v>
      </c>
      <c r="P147" s="41" t="s">
        <v>1801</v>
      </c>
      <c r="Q147" s="41" t="s">
        <v>1802</v>
      </c>
      <c r="R147" s="45" t="s">
        <v>26</v>
      </c>
      <c r="S147" s="41" t="s">
        <v>1803</v>
      </c>
      <c r="T147" s="41" t="s">
        <v>1804</v>
      </c>
      <c r="U147" s="41" t="s">
        <v>1805</v>
      </c>
      <c r="V147" s="71" t="s">
        <v>1806</v>
      </c>
      <c r="W147" s="70"/>
    </row>
    <row r="148" spans="1:23" ht="13" x14ac:dyDescent="0.3">
      <c r="A148" s="39">
        <v>46080.547800925924</v>
      </c>
      <c r="B148" s="40" t="s">
        <v>952</v>
      </c>
      <c r="C148" s="40" t="s">
        <v>145</v>
      </c>
      <c r="D148" s="40" t="s">
        <v>144</v>
      </c>
      <c r="E148" s="40" t="s">
        <v>18</v>
      </c>
      <c r="F148" s="72" t="s">
        <v>1570</v>
      </c>
      <c r="G148" s="70"/>
      <c r="H148" s="40" t="s">
        <v>15</v>
      </c>
      <c r="I148" s="42"/>
      <c r="J148" s="42"/>
      <c r="K148" s="42"/>
      <c r="L148" s="40" t="s">
        <v>15</v>
      </c>
      <c r="M148" s="40" t="s">
        <v>15</v>
      </c>
      <c r="N148" s="40" t="s">
        <v>1807</v>
      </c>
      <c r="O148" s="41" t="s">
        <v>1808</v>
      </c>
      <c r="P148" s="41" t="s">
        <v>1809</v>
      </c>
      <c r="Q148" s="41" t="s">
        <v>1810</v>
      </c>
      <c r="R148" s="40" t="s">
        <v>1807</v>
      </c>
      <c r="S148" s="41" t="s">
        <v>1811</v>
      </c>
      <c r="T148" s="41" t="s">
        <v>1812</v>
      </c>
      <c r="U148" s="41" t="s">
        <v>1813</v>
      </c>
      <c r="V148" s="71" t="s">
        <v>1814</v>
      </c>
      <c r="W148" s="70"/>
    </row>
    <row r="149" spans="1:23" ht="13" x14ac:dyDescent="0.3">
      <c r="A149" s="44">
        <v>46080.550509259258</v>
      </c>
      <c r="B149" s="45" t="s">
        <v>1039</v>
      </c>
      <c r="C149" s="45" t="s">
        <v>69</v>
      </c>
      <c r="D149" s="45" t="s">
        <v>68</v>
      </c>
      <c r="E149" s="45" t="s">
        <v>995</v>
      </c>
      <c r="F149" s="69" t="s">
        <v>1570</v>
      </c>
      <c r="G149" s="70"/>
      <c r="H149" s="45" t="s">
        <v>8</v>
      </c>
      <c r="I149" s="46"/>
      <c r="J149" s="46"/>
      <c r="K149" s="46"/>
      <c r="L149" s="45" t="s">
        <v>8</v>
      </c>
      <c r="M149" s="45" t="s">
        <v>8</v>
      </c>
      <c r="N149" s="45" t="s">
        <v>70</v>
      </c>
      <c r="O149" s="41" t="s">
        <v>1815</v>
      </c>
      <c r="P149" s="41" t="s">
        <v>1816</v>
      </c>
      <c r="Q149" s="41" t="s">
        <v>1817</v>
      </c>
      <c r="R149" s="45" t="s">
        <v>70</v>
      </c>
      <c r="S149" s="41" t="s">
        <v>1818</v>
      </c>
      <c r="T149" s="41" t="s">
        <v>1819</v>
      </c>
      <c r="U149" s="71" t="s">
        <v>1820</v>
      </c>
      <c r="V149" s="70"/>
      <c r="W149" s="70"/>
    </row>
    <row r="150" spans="1:23" ht="13" x14ac:dyDescent="0.3">
      <c r="A150" s="39">
        <v>46080.552129629628</v>
      </c>
      <c r="B150" s="40" t="s">
        <v>816</v>
      </c>
      <c r="C150" s="40" t="s">
        <v>420</v>
      </c>
      <c r="D150" s="40" t="s">
        <v>419</v>
      </c>
      <c r="E150" s="40" t="s">
        <v>29</v>
      </c>
      <c r="F150" s="72" t="s">
        <v>1570</v>
      </c>
      <c r="G150" s="70"/>
      <c r="H150" s="40" t="s">
        <v>8</v>
      </c>
      <c r="I150" s="42"/>
      <c r="J150" s="42"/>
      <c r="K150" s="42"/>
      <c r="L150" s="40" t="s">
        <v>8</v>
      </c>
      <c r="M150" s="40" t="s">
        <v>8</v>
      </c>
      <c r="N150" s="40" t="s">
        <v>421</v>
      </c>
      <c r="O150" s="41" t="s">
        <v>1821</v>
      </c>
      <c r="P150" s="41" t="s">
        <v>1822</v>
      </c>
      <c r="Q150" s="41" t="s">
        <v>1823</v>
      </c>
      <c r="R150" s="40" t="s">
        <v>421</v>
      </c>
      <c r="S150" s="41" t="s">
        <v>1824</v>
      </c>
      <c r="T150" s="41" t="s">
        <v>1825</v>
      </c>
      <c r="U150" s="71" t="s">
        <v>1826</v>
      </c>
      <c r="V150" s="70"/>
      <c r="W150" s="70"/>
    </row>
    <row r="151" spans="1:23" ht="13" x14ac:dyDescent="0.3">
      <c r="A151" s="44">
        <v>46080.558668981481</v>
      </c>
      <c r="B151" s="45" t="s">
        <v>692</v>
      </c>
      <c r="C151" s="45" t="s">
        <v>534</v>
      </c>
      <c r="D151" s="45" t="s">
        <v>533</v>
      </c>
      <c r="E151" s="45" t="s">
        <v>130</v>
      </c>
      <c r="F151" s="69" t="s">
        <v>1570</v>
      </c>
      <c r="G151" s="70"/>
      <c r="H151" s="45" t="s">
        <v>8</v>
      </c>
      <c r="I151" s="46"/>
      <c r="J151" s="46"/>
      <c r="K151" s="46"/>
      <c r="L151" s="45" t="s">
        <v>8</v>
      </c>
      <c r="M151" s="45" t="s">
        <v>8</v>
      </c>
      <c r="N151" s="45" t="s">
        <v>1827</v>
      </c>
      <c r="O151" s="41" t="s">
        <v>1828</v>
      </c>
      <c r="P151" s="41" t="s">
        <v>1829</v>
      </c>
      <c r="Q151" s="41" t="s">
        <v>1830</v>
      </c>
      <c r="R151" s="45" t="s">
        <v>535</v>
      </c>
      <c r="S151" s="41" t="s">
        <v>1831</v>
      </c>
      <c r="T151" s="41" t="s">
        <v>1832</v>
      </c>
      <c r="U151" s="41" t="s">
        <v>1833</v>
      </c>
      <c r="V151" s="71" t="s">
        <v>1834</v>
      </c>
      <c r="W151" s="70"/>
    </row>
    <row r="152" spans="1:23" ht="13" x14ac:dyDescent="0.3">
      <c r="A152" s="39">
        <v>46080.619791666664</v>
      </c>
      <c r="B152" s="40" t="s">
        <v>876</v>
      </c>
      <c r="C152" s="40" t="s">
        <v>597</v>
      </c>
      <c r="D152" s="40" t="s">
        <v>596</v>
      </c>
      <c r="E152" s="40" t="s">
        <v>543</v>
      </c>
      <c r="F152" s="72" t="s">
        <v>1570</v>
      </c>
      <c r="G152" s="70"/>
      <c r="H152" s="40" t="s">
        <v>8</v>
      </c>
      <c r="I152" s="42"/>
      <c r="J152" s="42"/>
      <c r="K152" s="42"/>
      <c r="L152" s="40" t="s">
        <v>8</v>
      </c>
      <c r="M152" s="40" t="s">
        <v>8</v>
      </c>
      <c r="N152" s="40" t="s">
        <v>1835</v>
      </c>
      <c r="O152" s="41" t="s">
        <v>1836</v>
      </c>
      <c r="P152" s="41" t="s">
        <v>1837</v>
      </c>
      <c r="Q152" s="41" t="s">
        <v>1838</v>
      </c>
      <c r="R152" s="40" t="s">
        <v>1835</v>
      </c>
      <c r="S152" s="41" t="s">
        <v>1839</v>
      </c>
      <c r="T152" s="41" t="s">
        <v>1840</v>
      </c>
      <c r="U152" s="71" t="s">
        <v>1841</v>
      </c>
      <c r="V152" s="70"/>
      <c r="W152" s="70"/>
    </row>
    <row r="153" spans="1:23" ht="13" x14ac:dyDescent="0.3">
      <c r="A153" s="44">
        <v>46080.63009259259</v>
      </c>
      <c r="B153" s="45" t="s">
        <v>868</v>
      </c>
      <c r="C153" s="45" t="s">
        <v>505</v>
      </c>
      <c r="D153" s="45" t="s">
        <v>584</v>
      </c>
      <c r="E153" s="45" t="s">
        <v>543</v>
      </c>
      <c r="F153" s="69" t="s">
        <v>1570</v>
      </c>
      <c r="G153" s="70"/>
      <c r="H153" s="45" t="s">
        <v>8</v>
      </c>
      <c r="I153" s="46"/>
      <c r="J153" s="46"/>
      <c r="K153" s="46"/>
      <c r="L153" s="45" t="s">
        <v>8</v>
      </c>
      <c r="M153" s="45" t="s">
        <v>8</v>
      </c>
      <c r="N153" s="45" t="s">
        <v>1842</v>
      </c>
      <c r="O153" s="41" t="s">
        <v>1843</v>
      </c>
      <c r="P153" s="41" t="s">
        <v>1844</v>
      </c>
      <c r="Q153" s="41" t="s">
        <v>1845</v>
      </c>
      <c r="R153" s="45" t="s">
        <v>1842</v>
      </c>
      <c r="S153" s="41" t="s">
        <v>1846</v>
      </c>
      <c r="T153" s="41" t="s">
        <v>1847</v>
      </c>
      <c r="U153" s="41" t="s">
        <v>1848</v>
      </c>
      <c r="V153" s="71" t="s">
        <v>1849</v>
      </c>
      <c r="W153" s="70"/>
    </row>
    <row r="154" spans="1:23" ht="13" x14ac:dyDescent="0.3">
      <c r="A154" s="39">
        <v>46080.633634259262</v>
      </c>
      <c r="B154" s="40" t="s">
        <v>928</v>
      </c>
      <c r="C154" s="50" t="s">
        <v>124</v>
      </c>
      <c r="D154" s="40" t="s">
        <v>123</v>
      </c>
      <c r="E154" s="40" t="s">
        <v>18</v>
      </c>
      <c r="F154" s="72" t="s">
        <v>1570</v>
      </c>
      <c r="G154" s="70"/>
      <c r="H154" s="40" t="s">
        <v>15</v>
      </c>
      <c r="I154" s="42"/>
      <c r="J154" s="42"/>
      <c r="K154" s="42"/>
      <c r="L154" s="40" t="s">
        <v>15</v>
      </c>
      <c r="M154" s="40" t="s">
        <v>15</v>
      </c>
      <c r="N154" s="40" t="s">
        <v>125</v>
      </c>
      <c r="O154" s="41" t="s">
        <v>1850</v>
      </c>
      <c r="P154" s="41" t="s">
        <v>1851</v>
      </c>
      <c r="Q154" s="41" t="s">
        <v>1852</v>
      </c>
      <c r="R154" s="40" t="s">
        <v>125</v>
      </c>
      <c r="S154" s="41" t="s">
        <v>1853</v>
      </c>
      <c r="T154" s="41" t="s">
        <v>1854</v>
      </c>
      <c r="U154" s="41" t="s">
        <v>1855</v>
      </c>
      <c r="V154" s="71" t="s">
        <v>1856</v>
      </c>
      <c r="W154" s="70"/>
    </row>
    <row r="155" spans="1:23" ht="13" x14ac:dyDescent="0.3">
      <c r="A155" s="44">
        <v>46080.633946759262</v>
      </c>
      <c r="B155" s="45" t="s">
        <v>1002</v>
      </c>
      <c r="C155" s="45" t="s">
        <v>122</v>
      </c>
      <c r="D155" s="45" t="s">
        <v>121</v>
      </c>
      <c r="E155" s="45" t="s">
        <v>7</v>
      </c>
      <c r="F155" s="69" t="s">
        <v>1570</v>
      </c>
      <c r="G155" s="70"/>
      <c r="H155" s="45" t="s">
        <v>15</v>
      </c>
      <c r="I155" s="46"/>
      <c r="J155" s="46"/>
      <c r="K155" s="46"/>
      <c r="L155" s="45" t="s">
        <v>15</v>
      </c>
      <c r="M155" s="45" t="s">
        <v>15</v>
      </c>
      <c r="N155" s="69" t="s">
        <v>1857</v>
      </c>
      <c r="O155" s="70"/>
      <c r="P155" s="70"/>
      <c r="Q155" s="70"/>
      <c r="R155" s="45" t="s">
        <v>1857</v>
      </c>
      <c r="S155" s="41" t="s">
        <v>1858</v>
      </c>
      <c r="T155" s="41" t="s">
        <v>1859</v>
      </c>
      <c r="U155" s="41" t="s">
        <v>1860</v>
      </c>
      <c r="V155" s="71" t="s">
        <v>1861</v>
      </c>
      <c r="W155" s="70"/>
    </row>
    <row r="156" spans="1:23" ht="13" x14ac:dyDescent="0.3">
      <c r="A156" s="39">
        <v>46080.636122685188</v>
      </c>
      <c r="B156" s="40" t="s">
        <v>989</v>
      </c>
      <c r="C156" s="40" t="s">
        <v>378</v>
      </c>
      <c r="D156" s="40" t="s">
        <v>377</v>
      </c>
      <c r="E156" s="40" t="s">
        <v>18</v>
      </c>
      <c r="F156" s="72" t="s">
        <v>1570</v>
      </c>
      <c r="G156" s="70"/>
      <c r="H156" s="40" t="s">
        <v>15</v>
      </c>
      <c r="I156" s="42"/>
      <c r="J156" s="42"/>
      <c r="K156" s="42"/>
      <c r="L156" s="40" t="s">
        <v>15</v>
      </c>
      <c r="M156" s="40" t="s">
        <v>15</v>
      </c>
      <c r="N156" s="40" t="s">
        <v>1862</v>
      </c>
      <c r="O156" s="41" t="s">
        <v>1863</v>
      </c>
      <c r="P156" s="41" t="s">
        <v>1864</v>
      </c>
      <c r="Q156" s="41" t="s">
        <v>1865</v>
      </c>
      <c r="R156" s="40" t="s">
        <v>1862</v>
      </c>
      <c r="S156" s="41" t="s">
        <v>1866</v>
      </c>
      <c r="T156" s="41" t="s">
        <v>1867</v>
      </c>
      <c r="U156" s="41" t="s">
        <v>1868</v>
      </c>
      <c r="V156" s="71" t="s">
        <v>1869</v>
      </c>
      <c r="W156" s="70"/>
    </row>
    <row r="157" spans="1:23" ht="13" x14ac:dyDescent="0.3">
      <c r="A157" s="44">
        <v>46080.642592592594</v>
      </c>
      <c r="B157" s="45" t="s">
        <v>863</v>
      </c>
      <c r="C157" s="45" t="s">
        <v>601</v>
      </c>
      <c r="D157" s="45" t="s">
        <v>1870</v>
      </c>
      <c r="E157" s="45" t="s">
        <v>543</v>
      </c>
      <c r="F157" s="69" t="s">
        <v>1570</v>
      </c>
      <c r="G157" s="70"/>
      <c r="H157" s="45" t="s">
        <v>8</v>
      </c>
      <c r="I157" s="46"/>
      <c r="J157" s="46"/>
      <c r="K157" s="46"/>
      <c r="L157" s="45" t="s">
        <v>8</v>
      </c>
      <c r="M157" s="45" t="s">
        <v>8</v>
      </c>
      <c r="N157" s="45" t="s">
        <v>1871</v>
      </c>
      <c r="O157" s="41" t="s">
        <v>1872</v>
      </c>
      <c r="P157" s="41" t="s">
        <v>1873</v>
      </c>
      <c r="Q157" s="41" t="s">
        <v>1874</v>
      </c>
      <c r="R157" s="45" t="s">
        <v>602</v>
      </c>
      <c r="S157" s="41" t="s">
        <v>1875</v>
      </c>
      <c r="T157" s="41" t="s">
        <v>1876</v>
      </c>
      <c r="U157" s="41" t="s">
        <v>1877</v>
      </c>
      <c r="V157" s="71" t="s">
        <v>1878</v>
      </c>
      <c r="W157" s="70"/>
    </row>
    <row r="158" spans="1:23" ht="13" x14ac:dyDescent="0.3">
      <c r="A158" s="39">
        <v>46080.648981481485</v>
      </c>
      <c r="B158" s="40" t="s">
        <v>855</v>
      </c>
      <c r="C158" s="40" t="s">
        <v>564</v>
      </c>
      <c r="D158" s="40" t="s">
        <v>563</v>
      </c>
      <c r="E158" s="40" t="s">
        <v>543</v>
      </c>
      <c r="F158" s="72" t="s">
        <v>1570</v>
      </c>
      <c r="G158" s="70"/>
      <c r="H158" s="40" t="s">
        <v>8</v>
      </c>
      <c r="I158" s="42"/>
      <c r="J158" s="42"/>
      <c r="K158" s="42"/>
      <c r="L158" s="40" t="s">
        <v>8</v>
      </c>
      <c r="M158" s="40" t="s">
        <v>8</v>
      </c>
      <c r="N158" s="40" t="s">
        <v>565</v>
      </c>
      <c r="O158" s="41" t="s">
        <v>1879</v>
      </c>
      <c r="P158" s="41" t="s">
        <v>1880</v>
      </c>
      <c r="Q158" s="41" t="s">
        <v>1881</v>
      </c>
      <c r="R158" s="40" t="s">
        <v>565</v>
      </c>
      <c r="S158" s="41" t="s">
        <v>1882</v>
      </c>
      <c r="T158" s="41" t="s">
        <v>1883</v>
      </c>
      <c r="U158" s="41" t="s">
        <v>1884</v>
      </c>
      <c r="V158" s="71" t="s">
        <v>1885</v>
      </c>
      <c r="W158" s="70"/>
    </row>
    <row r="159" spans="1:23" ht="13" x14ac:dyDescent="0.3">
      <c r="A159" s="44">
        <v>46080.649594907409</v>
      </c>
      <c r="B159" s="45" t="s">
        <v>877</v>
      </c>
      <c r="C159" s="45" t="s">
        <v>599</v>
      </c>
      <c r="D159" s="45" t="s">
        <v>598</v>
      </c>
      <c r="E159" s="45" t="s">
        <v>543</v>
      </c>
      <c r="F159" s="69" t="s">
        <v>1570</v>
      </c>
      <c r="G159" s="70"/>
      <c r="H159" s="45" t="s">
        <v>8</v>
      </c>
      <c r="I159" s="46"/>
      <c r="J159" s="46"/>
      <c r="K159" s="46"/>
      <c r="L159" s="45" t="s">
        <v>8</v>
      </c>
      <c r="M159" s="45" t="s">
        <v>8</v>
      </c>
      <c r="N159" s="45" t="s">
        <v>1886</v>
      </c>
      <c r="O159" s="41" t="s">
        <v>1887</v>
      </c>
      <c r="P159" s="41" t="s">
        <v>1888</v>
      </c>
      <c r="Q159" s="41" t="s">
        <v>1889</v>
      </c>
      <c r="R159" s="45" t="s">
        <v>1886</v>
      </c>
      <c r="S159" s="41" t="s">
        <v>1890</v>
      </c>
      <c r="T159" s="41" t="s">
        <v>1891</v>
      </c>
      <c r="U159" s="41" t="s">
        <v>1892</v>
      </c>
      <c r="V159" s="71" t="s">
        <v>1893</v>
      </c>
      <c r="W159" s="70"/>
    </row>
    <row r="160" spans="1:23" ht="13" x14ac:dyDescent="0.3">
      <c r="A160" s="39">
        <v>46080.66778935185</v>
      </c>
      <c r="B160" s="40" t="s">
        <v>687</v>
      </c>
      <c r="C160" s="40" t="s">
        <v>410</v>
      </c>
      <c r="D160" s="40" t="s">
        <v>409</v>
      </c>
      <c r="E160" s="40" t="s">
        <v>130</v>
      </c>
      <c r="F160" s="72" t="s">
        <v>1570</v>
      </c>
      <c r="G160" s="70"/>
      <c r="H160" s="40" t="s">
        <v>15</v>
      </c>
      <c r="I160" s="42"/>
      <c r="J160" s="42"/>
      <c r="K160" s="42"/>
      <c r="L160" s="40" t="s">
        <v>15</v>
      </c>
      <c r="M160" s="40" t="s">
        <v>15</v>
      </c>
      <c r="N160" s="40" t="s">
        <v>1894</v>
      </c>
      <c r="O160" s="41" t="s">
        <v>1895</v>
      </c>
      <c r="P160" s="41" t="s">
        <v>1896</v>
      </c>
      <c r="Q160" s="41" t="s">
        <v>1897</v>
      </c>
      <c r="R160" s="40" t="s">
        <v>411</v>
      </c>
      <c r="S160" s="41" t="s">
        <v>1898</v>
      </c>
      <c r="T160" s="41" t="s">
        <v>1899</v>
      </c>
      <c r="U160" s="71" t="s">
        <v>1900</v>
      </c>
      <c r="V160" s="70"/>
      <c r="W160" s="70"/>
    </row>
    <row r="161" spans="1:23" ht="13" x14ac:dyDescent="0.3">
      <c r="A161" s="44">
        <v>46080.670706018522</v>
      </c>
      <c r="B161" s="45" t="s">
        <v>804</v>
      </c>
      <c r="C161" s="45" t="s">
        <v>423</v>
      </c>
      <c r="D161" s="45" t="s">
        <v>422</v>
      </c>
      <c r="E161" s="45" t="s">
        <v>29</v>
      </c>
      <c r="F161" s="69" t="s">
        <v>1570</v>
      </c>
      <c r="G161" s="70"/>
      <c r="H161" s="45" t="s">
        <v>8</v>
      </c>
      <c r="I161" s="46"/>
      <c r="J161" s="46"/>
      <c r="K161" s="46"/>
      <c r="L161" s="45" t="s">
        <v>8</v>
      </c>
      <c r="M161" s="45" t="s">
        <v>8</v>
      </c>
      <c r="N161" s="45" t="s">
        <v>424</v>
      </c>
      <c r="O161" s="41" t="s">
        <v>1901</v>
      </c>
      <c r="P161" s="41" t="s">
        <v>1902</v>
      </c>
      <c r="Q161" s="41" t="s">
        <v>1903</v>
      </c>
      <c r="R161" s="45" t="s">
        <v>424</v>
      </c>
      <c r="S161" s="41" t="s">
        <v>1904</v>
      </c>
      <c r="T161" s="41" t="s">
        <v>1905</v>
      </c>
      <c r="U161" s="71" t="s">
        <v>1906</v>
      </c>
      <c r="V161" s="70"/>
      <c r="W161" s="70"/>
    </row>
    <row r="162" spans="1:23" ht="13" x14ac:dyDescent="0.3">
      <c r="A162" s="39">
        <v>46080.679155092592</v>
      </c>
      <c r="B162" s="40" t="s">
        <v>993</v>
      </c>
      <c r="C162" s="40" t="s">
        <v>120</v>
      </c>
      <c r="D162" s="40" t="s">
        <v>119</v>
      </c>
      <c r="E162" s="40" t="s">
        <v>18</v>
      </c>
      <c r="F162" s="72" t="s">
        <v>1570</v>
      </c>
      <c r="G162" s="70"/>
      <c r="H162" s="40" t="s">
        <v>15</v>
      </c>
      <c r="I162" s="42"/>
      <c r="J162" s="42"/>
      <c r="K162" s="42"/>
      <c r="L162" s="40" t="s">
        <v>15</v>
      </c>
      <c r="M162" s="40" t="s">
        <v>15</v>
      </c>
      <c r="N162" s="40" t="s">
        <v>1907</v>
      </c>
      <c r="O162" s="41" t="s">
        <v>1908</v>
      </c>
      <c r="P162" s="41" t="s">
        <v>1909</v>
      </c>
      <c r="Q162" s="41" t="s">
        <v>1910</v>
      </c>
      <c r="R162" s="40" t="s">
        <v>1911</v>
      </c>
      <c r="S162" s="41" t="s">
        <v>1912</v>
      </c>
      <c r="T162" s="41" t="s">
        <v>1913</v>
      </c>
      <c r="U162" s="71" t="s">
        <v>1914</v>
      </c>
      <c r="V162" s="70"/>
      <c r="W162" s="70"/>
    </row>
    <row r="163" spans="1:23" ht="13" x14ac:dyDescent="0.3">
      <c r="A163" s="44">
        <v>46080.681851851848</v>
      </c>
      <c r="B163" s="45" t="s">
        <v>879</v>
      </c>
      <c r="C163" s="45" t="s">
        <v>561</v>
      </c>
      <c r="D163" s="45" t="s">
        <v>560</v>
      </c>
      <c r="E163" s="45" t="s">
        <v>543</v>
      </c>
      <c r="F163" s="69" t="s">
        <v>1570</v>
      </c>
      <c r="G163" s="70"/>
      <c r="H163" s="45" t="s">
        <v>8</v>
      </c>
      <c r="I163" s="46"/>
      <c r="J163" s="46"/>
      <c r="K163" s="46"/>
      <c r="L163" s="45" t="s">
        <v>8</v>
      </c>
      <c r="M163" s="45" t="s">
        <v>8</v>
      </c>
      <c r="N163" s="45" t="s">
        <v>1915</v>
      </c>
      <c r="O163" s="41" t="s">
        <v>1916</v>
      </c>
      <c r="P163" s="41" t="s">
        <v>1917</v>
      </c>
      <c r="Q163" s="41" t="s">
        <v>1918</v>
      </c>
      <c r="R163" s="45" t="s">
        <v>562</v>
      </c>
      <c r="S163" s="41" t="s">
        <v>1919</v>
      </c>
      <c r="T163" s="41" t="s">
        <v>1920</v>
      </c>
      <c r="U163" s="71" t="s">
        <v>1921</v>
      </c>
      <c r="V163" s="70"/>
      <c r="W163" s="70"/>
    </row>
    <row r="164" spans="1:23" ht="13" x14ac:dyDescent="0.3">
      <c r="A164" s="39">
        <v>46080.682025462964</v>
      </c>
      <c r="B164" s="40" t="s">
        <v>797</v>
      </c>
      <c r="C164" s="40" t="s">
        <v>415</v>
      </c>
      <c r="D164" s="40" t="s">
        <v>414</v>
      </c>
      <c r="E164" s="40" t="s">
        <v>29</v>
      </c>
      <c r="F164" s="72" t="s">
        <v>1570</v>
      </c>
      <c r="G164" s="70"/>
      <c r="H164" s="40" t="s">
        <v>8</v>
      </c>
      <c r="I164" s="42"/>
      <c r="J164" s="42"/>
      <c r="K164" s="42"/>
      <c r="L164" s="40" t="s">
        <v>8</v>
      </c>
      <c r="M164" s="40" t="s">
        <v>8</v>
      </c>
      <c r="N164" s="40" t="s">
        <v>1922</v>
      </c>
      <c r="O164" s="41" t="s">
        <v>1923</v>
      </c>
      <c r="P164" s="41" t="s">
        <v>1924</v>
      </c>
      <c r="Q164" s="41" t="s">
        <v>1925</v>
      </c>
      <c r="R164" s="40" t="s">
        <v>1922</v>
      </c>
      <c r="S164" s="41" t="s">
        <v>1926</v>
      </c>
      <c r="T164" s="41" t="s">
        <v>1927</v>
      </c>
      <c r="U164" s="41" t="s">
        <v>1928</v>
      </c>
      <c r="V164" s="71" t="s">
        <v>1929</v>
      </c>
      <c r="W164" s="70"/>
    </row>
    <row r="165" spans="1:23" ht="13" x14ac:dyDescent="0.3">
      <c r="A165" s="44">
        <v>46080.689074074071</v>
      </c>
      <c r="B165" s="45" t="s">
        <v>988</v>
      </c>
      <c r="C165" s="45" t="s">
        <v>376</v>
      </c>
      <c r="D165" s="45" t="s">
        <v>375</v>
      </c>
      <c r="E165" s="45" t="s">
        <v>18</v>
      </c>
      <c r="F165" s="69" t="s">
        <v>1570</v>
      </c>
      <c r="G165" s="70"/>
      <c r="H165" s="45" t="s">
        <v>15</v>
      </c>
      <c r="I165" s="46"/>
      <c r="J165" s="46"/>
      <c r="K165" s="46"/>
      <c r="L165" s="45" t="s">
        <v>15</v>
      </c>
      <c r="M165" s="45" t="s">
        <v>15</v>
      </c>
      <c r="N165" s="45" t="s">
        <v>1930</v>
      </c>
      <c r="O165" s="41" t="s">
        <v>1931</v>
      </c>
      <c r="P165" s="41" t="s">
        <v>1932</v>
      </c>
      <c r="Q165" s="41" t="s">
        <v>1933</v>
      </c>
      <c r="R165" s="45" t="s">
        <v>1930</v>
      </c>
      <c r="S165" s="41" t="s">
        <v>1934</v>
      </c>
      <c r="T165" s="41" t="s">
        <v>1935</v>
      </c>
      <c r="U165" s="41" t="s">
        <v>1936</v>
      </c>
      <c r="V165" s="71" t="s">
        <v>1937</v>
      </c>
      <c r="W165" s="70"/>
    </row>
    <row r="166" spans="1:23" ht="13" x14ac:dyDescent="0.3">
      <c r="A166" s="39">
        <v>46080.701574074075</v>
      </c>
      <c r="B166" s="40" t="s">
        <v>843</v>
      </c>
      <c r="C166" s="40" t="s">
        <v>1938</v>
      </c>
      <c r="D166" s="40" t="s">
        <v>541</v>
      </c>
      <c r="E166" s="40" t="s">
        <v>543</v>
      </c>
      <c r="F166" s="72" t="s">
        <v>1570</v>
      </c>
      <c r="G166" s="70"/>
      <c r="H166" s="40" t="s">
        <v>8</v>
      </c>
      <c r="I166" s="42"/>
      <c r="J166" s="42"/>
      <c r="K166" s="42"/>
      <c r="L166" s="40" t="s">
        <v>8</v>
      </c>
      <c r="M166" s="40" t="s">
        <v>8</v>
      </c>
      <c r="N166" s="40" t="s">
        <v>544</v>
      </c>
      <c r="O166" s="41" t="s">
        <v>1939</v>
      </c>
      <c r="P166" s="41" t="s">
        <v>1940</v>
      </c>
      <c r="Q166" s="41" t="s">
        <v>1941</v>
      </c>
      <c r="R166" s="40" t="s">
        <v>544</v>
      </c>
      <c r="S166" s="41" t="s">
        <v>1942</v>
      </c>
      <c r="T166" s="41" t="s">
        <v>1943</v>
      </c>
      <c r="U166" s="41" t="s">
        <v>1944</v>
      </c>
      <c r="V166" s="71" t="s">
        <v>1945</v>
      </c>
      <c r="W166" s="70"/>
    </row>
    <row r="167" spans="1:23" ht="13" x14ac:dyDescent="0.3">
      <c r="A167" s="44">
        <v>46080.702870370369</v>
      </c>
      <c r="B167" s="45" t="s">
        <v>1003</v>
      </c>
      <c r="C167" s="45" t="s">
        <v>65</v>
      </c>
      <c r="D167" s="45" t="s">
        <v>64</v>
      </c>
      <c r="E167" s="45" t="s">
        <v>7</v>
      </c>
      <c r="F167" s="69" t="s">
        <v>1570</v>
      </c>
      <c r="G167" s="70"/>
      <c r="H167" s="45" t="s">
        <v>15</v>
      </c>
      <c r="I167" s="46"/>
      <c r="J167" s="46"/>
      <c r="K167" s="46"/>
      <c r="L167" s="45" t="s">
        <v>15</v>
      </c>
      <c r="M167" s="45" t="s">
        <v>15</v>
      </c>
      <c r="N167" s="45" t="s">
        <v>66</v>
      </c>
      <c r="O167" s="41" t="s">
        <v>1946</v>
      </c>
      <c r="P167" s="41" t="s">
        <v>1947</v>
      </c>
      <c r="Q167" s="41" t="s">
        <v>1948</v>
      </c>
      <c r="R167" s="45" t="s">
        <v>66</v>
      </c>
      <c r="S167" s="41" t="s">
        <v>1949</v>
      </c>
      <c r="T167" s="41" t="s">
        <v>1950</v>
      </c>
      <c r="U167" s="41" t="s">
        <v>1951</v>
      </c>
      <c r="V167" s="71" t="s">
        <v>1952</v>
      </c>
      <c r="W167" s="70"/>
    </row>
    <row r="168" spans="1:23" ht="13" x14ac:dyDescent="0.3">
      <c r="A168" s="39">
        <v>46080.704965277779</v>
      </c>
      <c r="B168" s="40" t="s">
        <v>905</v>
      </c>
      <c r="C168" s="40" t="s">
        <v>63</v>
      </c>
      <c r="D168" s="40" t="s">
        <v>62</v>
      </c>
      <c r="E168" s="40" t="s">
        <v>18</v>
      </c>
      <c r="F168" s="72" t="s">
        <v>1570</v>
      </c>
      <c r="G168" s="70"/>
      <c r="H168" s="40" t="s">
        <v>15</v>
      </c>
      <c r="I168" s="42"/>
      <c r="J168" s="42"/>
      <c r="K168" s="42"/>
      <c r="L168" s="40" t="s">
        <v>15</v>
      </c>
      <c r="M168" s="40" t="s">
        <v>15</v>
      </c>
      <c r="N168" s="40" t="s">
        <v>1953</v>
      </c>
      <c r="O168" s="41" t="s">
        <v>1954</v>
      </c>
      <c r="P168" s="41" t="s">
        <v>1955</v>
      </c>
      <c r="Q168" s="41" t="s">
        <v>1956</v>
      </c>
      <c r="R168" s="40" t="s">
        <v>1953</v>
      </c>
      <c r="S168" s="41" t="s">
        <v>1957</v>
      </c>
      <c r="T168" s="41" t="s">
        <v>1958</v>
      </c>
      <c r="U168" s="41" t="s">
        <v>1959</v>
      </c>
      <c r="V168" s="71" t="s">
        <v>1960</v>
      </c>
      <c r="W168" s="70"/>
    </row>
    <row r="169" spans="1:23" ht="13" x14ac:dyDescent="0.3">
      <c r="A169" s="44">
        <v>46080.706574074073</v>
      </c>
      <c r="B169" s="45" t="s">
        <v>851</v>
      </c>
      <c r="C169" s="45" t="s">
        <v>586</v>
      </c>
      <c r="D169" s="45" t="s">
        <v>585</v>
      </c>
      <c r="E169" s="45" t="s">
        <v>543</v>
      </c>
      <c r="F169" s="69" t="s">
        <v>1570</v>
      </c>
      <c r="G169" s="70"/>
      <c r="H169" s="45" t="s">
        <v>8</v>
      </c>
      <c r="I169" s="46"/>
      <c r="J169" s="46"/>
      <c r="K169" s="46"/>
      <c r="L169" s="45" t="s">
        <v>8</v>
      </c>
      <c r="M169" s="45" t="s">
        <v>8</v>
      </c>
      <c r="N169" s="45" t="s">
        <v>587</v>
      </c>
      <c r="O169" s="41" t="s">
        <v>1961</v>
      </c>
      <c r="P169" s="41" t="s">
        <v>1962</v>
      </c>
      <c r="Q169" s="41" t="s">
        <v>1963</v>
      </c>
      <c r="R169" s="45" t="s">
        <v>587</v>
      </c>
      <c r="S169" s="41" t="s">
        <v>1964</v>
      </c>
      <c r="T169" s="41" t="s">
        <v>1965</v>
      </c>
      <c r="U169" s="41" t="s">
        <v>1966</v>
      </c>
      <c r="V169" s="71" t="s">
        <v>1967</v>
      </c>
      <c r="W169" s="70"/>
    </row>
    <row r="170" spans="1:23" ht="13" x14ac:dyDescent="0.3">
      <c r="A170" s="39">
        <v>46080.716724537036</v>
      </c>
      <c r="B170" s="40" t="s">
        <v>861</v>
      </c>
      <c r="C170" s="40" t="s">
        <v>576</v>
      </c>
      <c r="D170" s="40" t="s">
        <v>575</v>
      </c>
      <c r="E170" s="40" t="s">
        <v>844</v>
      </c>
      <c r="F170" s="72" t="s">
        <v>1570</v>
      </c>
      <c r="G170" s="70"/>
      <c r="H170" s="40" t="s">
        <v>8</v>
      </c>
      <c r="I170" s="42"/>
      <c r="J170" s="42"/>
      <c r="K170" s="42"/>
      <c r="L170" s="40" t="s">
        <v>8</v>
      </c>
      <c r="M170" s="40" t="s">
        <v>8</v>
      </c>
      <c r="N170" s="40" t="s">
        <v>577</v>
      </c>
      <c r="O170" s="41" t="s">
        <v>1968</v>
      </c>
      <c r="P170" s="41" t="s">
        <v>1969</v>
      </c>
      <c r="Q170" s="41" t="s">
        <v>1970</v>
      </c>
      <c r="R170" s="40" t="s">
        <v>577</v>
      </c>
      <c r="S170" s="41" t="s">
        <v>1971</v>
      </c>
      <c r="T170" s="41" t="s">
        <v>1972</v>
      </c>
      <c r="U170" s="41" t="s">
        <v>1973</v>
      </c>
      <c r="V170" s="71" t="s">
        <v>1974</v>
      </c>
      <c r="W170" s="70"/>
    </row>
    <row r="171" spans="1:23" ht="13" x14ac:dyDescent="0.3">
      <c r="A171" s="44">
        <v>46080.722013888888</v>
      </c>
      <c r="B171" s="45" t="s">
        <v>944</v>
      </c>
      <c r="C171" s="45" t="s">
        <v>366</v>
      </c>
      <c r="D171" s="45" t="s">
        <v>365</v>
      </c>
      <c r="E171" s="45" t="s">
        <v>18</v>
      </c>
      <c r="F171" s="69" t="s">
        <v>1570</v>
      </c>
      <c r="G171" s="70"/>
      <c r="H171" s="45" t="s">
        <v>8</v>
      </c>
      <c r="I171" s="46"/>
      <c r="J171" s="46"/>
      <c r="K171" s="46"/>
      <c r="L171" s="45" t="s">
        <v>8</v>
      </c>
      <c r="M171" s="45" t="s">
        <v>8</v>
      </c>
      <c r="N171" s="45" t="s">
        <v>1975</v>
      </c>
      <c r="O171" s="41" t="s">
        <v>1976</v>
      </c>
      <c r="P171" s="41" t="s">
        <v>1977</v>
      </c>
      <c r="Q171" s="41" t="s">
        <v>1978</v>
      </c>
      <c r="R171" s="45" t="s">
        <v>1975</v>
      </c>
      <c r="S171" s="41" t="s">
        <v>1979</v>
      </c>
      <c r="T171" s="41" t="s">
        <v>1980</v>
      </c>
      <c r="U171" s="41" t="s">
        <v>1981</v>
      </c>
      <c r="V171" s="71" t="s">
        <v>1982</v>
      </c>
      <c r="W171" s="70"/>
    </row>
    <row r="172" spans="1:23" ht="13" x14ac:dyDescent="0.3">
      <c r="A172" s="39">
        <v>46080.734236111108</v>
      </c>
      <c r="B172" s="40" t="s">
        <v>1024</v>
      </c>
      <c r="C172" s="40" t="s">
        <v>232</v>
      </c>
      <c r="D172" s="40" t="s">
        <v>231</v>
      </c>
      <c r="E172" s="40" t="s">
        <v>7</v>
      </c>
      <c r="F172" s="72" t="s">
        <v>1570</v>
      </c>
      <c r="G172" s="70"/>
      <c r="H172" s="40" t="s">
        <v>8</v>
      </c>
      <c r="I172" s="42"/>
      <c r="J172" s="42"/>
      <c r="K172" s="42"/>
      <c r="L172" s="40" t="s">
        <v>8</v>
      </c>
      <c r="M172" s="40" t="s">
        <v>15</v>
      </c>
      <c r="N172" s="40" t="s">
        <v>1983</v>
      </c>
      <c r="O172" s="41" t="s">
        <v>1984</v>
      </c>
      <c r="P172" s="41" t="s">
        <v>1985</v>
      </c>
      <c r="Q172" s="41" t="s">
        <v>1986</v>
      </c>
      <c r="R172" s="40" t="s">
        <v>233</v>
      </c>
      <c r="S172" s="41" t="s">
        <v>1987</v>
      </c>
      <c r="T172" s="41" t="s">
        <v>1988</v>
      </c>
      <c r="U172" s="41" t="s">
        <v>1989</v>
      </c>
      <c r="V172" s="71" t="s">
        <v>1990</v>
      </c>
      <c r="W172" s="70"/>
    </row>
    <row r="173" spans="1:23" ht="13" x14ac:dyDescent="0.3">
      <c r="A173" s="44">
        <v>46080.743101851855</v>
      </c>
      <c r="B173" s="45" t="s">
        <v>1019</v>
      </c>
      <c r="C173" s="45" t="s">
        <v>1018</v>
      </c>
      <c r="D173" s="45" t="s">
        <v>95</v>
      </c>
      <c r="E173" s="45" t="s">
        <v>7</v>
      </c>
      <c r="F173" s="69" t="s">
        <v>1570</v>
      </c>
      <c r="G173" s="70"/>
      <c r="H173" s="45" t="s">
        <v>8</v>
      </c>
      <c r="I173" s="46"/>
      <c r="J173" s="46"/>
      <c r="K173" s="46"/>
      <c r="L173" s="45" t="s">
        <v>8</v>
      </c>
      <c r="M173" s="45" t="s">
        <v>15</v>
      </c>
      <c r="N173" s="45" t="s">
        <v>1991</v>
      </c>
      <c r="O173" s="41" t="s">
        <v>1992</v>
      </c>
      <c r="P173" s="41" t="s">
        <v>1993</v>
      </c>
      <c r="Q173" s="41" t="s">
        <v>1994</v>
      </c>
      <c r="R173" s="45" t="s">
        <v>97</v>
      </c>
      <c r="S173" s="41" t="s">
        <v>1995</v>
      </c>
      <c r="T173" s="41" t="s">
        <v>1996</v>
      </c>
      <c r="U173" s="41" t="s">
        <v>1997</v>
      </c>
      <c r="V173" s="71" t="s">
        <v>1998</v>
      </c>
      <c r="W173" s="70"/>
    </row>
    <row r="174" spans="1:23" ht="13" x14ac:dyDescent="0.3">
      <c r="A174" s="39">
        <v>46080.751400462963</v>
      </c>
      <c r="B174" s="40" t="s">
        <v>1042</v>
      </c>
      <c r="C174" s="40" t="s">
        <v>150</v>
      </c>
      <c r="D174" s="40" t="s">
        <v>149</v>
      </c>
      <c r="E174" s="40" t="s">
        <v>7</v>
      </c>
      <c r="F174" s="72" t="s">
        <v>1570</v>
      </c>
      <c r="G174" s="70"/>
      <c r="H174" s="40" t="s">
        <v>8</v>
      </c>
      <c r="I174" s="42"/>
      <c r="J174" s="42"/>
      <c r="K174" s="42"/>
      <c r="L174" s="40" t="s">
        <v>8</v>
      </c>
      <c r="M174" s="40" t="s">
        <v>15</v>
      </c>
      <c r="N174" s="40" t="s">
        <v>1999</v>
      </c>
      <c r="O174" s="41" t="s">
        <v>2000</v>
      </c>
      <c r="P174" s="41" t="s">
        <v>2001</v>
      </c>
      <c r="Q174" s="41" t="s">
        <v>2002</v>
      </c>
      <c r="R174" s="40" t="s">
        <v>151</v>
      </c>
      <c r="S174" s="41" t="s">
        <v>2003</v>
      </c>
      <c r="T174" s="41" t="s">
        <v>2004</v>
      </c>
      <c r="U174" s="41" t="s">
        <v>2005</v>
      </c>
      <c r="V174" s="71" t="s">
        <v>2006</v>
      </c>
      <c r="W174" s="70"/>
    </row>
    <row r="175" spans="1:23" ht="13" x14ac:dyDescent="0.3">
      <c r="A175" s="44">
        <v>46080.756388888891</v>
      </c>
      <c r="B175" s="45" t="s">
        <v>817</v>
      </c>
      <c r="C175" s="45" t="s">
        <v>402</v>
      </c>
      <c r="D175" s="45" t="s">
        <v>401</v>
      </c>
      <c r="E175" s="45" t="s">
        <v>29</v>
      </c>
      <c r="F175" s="69" t="s">
        <v>1570</v>
      </c>
      <c r="G175" s="70"/>
      <c r="H175" s="45" t="s">
        <v>15</v>
      </c>
      <c r="I175" s="46"/>
      <c r="J175" s="46"/>
      <c r="K175" s="46"/>
      <c r="L175" s="45" t="s">
        <v>15</v>
      </c>
      <c r="M175" s="45" t="s">
        <v>15</v>
      </c>
      <c r="N175" s="45" t="s">
        <v>2007</v>
      </c>
      <c r="O175" s="41" t="s">
        <v>2008</v>
      </c>
      <c r="P175" s="41" t="s">
        <v>2009</v>
      </c>
      <c r="Q175" s="41" t="s">
        <v>2010</v>
      </c>
      <c r="R175" s="45" t="s">
        <v>403</v>
      </c>
      <c r="S175" s="41" t="s">
        <v>2011</v>
      </c>
      <c r="T175" s="41" t="s">
        <v>2012</v>
      </c>
      <c r="U175" s="71" t="s">
        <v>2013</v>
      </c>
      <c r="V175" s="70"/>
      <c r="W175" s="70"/>
    </row>
    <row r="176" spans="1:23" ht="13" x14ac:dyDescent="0.3">
      <c r="A176" s="39">
        <v>46080.757094907407</v>
      </c>
      <c r="B176" s="40" t="s">
        <v>1020</v>
      </c>
      <c r="C176" s="40" t="s">
        <v>226</v>
      </c>
      <c r="D176" s="40" t="s">
        <v>225</v>
      </c>
      <c r="E176" s="40" t="s">
        <v>7</v>
      </c>
      <c r="F176" s="72" t="s">
        <v>1570</v>
      </c>
      <c r="G176" s="70"/>
      <c r="H176" s="40" t="s">
        <v>15</v>
      </c>
      <c r="I176" s="42"/>
      <c r="J176" s="42"/>
      <c r="K176" s="42"/>
      <c r="L176" s="40" t="s">
        <v>15</v>
      </c>
      <c r="M176" s="40" t="s">
        <v>15</v>
      </c>
      <c r="N176" s="40" t="s">
        <v>227</v>
      </c>
      <c r="O176" s="41" t="s">
        <v>2014</v>
      </c>
      <c r="P176" s="41" t="s">
        <v>2015</v>
      </c>
      <c r="Q176" s="41" t="s">
        <v>2016</v>
      </c>
      <c r="R176" s="40" t="s">
        <v>227</v>
      </c>
      <c r="S176" s="41" t="s">
        <v>2017</v>
      </c>
      <c r="T176" s="41" t="s">
        <v>2018</v>
      </c>
      <c r="U176" s="41" t="s">
        <v>2019</v>
      </c>
      <c r="V176" s="71" t="s">
        <v>2020</v>
      </c>
      <c r="W176" s="70"/>
    </row>
    <row r="177" spans="1:23" ht="13" x14ac:dyDescent="0.3">
      <c r="A177" s="44">
        <v>46080.757557870369</v>
      </c>
      <c r="B177" s="45" t="s">
        <v>1011</v>
      </c>
      <c r="C177" s="45" t="s">
        <v>206</v>
      </c>
      <c r="D177" s="45" t="s">
        <v>205</v>
      </c>
      <c r="E177" s="45" t="s">
        <v>7</v>
      </c>
      <c r="F177" s="69" t="s">
        <v>1570</v>
      </c>
      <c r="G177" s="70"/>
      <c r="H177" s="45" t="s">
        <v>15</v>
      </c>
      <c r="I177" s="46"/>
      <c r="J177" s="46"/>
      <c r="K177" s="46"/>
      <c r="L177" s="45" t="s">
        <v>15</v>
      </c>
      <c r="M177" s="45" t="s">
        <v>15</v>
      </c>
      <c r="N177" s="45" t="s">
        <v>2021</v>
      </c>
      <c r="O177" s="41" t="s">
        <v>2022</v>
      </c>
      <c r="P177" s="41" t="s">
        <v>2023</v>
      </c>
      <c r="Q177" s="41" t="s">
        <v>2024</v>
      </c>
      <c r="R177" s="45" t="s">
        <v>2021</v>
      </c>
      <c r="S177" s="41" t="s">
        <v>2025</v>
      </c>
      <c r="T177" s="41" t="s">
        <v>2026</v>
      </c>
      <c r="U177" s="41" t="s">
        <v>2027</v>
      </c>
      <c r="V177" s="71" t="s">
        <v>2028</v>
      </c>
      <c r="W177" s="70"/>
    </row>
    <row r="178" spans="1:23" ht="13" x14ac:dyDescent="0.3">
      <c r="A178" s="39">
        <v>46080.762280092589</v>
      </c>
      <c r="B178" s="40" t="s">
        <v>994</v>
      </c>
      <c r="C178" s="40" t="s">
        <v>49</v>
      </c>
      <c r="D178" s="40" t="s">
        <v>48</v>
      </c>
      <c r="E178" s="40" t="s">
        <v>48</v>
      </c>
      <c r="F178" s="72" t="s">
        <v>1570</v>
      </c>
      <c r="G178" s="70"/>
      <c r="H178" s="40" t="s">
        <v>15</v>
      </c>
      <c r="I178" s="42"/>
      <c r="J178" s="42"/>
      <c r="K178" s="42"/>
      <c r="L178" s="40" t="s">
        <v>15</v>
      </c>
      <c r="M178" s="40" t="s">
        <v>15</v>
      </c>
      <c r="N178" s="40" t="s">
        <v>2029</v>
      </c>
      <c r="O178" s="41" t="s">
        <v>2030</v>
      </c>
      <c r="P178" s="41" t="s">
        <v>2031</v>
      </c>
      <c r="Q178" s="41" t="s">
        <v>2032</v>
      </c>
      <c r="R178" s="40" t="s">
        <v>50</v>
      </c>
      <c r="S178" s="41" t="s">
        <v>2033</v>
      </c>
      <c r="T178" s="41" t="s">
        <v>2034</v>
      </c>
      <c r="U178" s="41" t="s">
        <v>2035</v>
      </c>
      <c r="V178" s="71" t="s">
        <v>2036</v>
      </c>
      <c r="W178" s="70"/>
    </row>
    <row r="179" spans="1:23" ht="13" x14ac:dyDescent="0.3">
      <c r="A179" s="44">
        <v>46080.76326388889</v>
      </c>
      <c r="B179" s="45" t="s">
        <v>977</v>
      </c>
      <c r="C179" s="45" t="s">
        <v>392</v>
      </c>
      <c r="D179" s="45" t="s">
        <v>391</v>
      </c>
      <c r="E179" s="45" t="s">
        <v>18</v>
      </c>
      <c r="F179" s="69" t="s">
        <v>1570</v>
      </c>
      <c r="G179" s="70"/>
      <c r="H179" s="45" t="s">
        <v>15</v>
      </c>
      <c r="I179" s="46"/>
      <c r="J179" s="46"/>
      <c r="K179" s="46"/>
      <c r="L179" s="45" t="s">
        <v>15</v>
      </c>
      <c r="M179" s="45" t="s">
        <v>15</v>
      </c>
      <c r="N179" s="45" t="s">
        <v>2037</v>
      </c>
      <c r="O179" s="41" t="s">
        <v>2038</v>
      </c>
      <c r="P179" s="41" t="s">
        <v>2039</v>
      </c>
      <c r="Q179" s="41" t="s">
        <v>2040</v>
      </c>
      <c r="R179" s="45" t="s">
        <v>2041</v>
      </c>
      <c r="S179" s="41" t="s">
        <v>2042</v>
      </c>
      <c r="T179" s="41" t="s">
        <v>2043</v>
      </c>
      <c r="U179" s="41" t="s">
        <v>2044</v>
      </c>
      <c r="V179" s="71" t="s">
        <v>2045</v>
      </c>
      <c r="W179" s="70"/>
    </row>
    <row r="180" spans="1:23" ht="13" x14ac:dyDescent="0.3">
      <c r="A180" s="39">
        <v>46080.793877314813</v>
      </c>
      <c r="B180" s="40" t="s">
        <v>1028</v>
      </c>
      <c r="C180" s="40" t="s">
        <v>235</v>
      </c>
      <c r="D180" s="40" t="s">
        <v>234</v>
      </c>
      <c r="E180" s="40" t="s">
        <v>7</v>
      </c>
      <c r="F180" s="72" t="s">
        <v>1570</v>
      </c>
      <c r="G180" s="70"/>
      <c r="H180" s="40" t="s">
        <v>8</v>
      </c>
      <c r="I180" s="42"/>
      <c r="J180" s="42"/>
      <c r="K180" s="42"/>
      <c r="L180" s="40" t="s">
        <v>8</v>
      </c>
      <c r="M180" s="40" t="s">
        <v>15</v>
      </c>
      <c r="N180" s="40" t="s">
        <v>2046</v>
      </c>
      <c r="O180" s="41" t="s">
        <v>2047</v>
      </c>
      <c r="P180" s="41" t="s">
        <v>2048</v>
      </c>
      <c r="Q180" s="41" t="s">
        <v>2049</v>
      </c>
      <c r="R180" s="40" t="s">
        <v>236</v>
      </c>
      <c r="S180" s="41" t="s">
        <v>2050</v>
      </c>
      <c r="T180" s="41" t="s">
        <v>2051</v>
      </c>
      <c r="U180" s="41" t="s">
        <v>2052</v>
      </c>
      <c r="V180" s="71" t="s">
        <v>2053</v>
      </c>
      <c r="W180" s="70"/>
    </row>
    <row r="181" spans="1:23" ht="13" x14ac:dyDescent="0.3">
      <c r="A181" s="44">
        <v>46080.795034722221</v>
      </c>
      <c r="B181" s="45" t="s">
        <v>899</v>
      </c>
      <c r="C181" s="45" t="s">
        <v>22</v>
      </c>
      <c r="D181" s="45" t="s">
        <v>21</v>
      </c>
      <c r="E181" s="45" t="s">
        <v>18</v>
      </c>
      <c r="F181" s="69" t="s">
        <v>1570</v>
      </c>
      <c r="G181" s="70"/>
      <c r="H181" s="45" t="s">
        <v>8</v>
      </c>
      <c r="I181" s="46"/>
      <c r="J181" s="46"/>
      <c r="K181" s="46"/>
      <c r="L181" s="45" t="s">
        <v>8</v>
      </c>
      <c r="M181" s="45" t="s">
        <v>15</v>
      </c>
      <c r="N181" s="45" t="s">
        <v>2054</v>
      </c>
      <c r="O181" s="41" t="s">
        <v>2055</v>
      </c>
      <c r="P181" s="41" t="s">
        <v>2056</v>
      </c>
      <c r="Q181" s="41" t="s">
        <v>2057</v>
      </c>
      <c r="R181" s="45" t="s">
        <v>23</v>
      </c>
      <c r="S181" s="41" t="s">
        <v>2058</v>
      </c>
      <c r="T181" s="41" t="s">
        <v>2059</v>
      </c>
      <c r="U181" s="41" t="s">
        <v>2060</v>
      </c>
      <c r="V181" s="71" t="s">
        <v>2061</v>
      </c>
      <c r="W181" s="70"/>
    </row>
    <row r="182" spans="1:23" ht="13" x14ac:dyDescent="0.3">
      <c r="A182" s="39">
        <v>46080.799872685187</v>
      </c>
      <c r="B182" s="40" t="s">
        <v>1023</v>
      </c>
      <c r="C182" s="40" t="s">
        <v>229</v>
      </c>
      <c r="D182" s="40" t="s">
        <v>228</v>
      </c>
      <c r="E182" s="40" t="s">
        <v>7</v>
      </c>
      <c r="F182" s="72" t="s">
        <v>1570</v>
      </c>
      <c r="G182" s="70"/>
      <c r="H182" s="40" t="s">
        <v>15</v>
      </c>
      <c r="I182" s="42"/>
      <c r="J182" s="42"/>
      <c r="K182" s="42"/>
      <c r="L182" s="40" t="s">
        <v>15</v>
      </c>
      <c r="M182" s="40" t="s">
        <v>15</v>
      </c>
      <c r="N182" s="72" t="s">
        <v>230</v>
      </c>
      <c r="O182" s="70"/>
      <c r="P182" s="70"/>
      <c r="Q182" s="70"/>
      <c r="R182" s="40" t="s">
        <v>230</v>
      </c>
      <c r="S182" s="41" t="s">
        <v>2062</v>
      </c>
      <c r="T182" s="41" t="s">
        <v>2063</v>
      </c>
      <c r="U182" s="41" t="s">
        <v>2064</v>
      </c>
      <c r="V182" s="71" t="s">
        <v>2065</v>
      </c>
      <c r="W182" s="70"/>
    </row>
    <row r="183" spans="1:23" ht="13" x14ac:dyDescent="0.3">
      <c r="A183" s="44">
        <v>46080.809479166666</v>
      </c>
      <c r="B183" s="45" t="s">
        <v>751</v>
      </c>
      <c r="C183" s="45" t="s">
        <v>505</v>
      </c>
      <c r="D183" s="45" t="s">
        <v>504</v>
      </c>
      <c r="E183" s="45" t="s">
        <v>130</v>
      </c>
      <c r="F183" s="69" t="s">
        <v>1570</v>
      </c>
      <c r="G183" s="70"/>
      <c r="H183" s="45" t="s">
        <v>15</v>
      </c>
      <c r="I183" s="46"/>
      <c r="J183" s="46"/>
      <c r="K183" s="46"/>
      <c r="L183" s="45" t="s">
        <v>15</v>
      </c>
      <c r="M183" s="45" t="s">
        <v>15</v>
      </c>
      <c r="N183" s="45" t="s">
        <v>2066</v>
      </c>
      <c r="O183" s="41" t="s">
        <v>2067</v>
      </c>
      <c r="P183" s="41" t="s">
        <v>2068</v>
      </c>
      <c r="Q183" s="41" t="s">
        <v>2069</v>
      </c>
      <c r="R183" s="45" t="s">
        <v>506</v>
      </c>
      <c r="S183" s="41" t="s">
        <v>2070</v>
      </c>
      <c r="T183" s="41" t="s">
        <v>2071</v>
      </c>
      <c r="U183" s="41" t="s">
        <v>2072</v>
      </c>
      <c r="V183" s="71" t="s">
        <v>2073</v>
      </c>
      <c r="W183" s="70"/>
    </row>
    <row r="184" spans="1:23" ht="13" x14ac:dyDescent="0.3">
      <c r="A184" s="39">
        <v>46080.811064814814</v>
      </c>
      <c r="B184" s="40" t="s">
        <v>924</v>
      </c>
      <c r="C184" s="40" t="s">
        <v>198</v>
      </c>
      <c r="D184" s="40" t="s">
        <v>197</v>
      </c>
      <c r="E184" s="40" t="s">
        <v>18</v>
      </c>
      <c r="F184" s="72" t="s">
        <v>1570</v>
      </c>
      <c r="G184" s="70"/>
      <c r="H184" s="40" t="s">
        <v>15</v>
      </c>
      <c r="I184" s="42"/>
      <c r="J184" s="42"/>
      <c r="K184" s="42"/>
      <c r="L184" s="40" t="s">
        <v>15</v>
      </c>
      <c r="M184" s="40" t="s">
        <v>15</v>
      </c>
      <c r="N184" s="40" t="s">
        <v>2074</v>
      </c>
      <c r="O184" s="41" t="s">
        <v>2075</v>
      </c>
      <c r="P184" s="41" t="s">
        <v>2076</v>
      </c>
      <c r="Q184" s="41" t="s">
        <v>2077</v>
      </c>
      <c r="R184" s="40" t="s">
        <v>199</v>
      </c>
      <c r="S184" s="41" t="s">
        <v>2078</v>
      </c>
      <c r="T184" s="41" t="s">
        <v>2079</v>
      </c>
      <c r="U184" s="41" t="s">
        <v>2080</v>
      </c>
      <c r="V184" s="71" t="s">
        <v>2081</v>
      </c>
      <c r="W184" s="70"/>
    </row>
    <row r="185" spans="1:23" ht="13" x14ac:dyDescent="0.3">
      <c r="A185" s="44">
        <v>46080.823611111111</v>
      </c>
      <c r="B185" s="45" t="s">
        <v>874</v>
      </c>
      <c r="C185" s="45" t="s">
        <v>595</v>
      </c>
      <c r="D185" s="45" t="s">
        <v>594</v>
      </c>
      <c r="E185" s="45" t="s">
        <v>543</v>
      </c>
      <c r="F185" s="69" t="s">
        <v>1570</v>
      </c>
      <c r="G185" s="70"/>
      <c r="H185" s="45" t="s">
        <v>8</v>
      </c>
      <c r="I185" s="46"/>
      <c r="J185" s="46"/>
      <c r="K185" s="46"/>
      <c r="L185" s="45" t="s">
        <v>8</v>
      </c>
      <c r="M185" s="45" t="s">
        <v>8</v>
      </c>
      <c r="N185" s="45" t="s">
        <v>2082</v>
      </c>
      <c r="O185" s="41" t="s">
        <v>2083</v>
      </c>
      <c r="P185" s="41" t="s">
        <v>2084</v>
      </c>
      <c r="Q185" s="41" t="s">
        <v>2085</v>
      </c>
      <c r="R185" s="45" t="s">
        <v>2082</v>
      </c>
      <c r="S185" s="41" t="s">
        <v>2086</v>
      </c>
      <c r="T185" s="41" t="s">
        <v>2087</v>
      </c>
      <c r="U185" s="71" t="s">
        <v>2088</v>
      </c>
      <c r="V185" s="70"/>
      <c r="W185" s="70"/>
    </row>
    <row r="186" spans="1:23" ht="13" x14ac:dyDescent="0.3">
      <c r="A186" s="39">
        <v>46080.82471064815</v>
      </c>
      <c r="B186" s="40" t="s">
        <v>1006</v>
      </c>
      <c r="C186" s="40" t="s">
        <v>240</v>
      </c>
      <c r="D186" s="40" t="s">
        <v>239</v>
      </c>
      <c r="E186" s="40" t="s">
        <v>7</v>
      </c>
      <c r="F186" s="72" t="s">
        <v>1570</v>
      </c>
      <c r="G186" s="70"/>
      <c r="H186" s="40" t="s">
        <v>8</v>
      </c>
      <c r="I186" s="42"/>
      <c r="J186" s="42"/>
      <c r="K186" s="42"/>
      <c r="L186" s="40" t="s">
        <v>8</v>
      </c>
      <c r="M186" s="40" t="s">
        <v>15</v>
      </c>
      <c r="N186" s="40" t="s">
        <v>2089</v>
      </c>
      <c r="O186" s="41" t="s">
        <v>2090</v>
      </c>
      <c r="P186" s="41" t="s">
        <v>2091</v>
      </c>
      <c r="Q186" s="41" t="s">
        <v>2092</v>
      </c>
      <c r="R186" s="40" t="s">
        <v>241</v>
      </c>
      <c r="S186" s="41" t="s">
        <v>2093</v>
      </c>
      <c r="T186" s="41" t="s">
        <v>2094</v>
      </c>
      <c r="U186" s="41" t="s">
        <v>2095</v>
      </c>
      <c r="V186" s="71" t="s">
        <v>2096</v>
      </c>
      <c r="W186" s="70"/>
    </row>
    <row r="187" spans="1:23" ht="13" x14ac:dyDescent="0.3">
      <c r="A187" s="44">
        <v>46080.825138888889</v>
      </c>
      <c r="B187" s="45" t="s">
        <v>802</v>
      </c>
      <c r="C187" s="45" t="s">
        <v>417</v>
      </c>
      <c r="D187" s="45" t="s">
        <v>416</v>
      </c>
      <c r="E187" s="45" t="s">
        <v>29</v>
      </c>
      <c r="F187" s="69" t="s">
        <v>1570</v>
      </c>
      <c r="G187" s="70"/>
      <c r="H187" s="45" t="s">
        <v>15</v>
      </c>
      <c r="I187" s="46"/>
      <c r="J187" s="46"/>
      <c r="K187" s="46"/>
      <c r="L187" s="45" t="s">
        <v>15</v>
      </c>
      <c r="M187" s="45" t="s">
        <v>8</v>
      </c>
      <c r="N187" s="45" t="s">
        <v>2097</v>
      </c>
      <c r="O187" s="41" t="s">
        <v>2098</v>
      </c>
      <c r="P187" s="41" t="s">
        <v>2099</v>
      </c>
      <c r="Q187" s="41" t="s">
        <v>2100</v>
      </c>
      <c r="R187" s="45" t="s">
        <v>2101</v>
      </c>
      <c r="S187" s="41" t="s">
        <v>2102</v>
      </c>
      <c r="T187" s="41" t="s">
        <v>2103</v>
      </c>
      <c r="U187" s="71" t="s">
        <v>2104</v>
      </c>
      <c r="V187" s="70"/>
      <c r="W187" s="70"/>
    </row>
    <row r="188" spans="1:23" ht="13" x14ac:dyDescent="0.3">
      <c r="A188" s="39">
        <v>46080.827326388891</v>
      </c>
      <c r="B188" s="40" t="s">
        <v>958</v>
      </c>
      <c r="C188" s="40" t="s">
        <v>305</v>
      </c>
      <c r="D188" s="40" t="s">
        <v>304</v>
      </c>
      <c r="E188" s="40" t="s">
        <v>18</v>
      </c>
      <c r="F188" s="72" t="s">
        <v>1570</v>
      </c>
      <c r="G188" s="70"/>
      <c r="H188" s="40" t="s">
        <v>15</v>
      </c>
      <c r="I188" s="42"/>
      <c r="J188" s="42"/>
      <c r="K188" s="42"/>
      <c r="L188" s="40" t="s">
        <v>15</v>
      </c>
      <c r="M188" s="40" t="s">
        <v>15</v>
      </c>
      <c r="N188" s="40" t="s">
        <v>2105</v>
      </c>
      <c r="O188" s="41" t="s">
        <v>2106</v>
      </c>
      <c r="P188" s="41" t="s">
        <v>2107</v>
      </c>
      <c r="Q188" s="41" t="s">
        <v>2108</v>
      </c>
      <c r="R188" s="40" t="s">
        <v>2105</v>
      </c>
      <c r="S188" s="41" t="s">
        <v>2109</v>
      </c>
      <c r="T188" s="41" t="s">
        <v>2110</v>
      </c>
      <c r="U188" s="41" t="s">
        <v>2111</v>
      </c>
      <c r="V188" s="71" t="s">
        <v>2112</v>
      </c>
      <c r="W188" s="70"/>
    </row>
    <row r="189" spans="1:23" ht="13" x14ac:dyDescent="0.3">
      <c r="A189" s="44">
        <v>46080.842349537037</v>
      </c>
      <c r="B189" s="45" t="s">
        <v>1036</v>
      </c>
      <c r="C189" s="45" t="s">
        <v>222</v>
      </c>
      <c r="D189" s="45" t="s">
        <v>221</v>
      </c>
      <c r="E189" s="45" t="s">
        <v>995</v>
      </c>
      <c r="F189" s="69" t="s">
        <v>1570</v>
      </c>
      <c r="G189" s="70"/>
      <c r="H189" s="45" t="s">
        <v>8</v>
      </c>
      <c r="I189" s="46"/>
      <c r="J189" s="46"/>
      <c r="K189" s="46"/>
      <c r="L189" s="45" t="s">
        <v>8</v>
      </c>
      <c r="M189" s="45" t="s">
        <v>8</v>
      </c>
      <c r="N189" s="45" t="s">
        <v>2113</v>
      </c>
      <c r="O189" s="41" t="s">
        <v>2114</v>
      </c>
      <c r="P189" s="41" t="s">
        <v>2115</v>
      </c>
      <c r="Q189" s="41" t="s">
        <v>2116</v>
      </c>
      <c r="R189" s="45" t="s">
        <v>2117</v>
      </c>
      <c r="S189" s="41" t="s">
        <v>2118</v>
      </c>
      <c r="T189" s="41" t="s">
        <v>2119</v>
      </c>
      <c r="U189" s="41" t="s">
        <v>2120</v>
      </c>
      <c r="V189" s="71" t="s">
        <v>2121</v>
      </c>
      <c r="W189" s="70"/>
    </row>
    <row r="190" spans="1:23" ht="13" x14ac:dyDescent="0.3">
      <c r="A190" s="39">
        <v>46080.853414351855</v>
      </c>
      <c r="B190" s="40" t="s">
        <v>998</v>
      </c>
      <c r="C190" s="40" t="s">
        <v>99</v>
      </c>
      <c r="D190" s="40" t="s">
        <v>98</v>
      </c>
      <c r="E190" s="40" t="s">
        <v>7</v>
      </c>
      <c r="F190" s="72" t="s">
        <v>1570</v>
      </c>
      <c r="G190" s="70"/>
      <c r="H190" s="40" t="s">
        <v>8</v>
      </c>
      <c r="I190" s="42"/>
      <c r="J190" s="42"/>
      <c r="K190" s="42"/>
      <c r="L190" s="40" t="s">
        <v>8</v>
      </c>
      <c r="M190" s="40" t="s">
        <v>8</v>
      </c>
      <c r="N190" s="40" t="s">
        <v>2122</v>
      </c>
      <c r="O190" s="41" t="s">
        <v>2123</v>
      </c>
      <c r="P190" s="41" t="s">
        <v>2124</v>
      </c>
      <c r="Q190" s="41" t="s">
        <v>2125</v>
      </c>
      <c r="R190" s="40" t="s">
        <v>2126</v>
      </c>
      <c r="S190" s="41" t="s">
        <v>2127</v>
      </c>
      <c r="T190" s="41" t="s">
        <v>2128</v>
      </c>
      <c r="U190" s="41" t="s">
        <v>2129</v>
      </c>
      <c r="V190" s="71" t="s">
        <v>2130</v>
      </c>
      <c r="W190" s="70"/>
    </row>
    <row r="191" spans="1:23" ht="13" x14ac:dyDescent="0.3">
      <c r="A191" s="44">
        <v>46080.855092592596</v>
      </c>
      <c r="B191" s="45" t="s">
        <v>2131</v>
      </c>
      <c r="C191" s="45" t="s">
        <v>79</v>
      </c>
      <c r="D191" s="45" t="s">
        <v>78</v>
      </c>
      <c r="E191" s="45" t="s">
        <v>18</v>
      </c>
      <c r="F191" s="69" t="s">
        <v>1570</v>
      </c>
      <c r="G191" s="70"/>
      <c r="H191" s="45" t="s">
        <v>8</v>
      </c>
      <c r="I191" s="46"/>
      <c r="J191" s="46"/>
      <c r="K191" s="46"/>
      <c r="L191" s="45" t="s">
        <v>8</v>
      </c>
      <c r="M191" s="45" t="s">
        <v>8</v>
      </c>
      <c r="N191" s="45" t="s">
        <v>2132</v>
      </c>
      <c r="O191" s="41" t="s">
        <v>2133</v>
      </c>
      <c r="P191" s="41" t="s">
        <v>2134</v>
      </c>
      <c r="Q191" s="41" t="s">
        <v>2135</v>
      </c>
      <c r="R191" s="45" t="s">
        <v>80</v>
      </c>
      <c r="S191" s="41" t="s">
        <v>2136</v>
      </c>
      <c r="T191" s="41" t="s">
        <v>2137</v>
      </c>
      <c r="U191" s="41" t="s">
        <v>2138</v>
      </c>
      <c r="V191" s="71" t="s">
        <v>2139</v>
      </c>
      <c r="W191" s="70"/>
    </row>
    <row r="192" spans="1:23" ht="13" x14ac:dyDescent="0.3">
      <c r="A192" s="39">
        <v>46080.862696759257</v>
      </c>
      <c r="B192" s="40" t="s">
        <v>917</v>
      </c>
      <c r="C192" s="40" t="s">
        <v>196</v>
      </c>
      <c r="D192" s="40" t="s">
        <v>195</v>
      </c>
      <c r="E192" s="40" t="s">
        <v>18</v>
      </c>
      <c r="F192" s="72" t="s">
        <v>1570</v>
      </c>
      <c r="G192" s="70"/>
      <c r="H192" s="40" t="s">
        <v>15</v>
      </c>
      <c r="I192" s="42"/>
      <c r="J192" s="42"/>
      <c r="K192" s="42"/>
      <c r="L192" s="40" t="s">
        <v>15</v>
      </c>
      <c r="M192" s="40" t="s">
        <v>15</v>
      </c>
      <c r="N192" s="40" t="s">
        <v>2140</v>
      </c>
      <c r="O192" s="41" t="s">
        <v>2141</v>
      </c>
      <c r="P192" s="41" t="s">
        <v>2142</v>
      </c>
      <c r="Q192" s="41" t="s">
        <v>2143</v>
      </c>
      <c r="R192" s="40" t="s">
        <v>2140</v>
      </c>
      <c r="S192" s="41" t="s">
        <v>2144</v>
      </c>
      <c r="T192" s="41" t="s">
        <v>2145</v>
      </c>
      <c r="U192" s="41" t="s">
        <v>2146</v>
      </c>
      <c r="V192" s="71" t="s">
        <v>2147</v>
      </c>
      <c r="W192" s="70"/>
    </row>
    <row r="193" spans="1:23" ht="13" x14ac:dyDescent="0.3">
      <c r="A193" s="44">
        <v>46080.863576388889</v>
      </c>
      <c r="B193" s="45" t="s">
        <v>872</v>
      </c>
      <c r="C193" s="45" t="s">
        <v>589</v>
      </c>
      <c r="D193" s="45" t="s">
        <v>588</v>
      </c>
      <c r="E193" s="45" t="s">
        <v>543</v>
      </c>
      <c r="F193" s="69" t="s">
        <v>1570</v>
      </c>
      <c r="G193" s="70"/>
      <c r="H193" s="45" t="s">
        <v>8</v>
      </c>
      <c r="I193" s="46"/>
      <c r="J193" s="46"/>
      <c r="K193" s="46"/>
      <c r="L193" s="45" t="s">
        <v>8</v>
      </c>
      <c r="M193" s="45" t="s">
        <v>8</v>
      </c>
      <c r="N193" s="45" t="s">
        <v>2148</v>
      </c>
      <c r="O193" s="41" t="s">
        <v>2149</v>
      </c>
      <c r="P193" s="41" t="s">
        <v>2150</v>
      </c>
      <c r="Q193" s="41" t="s">
        <v>2151</v>
      </c>
      <c r="R193" s="45" t="s">
        <v>2152</v>
      </c>
      <c r="S193" s="41" t="s">
        <v>2153</v>
      </c>
      <c r="T193" s="41" t="s">
        <v>2154</v>
      </c>
      <c r="U193" s="71" t="s">
        <v>2155</v>
      </c>
      <c r="V193" s="70"/>
      <c r="W193" s="70"/>
    </row>
    <row r="194" spans="1:23" ht="13" x14ac:dyDescent="0.3">
      <c r="A194" s="39">
        <v>46080.864398148151</v>
      </c>
      <c r="B194" s="40" t="s">
        <v>1013</v>
      </c>
      <c r="C194" s="40" t="s">
        <v>91</v>
      </c>
      <c r="D194" s="40" t="s">
        <v>90</v>
      </c>
      <c r="E194" s="40" t="s">
        <v>2156</v>
      </c>
      <c r="F194" s="72" t="s">
        <v>1570</v>
      </c>
      <c r="G194" s="70"/>
      <c r="H194" s="40" t="s">
        <v>15</v>
      </c>
      <c r="I194" s="42"/>
      <c r="J194" s="42"/>
      <c r="K194" s="42"/>
      <c r="L194" s="40" t="s">
        <v>15</v>
      </c>
      <c r="M194" s="40" t="s">
        <v>15</v>
      </c>
      <c r="N194" s="40" t="s">
        <v>2157</v>
      </c>
      <c r="O194" s="41" t="s">
        <v>2158</v>
      </c>
      <c r="P194" s="41" t="s">
        <v>2159</v>
      </c>
      <c r="Q194" s="41" t="s">
        <v>2160</v>
      </c>
      <c r="R194" s="40" t="s">
        <v>2157</v>
      </c>
      <c r="S194" s="41" t="s">
        <v>2161</v>
      </c>
      <c r="T194" s="41" t="s">
        <v>2162</v>
      </c>
      <c r="U194" s="41" t="s">
        <v>2163</v>
      </c>
      <c r="V194" s="71" t="s">
        <v>2164</v>
      </c>
      <c r="W194" s="70"/>
    </row>
    <row r="195" spans="1:23" ht="13" x14ac:dyDescent="0.3">
      <c r="A195" s="44">
        <v>46080.865254629629</v>
      </c>
      <c r="B195" s="45" t="s">
        <v>756</v>
      </c>
      <c r="C195" s="45" t="s">
        <v>508</v>
      </c>
      <c r="D195" s="45" t="s">
        <v>507</v>
      </c>
      <c r="E195" s="45" t="s">
        <v>130</v>
      </c>
      <c r="F195" s="69" t="s">
        <v>1570</v>
      </c>
      <c r="G195" s="70"/>
      <c r="H195" s="45" t="s">
        <v>8</v>
      </c>
      <c r="I195" s="46"/>
      <c r="J195" s="46"/>
      <c r="K195" s="46"/>
      <c r="L195" s="45" t="s">
        <v>8</v>
      </c>
      <c r="M195" s="45" t="s">
        <v>8</v>
      </c>
      <c r="N195" s="45" t="s">
        <v>2165</v>
      </c>
      <c r="O195" s="41" t="s">
        <v>2166</v>
      </c>
      <c r="P195" s="41" t="s">
        <v>2167</v>
      </c>
      <c r="Q195" s="41" t="s">
        <v>2168</v>
      </c>
      <c r="R195" s="45" t="s">
        <v>2169</v>
      </c>
      <c r="S195" s="41" t="s">
        <v>2170</v>
      </c>
      <c r="T195" s="41" t="s">
        <v>2171</v>
      </c>
      <c r="U195" s="41" t="s">
        <v>2172</v>
      </c>
      <c r="V195" s="71" t="s">
        <v>2173</v>
      </c>
      <c r="W195" s="70"/>
    </row>
    <row r="196" spans="1:23" ht="13" x14ac:dyDescent="0.3">
      <c r="A196" s="39">
        <v>46080.870138888888</v>
      </c>
      <c r="B196" s="40" t="s">
        <v>1030</v>
      </c>
      <c r="C196" s="40" t="s">
        <v>238</v>
      </c>
      <c r="D196" s="40" t="s">
        <v>237</v>
      </c>
      <c r="E196" s="40" t="s">
        <v>7</v>
      </c>
      <c r="F196" s="72" t="s">
        <v>1570</v>
      </c>
      <c r="G196" s="70"/>
      <c r="H196" s="40" t="s">
        <v>15</v>
      </c>
      <c r="I196" s="42"/>
      <c r="J196" s="42"/>
      <c r="K196" s="42"/>
      <c r="L196" s="40" t="s">
        <v>15</v>
      </c>
      <c r="M196" s="40" t="s">
        <v>15</v>
      </c>
      <c r="N196" s="40" t="s">
        <v>2174</v>
      </c>
      <c r="O196" s="41" t="s">
        <v>2175</v>
      </c>
      <c r="P196" s="41" t="s">
        <v>2176</v>
      </c>
      <c r="Q196" s="41" t="s">
        <v>2177</v>
      </c>
      <c r="R196" s="40" t="s">
        <v>2178</v>
      </c>
      <c r="S196" s="41" t="s">
        <v>2179</v>
      </c>
      <c r="T196" s="41" t="s">
        <v>2180</v>
      </c>
      <c r="U196" s="41" t="s">
        <v>2181</v>
      </c>
      <c r="V196" s="71" t="s">
        <v>2182</v>
      </c>
      <c r="W196" s="70"/>
    </row>
    <row r="197" spans="1:23" ht="13" x14ac:dyDescent="0.3">
      <c r="A197" s="44">
        <v>46080.870648148149</v>
      </c>
      <c r="B197" s="45" t="s">
        <v>918</v>
      </c>
      <c r="C197" s="45" t="s">
        <v>214</v>
      </c>
      <c r="D197" s="45" t="s">
        <v>213</v>
      </c>
      <c r="E197" s="45" t="s">
        <v>18</v>
      </c>
      <c r="F197" s="69" t="s">
        <v>1570</v>
      </c>
      <c r="G197" s="70"/>
      <c r="H197" s="45" t="s">
        <v>15</v>
      </c>
      <c r="I197" s="46"/>
      <c r="J197" s="46"/>
      <c r="K197" s="46"/>
      <c r="L197" s="45" t="s">
        <v>15</v>
      </c>
      <c r="M197" s="45" t="s">
        <v>15</v>
      </c>
      <c r="N197" s="45" t="s">
        <v>2183</v>
      </c>
      <c r="O197" s="41" t="s">
        <v>2184</v>
      </c>
      <c r="P197" s="41" t="s">
        <v>2185</v>
      </c>
      <c r="Q197" s="41" t="s">
        <v>2186</v>
      </c>
      <c r="R197" s="45" t="s">
        <v>2187</v>
      </c>
      <c r="S197" s="41" t="s">
        <v>2188</v>
      </c>
      <c r="T197" s="41" t="s">
        <v>2189</v>
      </c>
      <c r="U197" s="41" t="s">
        <v>2190</v>
      </c>
      <c r="V197" s="71" t="s">
        <v>2191</v>
      </c>
      <c r="W197" s="70"/>
    </row>
    <row r="198" spans="1:23" ht="13" x14ac:dyDescent="0.3">
      <c r="A198" s="39">
        <v>46080.875509259262</v>
      </c>
      <c r="B198" s="40" t="s">
        <v>960</v>
      </c>
      <c r="C198" s="40" t="s">
        <v>384</v>
      </c>
      <c r="D198" s="40" t="s">
        <v>383</v>
      </c>
      <c r="E198" s="40" t="s">
        <v>18</v>
      </c>
      <c r="F198" s="72" t="s">
        <v>1570</v>
      </c>
      <c r="G198" s="70"/>
      <c r="H198" s="40" t="s">
        <v>8</v>
      </c>
      <c r="I198" s="42"/>
      <c r="J198" s="42"/>
      <c r="K198" s="42"/>
      <c r="L198" s="40" t="s">
        <v>8</v>
      </c>
      <c r="M198" s="40" t="s">
        <v>8</v>
      </c>
      <c r="N198" s="40" t="s">
        <v>2192</v>
      </c>
      <c r="O198" s="41" t="s">
        <v>2193</v>
      </c>
      <c r="P198" s="41" t="s">
        <v>2194</v>
      </c>
      <c r="Q198" s="41" t="s">
        <v>2195</v>
      </c>
      <c r="R198" s="40" t="s">
        <v>385</v>
      </c>
      <c r="S198" s="41" t="s">
        <v>2196</v>
      </c>
      <c r="T198" s="41" t="s">
        <v>2197</v>
      </c>
      <c r="U198" s="41" t="s">
        <v>2198</v>
      </c>
      <c r="V198" s="71" t="s">
        <v>2199</v>
      </c>
      <c r="W198" s="70"/>
    </row>
    <row r="199" spans="1:23" ht="13" x14ac:dyDescent="0.3">
      <c r="A199" s="44">
        <v>46080.887789351851</v>
      </c>
      <c r="B199" s="45" t="s">
        <v>1017</v>
      </c>
      <c r="C199" s="45" t="s">
        <v>2200</v>
      </c>
      <c r="D199" s="45" t="s">
        <v>113</v>
      </c>
      <c r="E199" s="45" t="s">
        <v>7</v>
      </c>
      <c r="F199" s="69" t="s">
        <v>1570</v>
      </c>
      <c r="G199" s="70"/>
      <c r="H199" s="45" t="s">
        <v>8</v>
      </c>
      <c r="I199" s="46"/>
      <c r="J199" s="46"/>
      <c r="K199" s="46"/>
      <c r="L199" s="45" t="s">
        <v>8</v>
      </c>
      <c r="M199" s="45" t="s">
        <v>8</v>
      </c>
      <c r="N199" s="45" t="s">
        <v>115</v>
      </c>
      <c r="O199" s="41" t="s">
        <v>2201</v>
      </c>
      <c r="P199" s="41" t="s">
        <v>2202</v>
      </c>
      <c r="Q199" s="41" t="s">
        <v>2203</v>
      </c>
      <c r="R199" s="45" t="s">
        <v>115</v>
      </c>
      <c r="S199" s="41" t="s">
        <v>2204</v>
      </c>
      <c r="T199" s="41" t="s">
        <v>2205</v>
      </c>
      <c r="U199" s="41" t="s">
        <v>2206</v>
      </c>
      <c r="V199" s="71" t="s">
        <v>2207</v>
      </c>
      <c r="W199" s="70"/>
    </row>
    <row r="200" spans="1:23" ht="13" x14ac:dyDescent="0.3">
      <c r="A200" s="39">
        <v>46080.890462962961</v>
      </c>
      <c r="B200" s="40" t="s">
        <v>982</v>
      </c>
      <c r="C200" s="40" t="s">
        <v>58</v>
      </c>
      <c r="D200" s="40" t="s">
        <v>57</v>
      </c>
      <c r="E200" s="40" t="s">
        <v>18</v>
      </c>
      <c r="F200" s="72" t="s">
        <v>1570</v>
      </c>
      <c r="G200" s="70"/>
      <c r="H200" s="40" t="s">
        <v>15</v>
      </c>
      <c r="I200" s="42"/>
      <c r="J200" s="42"/>
      <c r="K200" s="42"/>
      <c r="L200" s="40" t="s">
        <v>15</v>
      </c>
      <c r="M200" s="40" t="s">
        <v>15</v>
      </c>
      <c r="N200" s="40" t="s">
        <v>59</v>
      </c>
      <c r="O200" s="41" t="s">
        <v>2208</v>
      </c>
      <c r="P200" s="41" t="s">
        <v>2209</v>
      </c>
      <c r="Q200" s="41" t="s">
        <v>2210</v>
      </c>
      <c r="R200" s="40" t="s">
        <v>59</v>
      </c>
      <c r="S200" s="41" t="s">
        <v>2211</v>
      </c>
      <c r="T200" s="41" t="s">
        <v>2212</v>
      </c>
      <c r="U200" s="41" t="s">
        <v>2213</v>
      </c>
      <c r="V200" s="71" t="s">
        <v>2214</v>
      </c>
      <c r="W200" s="70"/>
    </row>
    <row r="201" spans="1:23" ht="13" x14ac:dyDescent="0.3">
      <c r="A201" s="44">
        <v>46080.892951388887</v>
      </c>
      <c r="B201" s="45" t="s">
        <v>764</v>
      </c>
      <c r="C201" s="50" t="s">
        <v>540</v>
      </c>
      <c r="D201" s="45" t="s">
        <v>539</v>
      </c>
      <c r="E201" s="45" t="s">
        <v>130</v>
      </c>
      <c r="F201" s="69" t="s">
        <v>1570</v>
      </c>
      <c r="G201" s="70"/>
      <c r="H201" s="45" t="s">
        <v>15</v>
      </c>
      <c r="I201" s="46"/>
      <c r="J201" s="46"/>
      <c r="K201" s="46"/>
      <c r="L201" s="45" t="s">
        <v>15</v>
      </c>
      <c r="M201" s="45" t="s">
        <v>15</v>
      </c>
      <c r="N201" s="45" t="s">
        <v>2215</v>
      </c>
      <c r="O201" s="41" t="s">
        <v>2216</v>
      </c>
      <c r="P201" s="41" t="s">
        <v>2217</v>
      </c>
      <c r="Q201" s="41" t="s">
        <v>2218</v>
      </c>
      <c r="R201" s="45" t="s">
        <v>2215</v>
      </c>
      <c r="S201" s="41" t="s">
        <v>2219</v>
      </c>
      <c r="T201" s="41" t="s">
        <v>2220</v>
      </c>
      <c r="U201" s="71" t="s">
        <v>2221</v>
      </c>
      <c r="V201" s="70"/>
      <c r="W201" s="70"/>
    </row>
    <row r="202" spans="1:23" ht="13" x14ac:dyDescent="0.3">
      <c r="A202" s="39">
        <v>46080.902650462966</v>
      </c>
      <c r="B202" s="40" t="s">
        <v>759</v>
      </c>
      <c r="C202" s="40" t="s">
        <v>530</v>
      </c>
      <c r="D202" s="40" t="s">
        <v>529</v>
      </c>
      <c r="E202" s="40" t="s">
        <v>1261</v>
      </c>
      <c r="F202" s="72" t="s">
        <v>1570</v>
      </c>
      <c r="G202" s="70"/>
      <c r="H202" s="40" t="s">
        <v>15</v>
      </c>
      <c r="I202" s="42"/>
      <c r="J202" s="42"/>
      <c r="K202" s="42"/>
      <c r="L202" s="40" t="s">
        <v>15</v>
      </c>
      <c r="M202" s="40" t="s">
        <v>15</v>
      </c>
      <c r="N202" s="40" t="s">
        <v>2222</v>
      </c>
      <c r="O202" s="41" t="s">
        <v>2223</v>
      </c>
      <c r="P202" s="41" t="s">
        <v>2224</v>
      </c>
      <c r="Q202" s="41" t="s">
        <v>2225</v>
      </c>
      <c r="R202" s="40" t="s">
        <v>2222</v>
      </c>
      <c r="S202" s="41" t="s">
        <v>2226</v>
      </c>
      <c r="T202" s="41" t="s">
        <v>2227</v>
      </c>
      <c r="U202" s="41" t="s">
        <v>2228</v>
      </c>
      <c r="V202" s="71" t="s">
        <v>2229</v>
      </c>
      <c r="W202" s="70"/>
    </row>
    <row r="203" spans="1:23" ht="13" x14ac:dyDescent="0.3">
      <c r="A203" s="44">
        <v>46080.906145833331</v>
      </c>
      <c r="B203" s="45" t="s">
        <v>932</v>
      </c>
      <c r="C203" s="45" t="s">
        <v>204</v>
      </c>
      <c r="D203" s="45" t="s">
        <v>203</v>
      </c>
      <c r="E203" s="45" t="s">
        <v>18</v>
      </c>
      <c r="F203" s="69" t="s">
        <v>1570</v>
      </c>
      <c r="G203" s="70"/>
      <c r="H203" s="45" t="s">
        <v>15</v>
      </c>
      <c r="I203" s="46"/>
      <c r="J203" s="46"/>
      <c r="K203" s="46"/>
      <c r="L203" s="45" t="s">
        <v>15</v>
      </c>
      <c r="M203" s="45" t="s">
        <v>15</v>
      </c>
      <c r="N203" s="69" t="s">
        <v>2230</v>
      </c>
      <c r="O203" s="70"/>
      <c r="P203" s="70"/>
      <c r="Q203" s="41" t="s">
        <v>2231</v>
      </c>
      <c r="R203" s="45" t="s">
        <v>2230</v>
      </c>
      <c r="S203" s="41" t="s">
        <v>2232</v>
      </c>
      <c r="T203" s="41" t="s">
        <v>2233</v>
      </c>
      <c r="U203" s="41" t="s">
        <v>2234</v>
      </c>
      <c r="V203" s="71" t="s">
        <v>2235</v>
      </c>
      <c r="W203" s="70"/>
    </row>
    <row r="204" spans="1:23" ht="13" x14ac:dyDescent="0.3">
      <c r="A204" s="39">
        <v>46080.910902777781</v>
      </c>
      <c r="B204" s="40" t="s">
        <v>953</v>
      </c>
      <c r="C204" s="40" t="s">
        <v>253</v>
      </c>
      <c r="D204" s="40" t="s">
        <v>252</v>
      </c>
      <c r="E204" s="40" t="s">
        <v>18</v>
      </c>
      <c r="F204" s="72" t="s">
        <v>1570</v>
      </c>
      <c r="G204" s="70"/>
      <c r="H204" s="40" t="s">
        <v>15</v>
      </c>
      <c r="I204" s="42"/>
      <c r="J204" s="42"/>
      <c r="K204" s="42"/>
      <c r="L204" s="40" t="s">
        <v>15</v>
      </c>
      <c r="M204" s="40" t="s">
        <v>15</v>
      </c>
      <c r="N204" s="40" t="s">
        <v>2236</v>
      </c>
      <c r="O204" s="41" t="s">
        <v>2237</v>
      </c>
      <c r="P204" s="41" t="s">
        <v>2238</v>
      </c>
      <c r="Q204" s="41" t="s">
        <v>2239</v>
      </c>
      <c r="R204" s="40" t="s">
        <v>2240</v>
      </c>
      <c r="S204" s="41" t="s">
        <v>2241</v>
      </c>
      <c r="T204" s="41" t="s">
        <v>2242</v>
      </c>
      <c r="U204" s="41" t="s">
        <v>2243</v>
      </c>
      <c r="V204" s="71" t="s">
        <v>2244</v>
      </c>
      <c r="W204" s="70"/>
    </row>
    <row r="205" spans="1:23" ht="13" x14ac:dyDescent="0.3">
      <c r="A205" s="44">
        <v>46080.915914351855</v>
      </c>
      <c r="B205" s="45" t="s">
        <v>897</v>
      </c>
      <c r="C205" s="45" t="s">
        <v>82</v>
      </c>
      <c r="D205" s="45" t="s">
        <v>81</v>
      </c>
      <c r="E205" s="45" t="s">
        <v>18</v>
      </c>
      <c r="F205" s="69" t="s">
        <v>1570</v>
      </c>
      <c r="G205" s="70"/>
      <c r="H205" s="45" t="s">
        <v>15</v>
      </c>
      <c r="I205" s="46"/>
      <c r="J205" s="46"/>
      <c r="K205" s="46"/>
      <c r="L205" s="45" t="s">
        <v>15</v>
      </c>
      <c r="M205" s="45" t="s">
        <v>15</v>
      </c>
      <c r="N205" s="69" t="s">
        <v>2245</v>
      </c>
      <c r="O205" s="70"/>
      <c r="P205" s="70"/>
      <c r="Q205" s="41" t="s">
        <v>2246</v>
      </c>
      <c r="R205" s="45" t="s">
        <v>2245</v>
      </c>
      <c r="S205" s="41" t="s">
        <v>2247</v>
      </c>
      <c r="T205" s="41" t="s">
        <v>2248</v>
      </c>
      <c r="U205" s="41" t="s">
        <v>2249</v>
      </c>
      <c r="V205" s="71" t="s">
        <v>2250</v>
      </c>
      <c r="W205" s="70"/>
    </row>
    <row r="206" spans="1:23" ht="13" x14ac:dyDescent="0.3">
      <c r="A206" s="39">
        <v>46080.937835648147</v>
      </c>
      <c r="B206" s="40" t="s">
        <v>1033</v>
      </c>
      <c r="C206" s="40" t="s">
        <v>147</v>
      </c>
      <c r="D206" s="40" t="s">
        <v>146</v>
      </c>
      <c r="E206" s="40" t="s">
        <v>7</v>
      </c>
      <c r="F206" s="72" t="s">
        <v>1570</v>
      </c>
      <c r="G206" s="70"/>
      <c r="H206" s="40" t="s">
        <v>8</v>
      </c>
      <c r="I206" s="42"/>
      <c r="J206" s="42"/>
      <c r="K206" s="42"/>
      <c r="L206" s="40" t="s">
        <v>8</v>
      </c>
      <c r="M206" s="40" t="s">
        <v>15</v>
      </c>
      <c r="N206" s="40" t="s">
        <v>2251</v>
      </c>
      <c r="O206" s="41" t="s">
        <v>2252</v>
      </c>
      <c r="P206" s="41" t="s">
        <v>2253</v>
      </c>
      <c r="Q206" s="41" t="s">
        <v>2254</v>
      </c>
      <c r="R206" s="40" t="s">
        <v>148</v>
      </c>
      <c r="S206" s="41" t="s">
        <v>2255</v>
      </c>
      <c r="T206" s="41" t="s">
        <v>2256</v>
      </c>
      <c r="U206" s="41" t="s">
        <v>2257</v>
      </c>
      <c r="V206" s="71" t="s">
        <v>2258</v>
      </c>
      <c r="W206" s="70"/>
    </row>
    <row r="207" spans="1:23" ht="13" x14ac:dyDescent="0.3">
      <c r="A207" s="44">
        <v>46080.940312500003</v>
      </c>
      <c r="B207" s="45" t="s">
        <v>1037</v>
      </c>
      <c r="C207" s="45" t="s">
        <v>171</v>
      </c>
      <c r="D207" s="45" t="s">
        <v>170</v>
      </c>
      <c r="E207" s="45" t="s">
        <v>7</v>
      </c>
      <c r="F207" s="69" t="s">
        <v>1570</v>
      </c>
      <c r="G207" s="70"/>
      <c r="H207" s="45" t="s">
        <v>15</v>
      </c>
      <c r="I207" s="46"/>
      <c r="J207" s="46"/>
      <c r="K207" s="46"/>
      <c r="L207" s="45" t="s">
        <v>15</v>
      </c>
      <c r="M207" s="45" t="s">
        <v>15</v>
      </c>
      <c r="N207" s="45" t="s">
        <v>2259</v>
      </c>
      <c r="O207" s="41" t="s">
        <v>2260</v>
      </c>
      <c r="P207" s="41" t="s">
        <v>2261</v>
      </c>
      <c r="Q207" s="41" t="s">
        <v>2262</v>
      </c>
      <c r="R207" s="45" t="s">
        <v>2263</v>
      </c>
      <c r="S207" s="41" t="s">
        <v>2264</v>
      </c>
      <c r="T207" s="41" t="s">
        <v>2265</v>
      </c>
      <c r="U207" s="71" t="s">
        <v>2266</v>
      </c>
      <c r="V207" s="70"/>
      <c r="W207" s="70"/>
    </row>
    <row r="208" spans="1:23" ht="13" x14ac:dyDescent="0.3">
      <c r="A208" s="39">
        <v>46080.944328703707</v>
      </c>
      <c r="B208" s="40" t="s">
        <v>1000</v>
      </c>
      <c r="C208" s="40" t="s">
        <v>42</v>
      </c>
      <c r="D208" s="40" t="s">
        <v>41</v>
      </c>
      <c r="E208" s="40" t="s">
        <v>2267</v>
      </c>
      <c r="F208" s="72" t="s">
        <v>1570</v>
      </c>
      <c r="G208" s="70"/>
      <c r="H208" s="40" t="s">
        <v>15</v>
      </c>
      <c r="I208" s="42"/>
      <c r="J208" s="42"/>
      <c r="K208" s="42"/>
      <c r="L208" s="40" t="s">
        <v>15</v>
      </c>
      <c r="M208" s="40" t="s">
        <v>15</v>
      </c>
      <c r="N208" s="40" t="s">
        <v>2268</v>
      </c>
      <c r="O208" s="41" t="s">
        <v>2269</v>
      </c>
      <c r="P208" s="41" t="s">
        <v>2270</v>
      </c>
      <c r="Q208" s="41" t="s">
        <v>2271</v>
      </c>
      <c r="R208" s="40" t="s">
        <v>2272</v>
      </c>
      <c r="S208" s="41" t="s">
        <v>2273</v>
      </c>
      <c r="T208" s="41" t="s">
        <v>2274</v>
      </c>
      <c r="U208" s="41" t="s">
        <v>2275</v>
      </c>
      <c r="V208" s="71" t="s">
        <v>2276</v>
      </c>
      <c r="W208" s="70"/>
    </row>
    <row r="209" spans="1:23" ht="13" x14ac:dyDescent="0.3">
      <c r="A209" s="44">
        <v>46080.944490740738</v>
      </c>
      <c r="B209" s="45" t="s">
        <v>903</v>
      </c>
      <c r="C209" s="45" t="s">
        <v>84</v>
      </c>
      <c r="D209" s="45" t="s">
        <v>83</v>
      </c>
      <c r="E209" s="45" t="s">
        <v>18</v>
      </c>
      <c r="F209" s="69" t="s">
        <v>1570</v>
      </c>
      <c r="G209" s="70"/>
      <c r="H209" s="45" t="s">
        <v>8</v>
      </c>
      <c r="I209" s="46"/>
      <c r="J209" s="46"/>
      <c r="K209" s="46"/>
      <c r="L209" s="45" t="s">
        <v>8</v>
      </c>
      <c r="M209" s="45" t="s">
        <v>15</v>
      </c>
      <c r="N209" s="45" t="s">
        <v>2277</v>
      </c>
      <c r="O209" s="41" t="s">
        <v>2278</v>
      </c>
      <c r="P209" s="41" t="s">
        <v>2279</v>
      </c>
      <c r="Q209" s="41" t="s">
        <v>2280</v>
      </c>
      <c r="R209" s="45" t="s">
        <v>2281</v>
      </c>
      <c r="S209" s="41" t="s">
        <v>2282</v>
      </c>
      <c r="T209" s="41" t="s">
        <v>2283</v>
      </c>
      <c r="U209" s="41" t="s">
        <v>2284</v>
      </c>
      <c r="V209" s="71" t="s">
        <v>2285</v>
      </c>
      <c r="W209" s="70"/>
    </row>
    <row r="210" spans="1:23" ht="13" x14ac:dyDescent="0.3">
      <c r="A210" s="39">
        <v>46080.945462962962</v>
      </c>
      <c r="B210" s="40" t="s">
        <v>1041</v>
      </c>
      <c r="C210" s="40" t="s">
        <v>370</v>
      </c>
      <c r="D210" s="40" t="s">
        <v>369</v>
      </c>
      <c r="E210" s="40" t="s">
        <v>7</v>
      </c>
      <c r="F210" s="72" t="s">
        <v>1570</v>
      </c>
      <c r="G210" s="70"/>
      <c r="H210" s="40" t="s">
        <v>15</v>
      </c>
      <c r="I210" s="42"/>
      <c r="J210" s="42"/>
      <c r="K210" s="42"/>
      <c r="L210" s="40" t="s">
        <v>15</v>
      </c>
      <c r="M210" s="40" t="s">
        <v>15</v>
      </c>
      <c r="N210" s="40" t="s">
        <v>371</v>
      </c>
      <c r="O210" s="41" t="s">
        <v>2286</v>
      </c>
      <c r="P210" s="41" t="s">
        <v>2287</v>
      </c>
      <c r="Q210" s="41" t="s">
        <v>2288</v>
      </c>
      <c r="R210" s="40" t="s">
        <v>2289</v>
      </c>
      <c r="S210" s="41" t="s">
        <v>2290</v>
      </c>
      <c r="T210" s="41" t="s">
        <v>2291</v>
      </c>
      <c r="U210" s="41" t="s">
        <v>2292</v>
      </c>
      <c r="V210" s="71" t="s">
        <v>2293</v>
      </c>
      <c r="W210" s="70"/>
    </row>
    <row r="211" spans="1:23" ht="13" x14ac:dyDescent="0.3">
      <c r="A211" s="44">
        <v>46080.945787037039</v>
      </c>
      <c r="B211" s="45" t="s">
        <v>2294</v>
      </c>
      <c r="C211" s="45" t="s">
        <v>72</v>
      </c>
      <c r="D211" s="45" t="s">
        <v>71</v>
      </c>
      <c r="E211" s="45" t="s">
        <v>73</v>
      </c>
      <c r="F211" s="69" t="s">
        <v>1570</v>
      </c>
      <c r="G211" s="70"/>
      <c r="H211" s="45" t="s">
        <v>8</v>
      </c>
      <c r="I211" s="46"/>
      <c r="J211" s="46"/>
      <c r="K211" s="46"/>
      <c r="L211" s="45" t="s">
        <v>8</v>
      </c>
      <c r="M211" s="45" t="s">
        <v>8</v>
      </c>
      <c r="N211" s="45" t="s">
        <v>2295</v>
      </c>
      <c r="O211" s="41" t="s">
        <v>2296</v>
      </c>
      <c r="P211" s="41" t="s">
        <v>2297</v>
      </c>
      <c r="Q211" s="41" t="s">
        <v>2298</v>
      </c>
      <c r="R211" s="45" t="s">
        <v>74</v>
      </c>
      <c r="S211" s="41" t="s">
        <v>2299</v>
      </c>
      <c r="T211" s="41" t="s">
        <v>2300</v>
      </c>
      <c r="U211" s="41" t="s">
        <v>2301</v>
      </c>
      <c r="V211" s="71" t="s">
        <v>2302</v>
      </c>
      <c r="W211" s="70"/>
    </row>
    <row r="212" spans="1:23" ht="13" x14ac:dyDescent="0.3">
      <c r="A212" s="39">
        <v>46080.953773148147</v>
      </c>
      <c r="B212" s="40" t="s">
        <v>948</v>
      </c>
      <c r="C212" s="40" t="s">
        <v>251</v>
      </c>
      <c r="D212" s="40" t="s">
        <v>250</v>
      </c>
      <c r="E212" s="40" t="s">
        <v>18</v>
      </c>
      <c r="F212" s="72" t="s">
        <v>1570</v>
      </c>
      <c r="G212" s="70"/>
      <c r="H212" s="40" t="s">
        <v>15</v>
      </c>
      <c r="I212" s="42"/>
      <c r="J212" s="42"/>
      <c r="K212" s="42"/>
      <c r="L212" s="40" t="s">
        <v>15</v>
      </c>
      <c r="M212" s="40" t="s">
        <v>15</v>
      </c>
      <c r="N212" s="40" t="s">
        <v>2303</v>
      </c>
      <c r="O212" s="41" t="s">
        <v>2304</v>
      </c>
      <c r="P212" s="41" t="s">
        <v>2305</v>
      </c>
      <c r="Q212" s="41" t="s">
        <v>2306</v>
      </c>
      <c r="R212" s="40" t="s">
        <v>2307</v>
      </c>
      <c r="S212" s="41" t="s">
        <v>2308</v>
      </c>
      <c r="T212" s="41" t="s">
        <v>2309</v>
      </c>
      <c r="U212" s="41" t="s">
        <v>2310</v>
      </c>
      <c r="V212" s="71" t="s">
        <v>2311</v>
      </c>
      <c r="W212" s="70"/>
    </row>
    <row r="213" spans="1:23" ht="13" x14ac:dyDescent="0.3">
      <c r="A213" s="44">
        <v>46080.956354166665</v>
      </c>
      <c r="B213" s="45" t="s">
        <v>1010</v>
      </c>
      <c r="C213" s="45" t="s">
        <v>166</v>
      </c>
      <c r="D213" s="45" t="s">
        <v>165</v>
      </c>
      <c r="E213" s="45" t="s">
        <v>7</v>
      </c>
      <c r="F213" s="69" t="s">
        <v>1570</v>
      </c>
      <c r="G213" s="70"/>
      <c r="H213" s="45" t="s">
        <v>8</v>
      </c>
      <c r="I213" s="46"/>
      <c r="J213" s="46"/>
      <c r="K213" s="46"/>
      <c r="L213" s="45" t="s">
        <v>8</v>
      </c>
      <c r="M213" s="45" t="s">
        <v>15</v>
      </c>
      <c r="N213" s="45" t="s">
        <v>2312</v>
      </c>
      <c r="O213" s="41" t="s">
        <v>2313</v>
      </c>
      <c r="P213" s="41" t="s">
        <v>2314</v>
      </c>
      <c r="Q213" s="41" t="s">
        <v>2315</v>
      </c>
      <c r="R213" s="45" t="s">
        <v>167</v>
      </c>
      <c r="S213" s="41" t="s">
        <v>2316</v>
      </c>
      <c r="T213" s="41" t="s">
        <v>2317</v>
      </c>
      <c r="U213" s="41" t="s">
        <v>2318</v>
      </c>
      <c r="V213" s="71" t="s">
        <v>2319</v>
      </c>
      <c r="W213" s="70"/>
    </row>
    <row r="214" spans="1:23" ht="13" x14ac:dyDescent="0.3">
      <c r="A214" s="39">
        <v>46080.970057870371</v>
      </c>
      <c r="B214" s="40" t="s">
        <v>986</v>
      </c>
      <c r="C214" s="40" t="s">
        <v>394</v>
      </c>
      <c r="D214" s="40" t="s">
        <v>393</v>
      </c>
      <c r="E214" s="51">
        <v>414</v>
      </c>
      <c r="F214" s="72" t="s">
        <v>1570</v>
      </c>
      <c r="G214" s="70"/>
      <c r="H214" s="40" t="s">
        <v>8</v>
      </c>
      <c r="I214" s="42"/>
      <c r="J214" s="42"/>
      <c r="K214" s="42"/>
      <c r="L214" s="40" t="s">
        <v>8</v>
      </c>
      <c r="M214" s="40" t="s">
        <v>8</v>
      </c>
      <c r="N214" s="40" t="s">
        <v>2320</v>
      </c>
      <c r="O214" s="41" t="s">
        <v>2321</v>
      </c>
      <c r="P214" s="41" t="s">
        <v>2322</v>
      </c>
      <c r="Q214" s="41" t="s">
        <v>2323</v>
      </c>
      <c r="R214" s="40" t="s">
        <v>2320</v>
      </c>
      <c r="S214" s="41" t="s">
        <v>2324</v>
      </c>
      <c r="T214" s="41" t="s">
        <v>2325</v>
      </c>
      <c r="U214" s="41" t="s">
        <v>2326</v>
      </c>
      <c r="V214" s="71" t="s">
        <v>2327</v>
      </c>
      <c r="W214" s="70"/>
    </row>
    <row r="215" spans="1:23" ht="13" x14ac:dyDescent="0.3">
      <c r="A215" s="44">
        <v>46080.971689814818</v>
      </c>
      <c r="B215" s="45" t="s">
        <v>919</v>
      </c>
      <c r="C215" s="45" t="s">
        <v>40</v>
      </c>
      <c r="D215" s="45" t="s">
        <v>39</v>
      </c>
      <c r="E215" s="45" t="s">
        <v>18</v>
      </c>
      <c r="F215" s="69" t="s">
        <v>1570</v>
      </c>
      <c r="G215" s="70"/>
      <c r="H215" s="45" t="s">
        <v>15</v>
      </c>
      <c r="I215" s="46"/>
      <c r="J215" s="46"/>
      <c r="K215" s="46"/>
      <c r="L215" s="45" t="s">
        <v>15</v>
      </c>
      <c r="M215" s="45" t="s">
        <v>15</v>
      </c>
      <c r="N215" s="45" t="s">
        <v>2328</v>
      </c>
      <c r="O215" s="41" t="s">
        <v>2329</v>
      </c>
      <c r="P215" s="41" t="s">
        <v>2330</v>
      </c>
      <c r="Q215" s="41" t="s">
        <v>2331</v>
      </c>
      <c r="R215" s="45" t="s">
        <v>2332</v>
      </c>
      <c r="S215" s="41" t="s">
        <v>2333</v>
      </c>
      <c r="T215" s="41" t="s">
        <v>2334</v>
      </c>
      <c r="U215" s="41" t="s">
        <v>2335</v>
      </c>
      <c r="V215" s="71" t="s">
        <v>2336</v>
      </c>
      <c r="W215" s="70"/>
    </row>
    <row r="216" spans="1:23" ht="13" x14ac:dyDescent="0.3">
      <c r="A216" s="39">
        <v>46080.974710648145</v>
      </c>
      <c r="B216" s="40" t="s">
        <v>921</v>
      </c>
      <c r="C216" s="40" t="s">
        <v>216</v>
      </c>
      <c r="D216" s="40" t="s">
        <v>215</v>
      </c>
      <c r="E216" s="40" t="s">
        <v>18</v>
      </c>
      <c r="F216" s="72" t="s">
        <v>1570</v>
      </c>
      <c r="G216" s="70"/>
      <c r="H216" s="40" t="s">
        <v>8</v>
      </c>
      <c r="I216" s="42"/>
      <c r="J216" s="42"/>
      <c r="K216" s="42"/>
      <c r="L216" s="40" t="s">
        <v>8</v>
      </c>
      <c r="M216" s="40" t="s">
        <v>8</v>
      </c>
      <c r="N216" s="40" t="s">
        <v>2337</v>
      </c>
      <c r="O216" s="41" t="s">
        <v>2338</v>
      </c>
      <c r="P216" s="41" t="s">
        <v>2339</v>
      </c>
      <c r="Q216" s="41" t="s">
        <v>2340</v>
      </c>
      <c r="R216" s="40" t="s">
        <v>2337</v>
      </c>
      <c r="S216" s="41" t="s">
        <v>2341</v>
      </c>
      <c r="T216" s="41" t="s">
        <v>2342</v>
      </c>
      <c r="U216" s="41" t="s">
        <v>2343</v>
      </c>
      <c r="V216" s="71" t="s">
        <v>2344</v>
      </c>
      <c r="W216" s="70"/>
    </row>
    <row r="217" spans="1:23" ht="13" x14ac:dyDescent="0.3">
      <c r="A217" s="44">
        <v>46080.975347222222</v>
      </c>
      <c r="B217" s="45" t="s">
        <v>971</v>
      </c>
      <c r="C217" s="45" t="s">
        <v>303</v>
      </c>
      <c r="D217" s="45" t="s">
        <v>302</v>
      </c>
      <c r="E217" s="45" t="s">
        <v>18</v>
      </c>
      <c r="F217" s="69" t="s">
        <v>1570</v>
      </c>
      <c r="G217" s="70"/>
      <c r="H217" s="45" t="s">
        <v>15</v>
      </c>
      <c r="I217" s="46"/>
      <c r="J217" s="46"/>
      <c r="K217" s="46"/>
      <c r="L217" s="45" t="s">
        <v>15</v>
      </c>
      <c r="M217" s="45" t="s">
        <v>15</v>
      </c>
      <c r="N217" s="45" t="s">
        <v>2345</v>
      </c>
      <c r="O217" s="41" t="s">
        <v>2346</v>
      </c>
      <c r="P217" s="41" t="s">
        <v>2347</v>
      </c>
      <c r="Q217" s="41" t="s">
        <v>2348</v>
      </c>
      <c r="R217" s="45" t="s">
        <v>2349</v>
      </c>
      <c r="S217" s="41" t="s">
        <v>2350</v>
      </c>
      <c r="T217" s="41" t="s">
        <v>2351</v>
      </c>
      <c r="U217" s="41" t="s">
        <v>2352</v>
      </c>
      <c r="V217" s="71" t="s">
        <v>2353</v>
      </c>
      <c r="W217" s="70"/>
    </row>
    <row r="218" spans="1:23" ht="13" x14ac:dyDescent="0.3">
      <c r="A218" s="39">
        <v>46080.97556712963</v>
      </c>
      <c r="B218" s="40" t="s">
        <v>814</v>
      </c>
      <c r="C218" s="40" t="s">
        <v>427</v>
      </c>
      <c r="D218" s="40" t="s">
        <v>426</v>
      </c>
      <c r="E218" s="40" t="s">
        <v>29</v>
      </c>
      <c r="F218" s="72" t="s">
        <v>1570</v>
      </c>
      <c r="G218" s="70"/>
      <c r="H218" s="40" t="s">
        <v>15</v>
      </c>
      <c r="I218" s="42"/>
      <c r="J218" s="42"/>
      <c r="K218" s="42"/>
      <c r="L218" s="40" t="s">
        <v>15</v>
      </c>
      <c r="M218" s="40" t="s">
        <v>15</v>
      </c>
      <c r="N218" s="40" t="s">
        <v>2354</v>
      </c>
      <c r="O218" s="41" t="s">
        <v>2355</v>
      </c>
      <c r="P218" s="41" t="s">
        <v>2356</v>
      </c>
      <c r="Q218" s="41" t="s">
        <v>2357</v>
      </c>
      <c r="R218" s="40" t="s">
        <v>428</v>
      </c>
      <c r="S218" s="41" t="s">
        <v>2358</v>
      </c>
      <c r="T218" s="41" t="s">
        <v>2359</v>
      </c>
      <c r="U218" s="71" t="s">
        <v>2360</v>
      </c>
      <c r="V218" s="70"/>
      <c r="W218" s="70"/>
    </row>
    <row r="219" spans="1:23" ht="13" x14ac:dyDescent="0.3">
      <c r="A219" s="44">
        <v>46080.975868055553</v>
      </c>
      <c r="B219" s="45" t="s">
        <v>793</v>
      </c>
      <c r="C219" s="45" t="s">
        <v>405</v>
      </c>
      <c r="D219" s="45" t="s">
        <v>404</v>
      </c>
      <c r="E219" s="45" t="s">
        <v>29</v>
      </c>
      <c r="F219" s="69" t="s">
        <v>1570</v>
      </c>
      <c r="G219" s="70"/>
      <c r="H219" s="45" t="s">
        <v>8</v>
      </c>
      <c r="I219" s="46"/>
      <c r="J219" s="46"/>
      <c r="K219" s="46"/>
      <c r="L219" s="45" t="s">
        <v>8</v>
      </c>
      <c r="M219" s="45" t="s">
        <v>8</v>
      </c>
      <c r="N219" s="45" t="s">
        <v>2361</v>
      </c>
      <c r="O219" s="41" t="s">
        <v>2362</v>
      </c>
      <c r="P219" s="41" t="s">
        <v>2363</v>
      </c>
      <c r="Q219" s="41" t="s">
        <v>2364</v>
      </c>
      <c r="R219" s="45" t="s">
        <v>2361</v>
      </c>
      <c r="S219" s="41" t="s">
        <v>2365</v>
      </c>
      <c r="T219" s="41" t="s">
        <v>2366</v>
      </c>
      <c r="U219" s="71" t="s">
        <v>2367</v>
      </c>
      <c r="V219" s="70"/>
      <c r="W219" s="70"/>
    </row>
    <row r="220" spans="1:23" ht="13" x14ac:dyDescent="0.3">
      <c r="A220" s="39">
        <v>46080.976157407407</v>
      </c>
      <c r="B220" s="40" t="s">
        <v>880</v>
      </c>
      <c r="C220" s="40" t="s">
        <v>569</v>
      </c>
      <c r="D220" s="40" t="s">
        <v>568</v>
      </c>
      <c r="E220" s="40" t="s">
        <v>543</v>
      </c>
      <c r="F220" s="72" t="s">
        <v>1570</v>
      </c>
      <c r="G220" s="70"/>
      <c r="H220" s="40" t="s">
        <v>8</v>
      </c>
      <c r="I220" s="42"/>
      <c r="J220" s="42"/>
      <c r="K220" s="42"/>
      <c r="L220" s="40" t="s">
        <v>8</v>
      </c>
      <c r="M220" s="40" t="s">
        <v>8</v>
      </c>
      <c r="N220" s="40" t="s">
        <v>2368</v>
      </c>
      <c r="O220" s="41" t="s">
        <v>2369</v>
      </c>
      <c r="P220" s="41" t="s">
        <v>2370</v>
      </c>
      <c r="Q220" s="41" t="s">
        <v>2371</v>
      </c>
      <c r="R220" s="40" t="s">
        <v>570</v>
      </c>
      <c r="S220" s="41" t="s">
        <v>2372</v>
      </c>
      <c r="T220" s="41" t="s">
        <v>2373</v>
      </c>
      <c r="U220" s="71" t="s">
        <v>2374</v>
      </c>
      <c r="V220" s="70"/>
      <c r="W220" s="70"/>
    </row>
    <row r="221" spans="1:23" ht="13" x14ac:dyDescent="0.3">
      <c r="A221" s="44">
        <v>46080.976342592592</v>
      </c>
      <c r="B221" s="45" t="s">
        <v>860</v>
      </c>
      <c r="C221" s="45" t="s">
        <v>567</v>
      </c>
      <c r="D221" s="45" t="s">
        <v>566</v>
      </c>
      <c r="E221" s="45" t="s">
        <v>543</v>
      </c>
      <c r="F221" s="69" t="s">
        <v>1570</v>
      </c>
      <c r="G221" s="70"/>
      <c r="H221" s="45" t="s">
        <v>8</v>
      </c>
      <c r="I221" s="46"/>
      <c r="J221" s="46"/>
      <c r="K221" s="46"/>
      <c r="L221" s="45" t="s">
        <v>8</v>
      </c>
      <c r="M221" s="45" t="s">
        <v>8</v>
      </c>
      <c r="N221" s="45" t="s">
        <v>2375</v>
      </c>
      <c r="O221" s="41" t="s">
        <v>2376</v>
      </c>
      <c r="P221" s="41" t="s">
        <v>2377</v>
      </c>
      <c r="Q221" s="41" t="s">
        <v>2378</v>
      </c>
      <c r="R221" s="45" t="s">
        <v>2379</v>
      </c>
      <c r="S221" s="41" t="s">
        <v>2380</v>
      </c>
      <c r="T221" s="41" t="s">
        <v>2381</v>
      </c>
      <c r="U221" s="71" t="s">
        <v>2382</v>
      </c>
      <c r="V221" s="70"/>
      <c r="W221" s="70"/>
    </row>
    <row r="222" spans="1:23" ht="13" x14ac:dyDescent="0.3">
      <c r="A222" s="39">
        <v>46080.976875</v>
      </c>
      <c r="B222" s="40" t="s">
        <v>746</v>
      </c>
      <c r="C222" s="40" t="s">
        <v>502</v>
      </c>
      <c r="D222" s="40" t="s">
        <v>501</v>
      </c>
      <c r="E222" s="40" t="s">
        <v>263</v>
      </c>
      <c r="F222" s="72" t="s">
        <v>1570</v>
      </c>
      <c r="G222" s="70"/>
      <c r="H222" s="40" t="s">
        <v>15</v>
      </c>
      <c r="I222" s="42"/>
      <c r="J222" s="42"/>
      <c r="K222" s="42"/>
      <c r="L222" s="40" t="s">
        <v>15</v>
      </c>
      <c r="M222" s="40" t="s">
        <v>15</v>
      </c>
      <c r="N222" s="40" t="s">
        <v>503</v>
      </c>
      <c r="O222" s="41" t="s">
        <v>2383</v>
      </c>
      <c r="P222" s="41" t="s">
        <v>2384</v>
      </c>
      <c r="Q222" s="41" t="s">
        <v>2385</v>
      </c>
      <c r="R222" s="40" t="s">
        <v>503</v>
      </c>
      <c r="S222" s="41" t="s">
        <v>2386</v>
      </c>
      <c r="T222" s="41" t="s">
        <v>2387</v>
      </c>
      <c r="U222" s="41" t="s">
        <v>2388</v>
      </c>
      <c r="V222" s="71" t="s">
        <v>2389</v>
      </c>
      <c r="W222" s="70"/>
    </row>
    <row r="223" spans="1:23" ht="13" x14ac:dyDescent="0.3">
      <c r="A223" s="44">
        <v>46080.978368055556</v>
      </c>
      <c r="B223" s="45" t="s">
        <v>869</v>
      </c>
      <c r="C223" s="45" t="s">
        <v>549</v>
      </c>
      <c r="D223" s="45" t="s">
        <v>548</v>
      </c>
      <c r="E223" s="45" t="s">
        <v>543</v>
      </c>
      <c r="F223" s="69" t="s">
        <v>1570</v>
      </c>
      <c r="G223" s="70"/>
      <c r="H223" s="45" t="s">
        <v>8</v>
      </c>
      <c r="I223" s="46"/>
      <c r="J223" s="46"/>
      <c r="K223" s="46"/>
      <c r="L223" s="45" t="s">
        <v>8</v>
      </c>
      <c r="M223" s="45" t="s">
        <v>8</v>
      </c>
      <c r="N223" s="45" t="s">
        <v>550</v>
      </c>
      <c r="O223" s="41" t="s">
        <v>2390</v>
      </c>
      <c r="P223" s="41" t="s">
        <v>2391</v>
      </c>
      <c r="Q223" s="41" t="s">
        <v>2392</v>
      </c>
      <c r="R223" s="45" t="s">
        <v>550</v>
      </c>
      <c r="S223" s="41" t="s">
        <v>2393</v>
      </c>
      <c r="T223" s="41" t="s">
        <v>2394</v>
      </c>
      <c r="U223" s="71" t="s">
        <v>2395</v>
      </c>
      <c r="V223" s="70"/>
      <c r="W223" s="70"/>
    </row>
    <row r="224" spans="1:23" ht="13" x14ac:dyDescent="0.3">
      <c r="A224" s="39">
        <v>46080.979618055557</v>
      </c>
      <c r="B224" s="40" t="s">
        <v>894</v>
      </c>
      <c r="C224" s="40" t="s">
        <v>77</v>
      </c>
      <c r="D224" s="40" t="s">
        <v>76</v>
      </c>
      <c r="E224" s="40" t="s">
        <v>18</v>
      </c>
      <c r="F224" s="72" t="s">
        <v>1570</v>
      </c>
      <c r="G224" s="70"/>
      <c r="H224" s="40" t="s">
        <v>8</v>
      </c>
      <c r="I224" s="42"/>
      <c r="J224" s="42"/>
      <c r="K224" s="42"/>
      <c r="L224" s="40" t="s">
        <v>8</v>
      </c>
      <c r="M224" s="40" t="s">
        <v>8</v>
      </c>
      <c r="N224" s="40" t="s">
        <v>2396</v>
      </c>
      <c r="O224" s="41" t="s">
        <v>2397</v>
      </c>
      <c r="P224" s="41" t="s">
        <v>2398</v>
      </c>
      <c r="Q224" s="41" t="s">
        <v>2399</v>
      </c>
      <c r="R224" s="40" t="s">
        <v>2396</v>
      </c>
      <c r="S224" s="41" t="s">
        <v>2400</v>
      </c>
      <c r="T224" s="41" t="s">
        <v>2401</v>
      </c>
      <c r="U224" s="41" t="s">
        <v>2402</v>
      </c>
      <c r="V224" s="71" t="s">
        <v>2403</v>
      </c>
      <c r="W224" s="70"/>
    </row>
    <row r="225" spans="1:23" ht="13" x14ac:dyDescent="0.3">
      <c r="A225" s="44">
        <v>46080.980925925927</v>
      </c>
      <c r="B225" s="45" t="s">
        <v>758</v>
      </c>
      <c r="C225" s="45" t="s">
        <v>413</v>
      </c>
      <c r="D225" s="45" t="s">
        <v>412</v>
      </c>
      <c r="E225" s="45" t="s">
        <v>130</v>
      </c>
      <c r="F225" s="69" t="s">
        <v>1570</v>
      </c>
      <c r="G225" s="70"/>
      <c r="H225" s="45" t="s">
        <v>15</v>
      </c>
      <c r="I225" s="46"/>
      <c r="J225" s="46"/>
      <c r="K225" s="46"/>
      <c r="L225" s="45" t="s">
        <v>15</v>
      </c>
      <c r="M225" s="45" t="s">
        <v>8</v>
      </c>
      <c r="N225" s="45" t="s">
        <v>2404</v>
      </c>
      <c r="O225" s="41" t="s">
        <v>2405</v>
      </c>
      <c r="P225" s="41" t="s">
        <v>2406</v>
      </c>
      <c r="Q225" s="41" t="s">
        <v>2407</v>
      </c>
      <c r="R225" s="45" t="s">
        <v>2408</v>
      </c>
      <c r="S225" s="41" t="s">
        <v>2409</v>
      </c>
      <c r="T225" s="41" t="s">
        <v>2410</v>
      </c>
      <c r="U225" s="71" t="s">
        <v>2411</v>
      </c>
      <c r="V225" s="70"/>
      <c r="W225" s="70"/>
    </row>
    <row r="226" spans="1:23" ht="13" x14ac:dyDescent="0.3">
      <c r="A226" s="39">
        <v>46080.984618055554</v>
      </c>
      <c r="B226" s="40" t="s">
        <v>911</v>
      </c>
      <c r="C226" s="40" t="s">
        <v>211</v>
      </c>
      <c r="D226" s="40" t="s">
        <v>210</v>
      </c>
      <c r="E226" s="40" t="s">
        <v>18</v>
      </c>
      <c r="F226" s="72" t="s">
        <v>1570</v>
      </c>
      <c r="G226" s="70"/>
      <c r="H226" s="40" t="s">
        <v>15</v>
      </c>
      <c r="I226" s="42"/>
      <c r="J226" s="42"/>
      <c r="K226" s="42"/>
      <c r="L226" s="40" t="s">
        <v>15</v>
      </c>
      <c r="M226" s="40" t="s">
        <v>15</v>
      </c>
      <c r="N226" s="40" t="s">
        <v>2412</v>
      </c>
      <c r="O226" s="41" t="s">
        <v>2413</v>
      </c>
      <c r="P226" s="41" t="s">
        <v>2414</v>
      </c>
      <c r="Q226" s="41" t="s">
        <v>2415</v>
      </c>
      <c r="R226" s="40" t="s">
        <v>212</v>
      </c>
      <c r="S226" s="41" t="s">
        <v>2416</v>
      </c>
      <c r="T226" s="41" t="s">
        <v>2417</v>
      </c>
      <c r="U226" s="41" t="s">
        <v>2418</v>
      </c>
      <c r="V226" s="71" t="s">
        <v>2419</v>
      </c>
      <c r="W226" s="70"/>
    </row>
    <row r="227" spans="1:23" ht="13" x14ac:dyDescent="0.3">
      <c r="A227" s="44">
        <v>46080.985034722224</v>
      </c>
      <c r="B227" s="45" t="s">
        <v>2420</v>
      </c>
      <c r="C227" s="50" t="s">
        <v>124</v>
      </c>
      <c r="D227" s="45" t="s">
        <v>123</v>
      </c>
      <c r="E227" s="45" t="s">
        <v>18</v>
      </c>
      <c r="F227" s="69" t="s">
        <v>1570</v>
      </c>
      <c r="G227" s="70"/>
      <c r="H227" s="45" t="s">
        <v>15</v>
      </c>
      <c r="I227" s="46"/>
      <c r="J227" s="46"/>
      <c r="K227" s="46"/>
      <c r="L227" s="45" t="s">
        <v>15</v>
      </c>
      <c r="M227" s="45" t="s">
        <v>15</v>
      </c>
      <c r="N227" s="45" t="s">
        <v>125</v>
      </c>
      <c r="O227" s="41" t="s">
        <v>2421</v>
      </c>
      <c r="P227" s="41" t="s">
        <v>2422</v>
      </c>
      <c r="Q227" s="41" t="s">
        <v>2423</v>
      </c>
      <c r="R227" s="45" t="s">
        <v>125</v>
      </c>
      <c r="S227" s="41" t="s">
        <v>2424</v>
      </c>
      <c r="T227" s="41" t="s">
        <v>2425</v>
      </c>
      <c r="U227" s="41" t="s">
        <v>2426</v>
      </c>
      <c r="V227" s="71" t="s">
        <v>2427</v>
      </c>
      <c r="W227" s="70"/>
    </row>
    <row r="228" spans="1:23" ht="13" x14ac:dyDescent="0.3">
      <c r="A228" s="39">
        <v>46080.985543981478</v>
      </c>
      <c r="B228" s="40" t="s">
        <v>1001</v>
      </c>
      <c r="C228" s="40" t="s">
        <v>6</v>
      </c>
      <c r="D228" s="40" t="s">
        <v>5</v>
      </c>
      <c r="E228" s="40" t="s">
        <v>7</v>
      </c>
      <c r="F228" s="72" t="s">
        <v>1570</v>
      </c>
      <c r="G228" s="70"/>
      <c r="H228" s="40" t="s">
        <v>8</v>
      </c>
      <c r="I228" s="42"/>
      <c r="J228" s="42"/>
      <c r="K228" s="42"/>
      <c r="L228" s="40" t="s">
        <v>8</v>
      </c>
      <c r="M228" s="40" t="s">
        <v>8</v>
      </c>
      <c r="N228" s="40" t="s">
        <v>2428</v>
      </c>
      <c r="O228" s="41" t="s">
        <v>2429</v>
      </c>
      <c r="P228" s="41" t="s">
        <v>2430</v>
      </c>
      <c r="Q228" s="41" t="s">
        <v>2431</v>
      </c>
      <c r="R228" s="40" t="s">
        <v>2428</v>
      </c>
      <c r="S228" s="41" t="s">
        <v>2432</v>
      </c>
      <c r="T228" s="41" t="s">
        <v>2433</v>
      </c>
      <c r="U228" s="41" t="s">
        <v>2434</v>
      </c>
      <c r="V228" s="71" t="s">
        <v>2435</v>
      </c>
      <c r="W228" s="70"/>
    </row>
    <row r="229" spans="1:23" ht="13" x14ac:dyDescent="0.3">
      <c r="A229" s="44">
        <v>46080.985659722224</v>
      </c>
      <c r="B229" s="45" t="s">
        <v>648</v>
      </c>
      <c r="C229" s="45" t="s">
        <v>499</v>
      </c>
      <c r="D229" s="45" t="s">
        <v>498</v>
      </c>
      <c r="E229" s="45" t="s">
        <v>130</v>
      </c>
      <c r="F229" s="69" t="s">
        <v>1570</v>
      </c>
      <c r="G229" s="70"/>
      <c r="H229" s="45" t="s">
        <v>8</v>
      </c>
      <c r="I229" s="46"/>
      <c r="J229" s="46"/>
      <c r="K229" s="46"/>
      <c r="L229" s="45" t="s">
        <v>8</v>
      </c>
      <c r="M229" s="45" t="s">
        <v>8</v>
      </c>
      <c r="N229" s="45" t="s">
        <v>500</v>
      </c>
      <c r="O229" s="41" t="s">
        <v>2436</v>
      </c>
      <c r="P229" s="41" t="s">
        <v>2437</v>
      </c>
      <c r="Q229" s="41" t="s">
        <v>2438</v>
      </c>
      <c r="R229" s="45" t="s">
        <v>500</v>
      </c>
      <c r="S229" s="41" t="s">
        <v>2439</v>
      </c>
      <c r="T229" s="41" t="s">
        <v>2440</v>
      </c>
      <c r="U229" s="41" t="s">
        <v>2441</v>
      </c>
      <c r="V229" s="71" t="s">
        <v>2442</v>
      </c>
      <c r="W229" s="70"/>
    </row>
    <row r="230" spans="1:23" ht="13" x14ac:dyDescent="0.3">
      <c r="A230" s="39">
        <v>46080.985960648148</v>
      </c>
      <c r="B230" s="40" t="s">
        <v>930</v>
      </c>
      <c r="C230" s="40" t="s">
        <v>201</v>
      </c>
      <c r="D230" s="40" t="s">
        <v>200</v>
      </c>
      <c r="E230" s="40" t="s">
        <v>18</v>
      </c>
      <c r="F230" s="72" t="s">
        <v>1570</v>
      </c>
      <c r="G230" s="70"/>
      <c r="H230" s="40" t="s">
        <v>15</v>
      </c>
      <c r="I230" s="42"/>
      <c r="J230" s="42"/>
      <c r="K230" s="42"/>
      <c r="L230" s="40" t="s">
        <v>15</v>
      </c>
      <c r="M230" s="40" t="s">
        <v>15</v>
      </c>
      <c r="N230" s="40" t="s">
        <v>202</v>
      </c>
      <c r="O230" s="41" t="s">
        <v>2443</v>
      </c>
      <c r="P230" s="41" t="s">
        <v>2444</v>
      </c>
      <c r="Q230" s="41" t="s">
        <v>2445</v>
      </c>
      <c r="R230" s="40" t="s">
        <v>202</v>
      </c>
      <c r="S230" s="41" t="s">
        <v>2446</v>
      </c>
      <c r="T230" s="41" t="s">
        <v>2447</v>
      </c>
      <c r="U230" s="41" t="s">
        <v>2448</v>
      </c>
      <c r="V230" s="71" t="s">
        <v>2449</v>
      </c>
      <c r="W230" s="70"/>
    </row>
    <row r="231" spans="1:23" ht="13" x14ac:dyDescent="0.3">
      <c r="A231" s="44">
        <v>46080.990439814814</v>
      </c>
      <c r="B231" s="45" t="s">
        <v>1045</v>
      </c>
      <c r="C231" s="45" t="s">
        <v>224</v>
      </c>
      <c r="D231" s="45" t="s">
        <v>223</v>
      </c>
      <c r="E231" s="45" t="s">
        <v>7</v>
      </c>
      <c r="F231" s="69" t="s">
        <v>1570</v>
      </c>
      <c r="G231" s="70"/>
      <c r="H231" s="45" t="s">
        <v>8</v>
      </c>
      <c r="I231" s="46"/>
      <c r="J231" s="46"/>
      <c r="K231" s="46"/>
      <c r="L231" s="45" t="s">
        <v>8</v>
      </c>
      <c r="M231" s="45" t="s">
        <v>8</v>
      </c>
      <c r="N231" s="45" t="s">
        <v>2450</v>
      </c>
      <c r="O231" s="41" t="s">
        <v>2451</v>
      </c>
      <c r="P231" s="41" t="s">
        <v>2452</v>
      </c>
      <c r="Q231" s="41" t="s">
        <v>2453</v>
      </c>
      <c r="R231" s="45" t="s">
        <v>2454</v>
      </c>
      <c r="S231" s="41" t="s">
        <v>2455</v>
      </c>
      <c r="T231" s="41" t="s">
        <v>2456</v>
      </c>
      <c r="U231" s="71" t="s">
        <v>2457</v>
      </c>
      <c r="V231" s="70"/>
      <c r="W231" s="70"/>
    </row>
    <row r="232" spans="1:23" ht="13" x14ac:dyDescent="0.3">
      <c r="A232" s="39">
        <v>46080.990567129629</v>
      </c>
      <c r="B232" s="40" t="s">
        <v>907</v>
      </c>
      <c r="C232" s="40" t="s">
        <v>37</v>
      </c>
      <c r="D232" s="40" t="s">
        <v>36</v>
      </c>
      <c r="E232" s="40" t="s">
        <v>36</v>
      </c>
      <c r="F232" s="72" t="s">
        <v>1570</v>
      </c>
      <c r="G232" s="70"/>
      <c r="H232" s="40" t="s">
        <v>15</v>
      </c>
      <c r="I232" s="42"/>
      <c r="J232" s="42"/>
      <c r="K232" s="42"/>
      <c r="L232" s="40" t="s">
        <v>15</v>
      </c>
      <c r="M232" s="40" t="s">
        <v>15</v>
      </c>
      <c r="N232" s="40" t="s">
        <v>38</v>
      </c>
      <c r="O232" s="41" t="s">
        <v>2458</v>
      </c>
      <c r="P232" s="41" t="s">
        <v>2459</v>
      </c>
      <c r="Q232" s="41" t="s">
        <v>2460</v>
      </c>
      <c r="R232" s="40" t="s">
        <v>38</v>
      </c>
      <c r="S232" s="41" t="s">
        <v>2461</v>
      </c>
      <c r="T232" s="41" t="s">
        <v>2462</v>
      </c>
      <c r="U232" s="41" t="s">
        <v>2463</v>
      </c>
      <c r="V232" s="71" t="s">
        <v>2464</v>
      </c>
      <c r="W232" s="70"/>
    </row>
    <row r="233" spans="1:23" ht="13" x14ac:dyDescent="0.3">
      <c r="A233" s="44">
        <v>46080.992256944446</v>
      </c>
      <c r="B233" s="45" t="s">
        <v>867</v>
      </c>
      <c r="C233" s="45" t="s">
        <v>604</v>
      </c>
      <c r="D233" s="45" t="s">
        <v>603</v>
      </c>
      <c r="E233" s="45" t="s">
        <v>543</v>
      </c>
      <c r="F233" s="69" t="s">
        <v>1570</v>
      </c>
      <c r="G233" s="70"/>
      <c r="H233" s="45" t="s">
        <v>8</v>
      </c>
      <c r="I233" s="46"/>
      <c r="J233" s="46"/>
      <c r="K233" s="46"/>
      <c r="L233" s="45" t="s">
        <v>8</v>
      </c>
      <c r="M233" s="45" t="s">
        <v>8</v>
      </c>
      <c r="N233" s="45" t="s">
        <v>2465</v>
      </c>
      <c r="O233" s="41" t="s">
        <v>2466</v>
      </c>
      <c r="P233" s="41" t="s">
        <v>2467</v>
      </c>
      <c r="Q233" s="41" t="s">
        <v>2468</v>
      </c>
      <c r="R233" s="45" t="s">
        <v>605</v>
      </c>
      <c r="S233" s="41" t="s">
        <v>2469</v>
      </c>
      <c r="T233" s="41" t="s">
        <v>2470</v>
      </c>
      <c r="U233" s="71" t="s">
        <v>2471</v>
      </c>
      <c r="V233" s="70"/>
      <c r="W233" s="70"/>
    </row>
    <row r="234" spans="1:23" ht="13" x14ac:dyDescent="0.3">
      <c r="A234" s="39">
        <v>46080.992372685185</v>
      </c>
      <c r="B234" s="40" t="s">
        <v>1021</v>
      </c>
      <c r="C234" s="40" t="s">
        <v>169</v>
      </c>
      <c r="D234" s="40" t="s">
        <v>168</v>
      </c>
      <c r="E234" s="40" t="s">
        <v>7</v>
      </c>
      <c r="F234" s="72" t="s">
        <v>1570</v>
      </c>
      <c r="G234" s="70"/>
      <c r="H234" s="40" t="s">
        <v>15</v>
      </c>
      <c r="I234" s="42"/>
      <c r="J234" s="42"/>
      <c r="K234" s="42"/>
      <c r="L234" s="40" t="s">
        <v>15</v>
      </c>
      <c r="M234" s="40" t="s">
        <v>15</v>
      </c>
      <c r="N234" s="40" t="s">
        <v>2472</v>
      </c>
      <c r="O234" s="41" t="s">
        <v>2473</v>
      </c>
      <c r="P234" s="41" t="s">
        <v>2474</v>
      </c>
      <c r="Q234" s="41" t="s">
        <v>2475</v>
      </c>
      <c r="R234" s="40" t="s">
        <v>2476</v>
      </c>
      <c r="S234" s="41" t="s">
        <v>2477</v>
      </c>
      <c r="T234" s="41" t="s">
        <v>2478</v>
      </c>
      <c r="U234" s="41" t="s">
        <v>2479</v>
      </c>
      <c r="V234" s="71" t="s">
        <v>2480</v>
      </c>
      <c r="W234" s="70"/>
    </row>
    <row r="235" spans="1:23" ht="13" x14ac:dyDescent="0.3">
      <c r="A235" s="44">
        <v>46080.992534722223</v>
      </c>
      <c r="B235" s="45" t="s">
        <v>934</v>
      </c>
      <c r="C235" s="45" t="s">
        <v>140</v>
      </c>
      <c r="D235" s="45" t="s">
        <v>139</v>
      </c>
      <c r="E235" s="45" t="s">
        <v>217</v>
      </c>
      <c r="F235" s="69" t="s">
        <v>1570</v>
      </c>
      <c r="G235" s="70"/>
      <c r="H235" s="45" t="s">
        <v>8</v>
      </c>
      <c r="I235" s="46"/>
      <c r="J235" s="46"/>
      <c r="K235" s="46"/>
      <c r="L235" s="45" t="s">
        <v>8</v>
      </c>
      <c r="M235" s="45" t="s">
        <v>15</v>
      </c>
      <c r="N235" s="45" t="s">
        <v>2481</v>
      </c>
      <c r="O235" s="41" t="s">
        <v>2482</v>
      </c>
      <c r="P235" s="41" t="s">
        <v>2483</v>
      </c>
      <c r="Q235" s="41" t="s">
        <v>2484</v>
      </c>
      <c r="R235" s="45" t="s">
        <v>141</v>
      </c>
      <c r="S235" s="41" t="s">
        <v>2485</v>
      </c>
      <c r="T235" s="41" t="s">
        <v>2486</v>
      </c>
      <c r="U235" s="41" t="s">
        <v>2487</v>
      </c>
      <c r="V235" s="71" t="s">
        <v>2488</v>
      </c>
      <c r="W235" s="70"/>
    </row>
    <row r="236" spans="1:23" ht="13" x14ac:dyDescent="0.3">
      <c r="A236" s="39">
        <v>46080.993460648147</v>
      </c>
      <c r="B236" s="40" t="s">
        <v>891</v>
      </c>
      <c r="C236" s="40" t="s">
        <v>61</v>
      </c>
      <c r="D236" s="40" t="s">
        <v>60</v>
      </c>
      <c r="E236" s="40" t="s">
        <v>18</v>
      </c>
      <c r="F236" s="72" t="s">
        <v>1570</v>
      </c>
      <c r="G236" s="70"/>
      <c r="H236" s="40" t="s">
        <v>15</v>
      </c>
      <c r="I236" s="42"/>
      <c r="J236" s="42"/>
      <c r="K236" s="42"/>
      <c r="L236" s="40" t="s">
        <v>15</v>
      </c>
      <c r="M236" s="40" t="s">
        <v>15</v>
      </c>
      <c r="N236" s="40" t="s">
        <v>2489</v>
      </c>
      <c r="O236" s="41" t="s">
        <v>2490</v>
      </c>
      <c r="P236" s="41" t="s">
        <v>2491</v>
      </c>
      <c r="Q236" s="41" t="s">
        <v>2492</v>
      </c>
      <c r="R236" s="40" t="s">
        <v>2493</v>
      </c>
      <c r="S236" s="41" t="s">
        <v>2494</v>
      </c>
      <c r="T236" s="41" t="s">
        <v>2495</v>
      </c>
      <c r="U236" s="41" t="s">
        <v>2496</v>
      </c>
      <c r="V236" s="71" t="s">
        <v>2497</v>
      </c>
      <c r="W236" s="70"/>
    </row>
    <row r="237" spans="1:23" ht="13" x14ac:dyDescent="0.3">
      <c r="A237" s="44">
        <v>46080.994016203702</v>
      </c>
      <c r="B237" s="45" t="s">
        <v>1044</v>
      </c>
      <c r="C237" s="45" t="s">
        <v>117</v>
      </c>
      <c r="D237" s="45" t="s">
        <v>116</v>
      </c>
      <c r="E237" s="45" t="s">
        <v>7</v>
      </c>
      <c r="F237" s="69" t="s">
        <v>1570</v>
      </c>
      <c r="G237" s="70"/>
      <c r="H237" s="45" t="s">
        <v>8</v>
      </c>
      <c r="I237" s="46"/>
      <c r="J237" s="46"/>
      <c r="K237" s="46"/>
      <c r="L237" s="45" t="s">
        <v>8</v>
      </c>
      <c r="M237" s="45" t="s">
        <v>8</v>
      </c>
      <c r="N237" s="45" t="s">
        <v>118</v>
      </c>
      <c r="O237" s="41" t="s">
        <v>2498</v>
      </c>
      <c r="P237" s="41" t="s">
        <v>2499</v>
      </c>
      <c r="Q237" s="41" t="s">
        <v>2500</v>
      </c>
      <c r="R237" s="45" t="s">
        <v>118</v>
      </c>
      <c r="S237" s="41" t="s">
        <v>2501</v>
      </c>
      <c r="T237" s="41" t="s">
        <v>2502</v>
      </c>
      <c r="U237" s="41" t="s">
        <v>2503</v>
      </c>
      <c r="V237" s="71" t="s">
        <v>2504</v>
      </c>
      <c r="W237" s="70"/>
    </row>
    <row r="238" spans="1:23" ht="13" x14ac:dyDescent="0.3">
      <c r="A238" s="39">
        <v>46080.994629629633</v>
      </c>
      <c r="B238" s="40" t="s">
        <v>1022</v>
      </c>
      <c r="C238" s="40" t="s">
        <v>45</v>
      </c>
      <c r="D238" s="40" t="s">
        <v>44</v>
      </c>
      <c r="E238" s="40" t="s">
        <v>7</v>
      </c>
      <c r="F238" s="72" t="s">
        <v>1570</v>
      </c>
      <c r="G238" s="70"/>
      <c r="H238" s="40" t="s">
        <v>15</v>
      </c>
      <c r="I238" s="42"/>
      <c r="J238" s="42"/>
      <c r="K238" s="42"/>
      <c r="L238" s="40" t="s">
        <v>15</v>
      </c>
      <c r="M238" s="40" t="s">
        <v>8</v>
      </c>
      <c r="N238" s="40" t="s">
        <v>2505</v>
      </c>
      <c r="O238" s="41" t="s">
        <v>2506</v>
      </c>
      <c r="P238" s="41" t="s">
        <v>2507</v>
      </c>
      <c r="Q238" s="41" t="s">
        <v>2508</v>
      </c>
      <c r="R238" s="40" t="s">
        <v>2509</v>
      </c>
      <c r="S238" s="41" t="s">
        <v>2510</v>
      </c>
      <c r="T238" s="41" t="s">
        <v>2511</v>
      </c>
      <c r="U238" s="41" t="s">
        <v>2512</v>
      </c>
      <c r="V238" s="71" t="s">
        <v>2513</v>
      </c>
      <c r="W238" s="70"/>
    </row>
    <row r="239" spans="1:23" ht="13" x14ac:dyDescent="0.3">
      <c r="A239" s="44">
        <v>46080.996724537035</v>
      </c>
      <c r="B239" s="45" t="s">
        <v>852</v>
      </c>
      <c r="C239" s="45" t="s">
        <v>574</v>
      </c>
      <c r="D239" s="45" t="s">
        <v>573</v>
      </c>
      <c r="E239" s="45" t="s">
        <v>543</v>
      </c>
      <c r="F239" s="69" t="s">
        <v>1570</v>
      </c>
      <c r="G239" s="70"/>
      <c r="H239" s="45" t="s">
        <v>8</v>
      </c>
      <c r="I239" s="46"/>
      <c r="J239" s="46"/>
      <c r="K239" s="46"/>
      <c r="L239" s="45" t="s">
        <v>8</v>
      </c>
      <c r="M239" s="45" t="s">
        <v>8</v>
      </c>
      <c r="N239" s="45" t="s">
        <v>2514</v>
      </c>
      <c r="O239" s="41" t="s">
        <v>2515</v>
      </c>
      <c r="P239" s="41" t="s">
        <v>2516</v>
      </c>
      <c r="Q239" s="41" t="s">
        <v>2517</v>
      </c>
      <c r="R239" s="45" t="s">
        <v>2514</v>
      </c>
      <c r="S239" s="41" t="s">
        <v>2518</v>
      </c>
      <c r="T239" s="41" t="s">
        <v>2519</v>
      </c>
      <c r="U239" s="71" t="s">
        <v>2520</v>
      </c>
      <c r="V239" s="70"/>
      <c r="W239" s="70"/>
    </row>
    <row r="240" spans="1:23" ht="13" x14ac:dyDescent="0.3">
      <c r="A240" s="39">
        <v>46080.99732638889</v>
      </c>
      <c r="B240" s="40" t="s">
        <v>2521</v>
      </c>
      <c r="C240" s="40" t="s">
        <v>53</v>
      </c>
      <c r="D240" s="40" t="s">
        <v>52</v>
      </c>
      <c r="E240" s="40" t="s">
        <v>18</v>
      </c>
      <c r="F240" s="72" t="s">
        <v>1570</v>
      </c>
      <c r="G240" s="70"/>
      <c r="H240" s="40" t="s">
        <v>15</v>
      </c>
      <c r="I240" s="42"/>
      <c r="J240" s="42"/>
      <c r="K240" s="42"/>
      <c r="L240" s="40" t="s">
        <v>15</v>
      </c>
      <c r="M240" s="40" t="s">
        <v>15</v>
      </c>
      <c r="N240" s="40" t="s">
        <v>1549</v>
      </c>
      <c r="O240" s="41" t="s">
        <v>2522</v>
      </c>
      <c r="P240" s="41" t="s">
        <v>2523</v>
      </c>
      <c r="Q240" s="41" t="s">
        <v>2524</v>
      </c>
      <c r="R240" s="40" t="s">
        <v>1549</v>
      </c>
      <c r="S240" s="41" t="s">
        <v>2525</v>
      </c>
      <c r="T240" s="41" t="s">
        <v>2526</v>
      </c>
      <c r="U240" s="71" t="s">
        <v>2527</v>
      </c>
      <c r="V240" s="70"/>
      <c r="W240" s="70"/>
    </row>
    <row r="241" spans="1:23" ht="13" x14ac:dyDescent="0.3">
      <c r="A241" s="44">
        <v>46080.997488425928</v>
      </c>
      <c r="B241" s="45" t="s">
        <v>909</v>
      </c>
      <c r="C241" s="45" t="s">
        <v>194</v>
      </c>
      <c r="D241" s="45" t="s">
        <v>193</v>
      </c>
      <c r="E241" s="45" t="s">
        <v>18</v>
      </c>
      <c r="F241" s="69" t="s">
        <v>1570</v>
      </c>
      <c r="G241" s="70"/>
      <c r="H241" s="45" t="s">
        <v>15</v>
      </c>
      <c r="I241" s="46"/>
      <c r="J241" s="46"/>
      <c r="K241" s="46"/>
      <c r="L241" s="45" t="s">
        <v>15</v>
      </c>
      <c r="M241" s="45" t="s">
        <v>15</v>
      </c>
      <c r="N241" s="45" t="s">
        <v>2528</v>
      </c>
      <c r="O241" s="41" t="s">
        <v>2529</v>
      </c>
      <c r="P241" s="41" t="s">
        <v>2530</v>
      </c>
      <c r="Q241" s="41" t="s">
        <v>2531</v>
      </c>
      <c r="R241" s="45" t="s">
        <v>2528</v>
      </c>
      <c r="S241" s="41" t="s">
        <v>2532</v>
      </c>
      <c r="T241" s="41" t="s">
        <v>2533</v>
      </c>
      <c r="U241" s="41" t="s">
        <v>2534</v>
      </c>
      <c r="V241" s="71" t="s">
        <v>2535</v>
      </c>
      <c r="W241" s="70"/>
    </row>
    <row r="242" spans="1:23" ht="13" x14ac:dyDescent="0.3">
      <c r="A242" s="39">
        <v>46080.998622685183</v>
      </c>
      <c r="B242" s="40" t="s">
        <v>2536</v>
      </c>
      <c r="C242" s="40" t="s">
        <v>390</v>
      </c>
      <c r="D242" s="40" t="s">
        <v>389</v>
      </c>
      <c r="E242" s="40" t="s">
        <v>18</v>
      </c>
      <c r="F242" s="72" t="s">
        <v>1570</v>
      </c>
      <c r="G242" s="70"/>
      <c r="H242" s="40" t="s">
        <v>15</v>
      </c>
      <c r="I242" s="42"/>
      <c r="J242" s="42"/>
      <c r="K242" s="42"/>
      <c r="L242" s="40" t="s">
        <v>15</v>
      </c>
      <c r="M242" s="40" t="s">
        <v>8</v>
      </c>
      <c r="N242" s="40" t="s">
        <v>2537</v>
      </c>
      <c r="O242" s="41" t="s">
        <v>2538</v>
      </c>
      <c r="P242" s="41" t="s">
        <v>2539</v>
      </c>
      <c r="Q242" s="41" t="s">
        <v>2540</v>
      </c>
      <c r="R242" s="40" t="s">
        <v>2541</v>
      </c>
      <c r="S242" s="41" t="s">
        <v>2542</v>
      </c>
      <c r="T242" s="41" t="s">
        <v>2543</v>
      </c>
      <c r="U242" s="41" t="s">
        <v>2544</v>
      </c>
      <c r="V242" s="71" t="s">
        <v>2545</v>
      </c>
      <c r="W242" s="70"/>
    </row>
    <row r="243" spans="1:23" ht="13" x14ac:dyDescent="0.3">
      <c r="A243" s="44">
        <v>46080.998912037037</v>
      </c>
      <c r="B243" s="45" t="s">
        <v>908</v>
      </c>
      <c r="C243" s="45" t="s">
        <v>208</v>
      </c>
      <c r="D243" s="45" t="s">
        <v>207</v>
      </c>
      <c r="E243" s="45" t="s">
        <v>18</v>
      </c>
      <c r="F243" s="69" t="s">
        <v>1570</v>
      </c>
      <c r="G243" s="70"/>
      <c r="H243" s="45" t="s">
        <v>8</v>
      </c>
      <c r="I243" s="46"/>
      <c r="J243" s="46"/>
      <c r="K243" s="46"/>
      <c r="L243" s="45" t="s">
        <v>8</v>
      </c>
      <c r="M243" s="45" t="s">
        <v>15</v>
      </c>
      <c r="N243" s="45" t="s">
        <v>2546</v>
      </c>
      <c r="O243" s="41" t="s">
        <v>2547</v>
      </c>
      <c r="P243" s="41" t="s">
        <v>2548</v>
      </c>
      <c r="Q243" s="41" t="s">
        <v>2549</v>
      </c>
      <c r="R243" s="45" t="s">
        <v>209</v>
      </c>
      <c r="S243" s="41" t="s">
        <v>2550</v>
      </c>
      <c r="T243" s="41" t="s">
        <v>2551</v>
      </c>
      <c r="U243" s="41" t="s">
        <v>2552</v>
      </c>
      <c r="V243" s="71" t="s">
        <v>2553</v>
      </c>
      <c r="W243" s="70"/>
    </row>
    <row r="244" spans="1:23" ht="13" x14ac:dyDescent="0.3">
      <c r="A244" s="39">
        <v>46080.99962962963</v>
      </c>
      <c r="B244" s="40" t="s">
        <v>950</v>
      </c>
      <c r="C244" s="40" t="s">
        <v>368</v>
      </c>
      <c r="D244" s="40" t="s">
        <v>367</v>
      </c>
      <c r="E244" s="40" t="s">
        <v>18</v>
      </c>
      <c r="F244" s="72" t="s">
        <v>1570</v>
      </c>
      <c r="G244" s="70"/>
      <c r="H244" s="40" t="s">
        <v>15</v>
      </c>
      <c r="I244" s="42"/>
      <c r="J244" s="42"/>
      <c r="K244" s="42"/>
      <c r="L244" s="40" t="s">
        <v>15</v>
      </c>
      <c r="M244" s="40" t="s">
        <v>15</v>
      </c>
      <c r="N244" s="40" t="s">
        <v>2554</v>
      </c>
      <c r="O244" s="41" t="s">
        <v>2555</v>
      </c>
      <c r="P244" s="41" t="s">
        <v>2556</v>
      </c>
      <c r="Q244" s="41" t="s">
        <v>2557</v>
      </c>
      <c r="R244" s="40" t="s">
        <v>2554</v>
      </c>
      <c r="S244" s="41" t="s">
        <v>2558</v>
      </c>
      <c r="T244" s="41" t="s">
        <v>2559</v>
      </c>
      <c r="U244" s="41" t="s">
        <v>2560</v>
      </c>
      <c r="V244" s="71" t="s">
        <v>2561</v>
      </c>
      <c r="W244" s="70"/>
    </row>
    <row r="245" spans="1:23" ht="13" x14ac:dyDescent="0.3">
      <c r="A245" s="44">
        <v>46081.001087962963</v>
      </c>
      <c r="B245" s="45" t="s">
        <v>1026</v>
      </c>
      <c r="C245" s="50" t="s">
        <v>47</v>
      </c>
      <c r="D245" s="45" t="s">
        <v>46</v>
      </c>
      <c r="E245" s="45" t="s">
        <v>7</v>
      </c>
      <c r="F245" s="69" t="s">
        <v>1570</v>
      </c>
      <c r="G245" s="70"/>
      <c r="H245" s="45" t="s">
        <v>8</v>
      </c>
      <c r="I245" s="46"/>
      <c r="J245" s="46"/>
      <c r="K245" s="46"/>
      <c r="L245" s="45" t="s">
        <v>8</v>
      </c>
      <c r="M245" s="45" t="s">
        <v>15</v>
      </c>
      <c r="N245" s="45" t="s">
        <v>2562</v>
      </c>
      <c r="O245" s="41" t="s">
        <v>2563</v>
      </c>
      <c r="P245" s="41" t="s">
        <v>2564</v>
      </c>
      <c r="Q245" s="41" t="s">
        <v>2565</v>
      </c>
      <c r="R245" s="45" t="s">
        <v>2566</v>
      </c>
      <c r="S245" s="41" t="s">
        <v>2567</v>
      </c>
      <c r="T245" s="41" t="s">
        <v>2568</v>
      </c>
      <c r="U245" s="41" t="s">
        <v>2569</v>
      </c>
      <c r="V245" s="71" t="s">
        <v>2570</v>
      </c>
      <c r="W245" s="70"/>
    </row>
    <row r="246" spans="1:23" ht="13" x14ac:dyDescent="0.3">
      <c r="A246" s="39">
        <v>46081.002245370371</v>
      </c>
      <c r="B246" s="40" t="s">
        <v>2571</v>
      </c>
      <c r="C246" s="40" t="s">
        <v>220</v>
      </c>
      <c r="D246" s="40" t="s">
        <v>219</v>
      </c>
      <c r="E246" s="40" t="s">
        <v>2572</v>
      </c>
      <c r="F246" s="72" t="s">
        <v>1570</v>
      </c>
      <c r="G246" s="70"/>
      <c r="H246" s="40" t="s">
        <v>15</v>
      </c>
      <c r="I246" s="42"/>
      <c r="J246" s="42"/>
      <c r="K246" s="42"/>
      <c r="L246" s="40" t="s">
        <v>15</v>
      </c>
      <c r="M246" s="40" t="s">
        <v>15</v>
      </c>
      <c r="N246" s="40" t="s">
        <v>2573</v>
      </c>
      <c r="O246" s="41" t="s">
        <v>2574</v>
      </c>
      <c r="P246" s="41" t="s">
        <v>2575</v>
      </c>
      <c r="Q246" s="41" t="s">
        <v>2576</v>
      </c>
      <c r="R246" s="40" t="s">
        <v>2573</v>
      </c>
      <c r="S246" s="41" t="s">
        <v>2577</v>
      </c>
      <c r="T246" s="41" t="s">
        <v>2578</v>
      </c>
      <c r="U246" s="41" t="s">
        <v>2579</v>
      </c>
      <c r="V246" s="71" t="s">
        <v>2580</v>
      </c>
      <c r="W246" s="70"/>
    </row>
    <row r="247" spans="1:23" ht="13" x14ac:dyDescent="0.3">
      <c r="A247" s="44">
        <v>46081.007986111108</v>
      </c>
      <c r="B247" s="45" t="s">
        <v>2581</v>
      </c>
      <c r="C247" s="45" t="s">
        <v>532</v>
      </c>
      <c r="D247" s="45" t="s">
        <v>531</v>
      </c>
      <c r="E247" s="45" t="s">
        <v>130</v>
      </c>
      <c r="F247" s="69" t="s">
        <v>1570</v>
      </c>
      <c r="G247" s="70"/>
      <c r="H247" s="45" t="s">
        <v>15</v>
      </c>
      <c r="I247" s="46"/>
      <c r="J247" s="46"/>
      <c r="K247" s="46"/>
      <c r="L247" s="45" t="s">
        <v>15</v>
      </c>
      <c r="M247" s="45" t="s">
        <v>15</v>
      </c>
      <c r="N247" s="45" t="s">
        <v>2582</v>
      </c>
      <c r="O247" s="41" t="s">
        <v>2583</v>
      </c>
      <c r="P247" s="41" t="s">
        <v>2584</v>
      </c>
      <c r="Q247" s="41" t="s">
        <v>2585</v>
      </c>
      <c r="R247" s="45" t="s">
        <v>2582</v>
      </c>
      <c r="S247" s="41" t="s">
        <v>2586</v>
      </c>
      <c r="T247" s="41" t="s">
        <v>2587</v>
      </c>
      <c r="U247" s="71" t="s">
        <v>2588</v>
      </c>
      <c r="V247" s="70"/>
      <c r="W247" s="70"/>
    </row>
    <row r="248" spans="1:23" ht="13" x14ac:dyDescent="0.3">
      <c r="A248" s="39">
        <v>46081.009375000001</v>
      </c>
      <c r="B248" s="40" t="s">
        <v>954</v>
      </c>
      <c r="C248" s="40" t="s">
        <v>86</v>
      </c>
      <c r="D248" s="40" t="s">
        <v>85</v>
      </c>
      <c r="E248" s="40" t="s">
        <v>18</v>
      </c>
      <c r="F248" s="72" t="s">
        <v>1570</v>
      </c>
      <c r="G248" s="70"/>
      <c r="H248" s="40" t="s">
        <v>15</v>
      </c>
      <c r="I248" s="42"/>
      <c r="J248" s="42"/>
      <c r="K248" s="42"/>
      <c r="L248" s="40" t="s">
        <v>15</v>
      </c>
      <c r="M248" s="40" t="s">
        <v>15</v>
      </c>
      <c r="N248" s="40" t="s">
        <v>2589</v>
      </c>
      <c r="O248" s="41" t="s">
        <v>2590</v>
      </c>
      <c r="P248" s="41" t="s">
        <v>2591</v>
      </c>
      <c r="Q248" s="41" t="s">
        <v>2592</v>
      </c>
      <c r="R248" s="40" t="s">
        <v>87</v>
      </c>
      <c r="S248" s="41" t="s">
        <v>2593</v>
      </c>
      <c r="T248" s="41" t="s">
        <v>2594</v>
      </c>
      <c r="U248" s="41" t="s">
        <v>2595</v>
      </c>
      <c r="V248" s="71" t="s">
        <v>2596</v>
      </c>
      <c r="W248" s="70"/>
    </row>
    <row r="249" spans="1:23" ht="13" x14ac:dyDescent="0.3">
      <c r="A249" s="44">
        <v>46081.013912037037</v>
      </c>
      <c r="B249" s="45" t="s">
        <v>2597</v>
      </c>
      <c r="C249" s="50" t="s">
        <v>47</v>
      </c>
      <c r="D249" s="45" t="s">
        <v>46</v>
      </c>
      <c r="E249" s="45" t="s">
        <v>7</v>
      </c>
      <c r="F249" s="69" t="s">
        <v>1570</v>
      </c>
      <c r="G249" s="70"/>
      <c r="H249" s="45" t="s">
        <v>8</v>
      </c>
      <c r="I249" s="46"/>
      <c r="J249" s="46"/>
      <c r="K249" s="46"/>
      <c r="L249" s="45" t="s">
        <v>8</v>
      </c>
      <c r="M249" s="45" t="s">
        <v>15</v>
      </c>
      <c r="N249" s="45" t="s">
        <v>2562</v>
      </c>
      <c r="O249" s="41" t="s">
        <v>2598</v>
      </c>
      <c r="P249" s="41" t="s">
        <v>2599</v>
      </c>
      <c r="Q249" s="41" t="s">
        <v>2600</v>
      </c>
      <c r="R249" s="45" t="s">
        <v>2566</v>
      </c>
      <c r="S249" s="41" t="s">
        <v>2601</v>
      </c>
      <c r="T249" s="41" t="s">
        <v>2602</v>
      </c>
      <c r="U249" s="41" t="s">
        <v>2603</v>
      </c>
      <c r="V249" s="71" t="s">
        <v>2604</v>
      </c>
      <c r="W249" s="70"/>
    </row>
    <row r="250" spans="1:23" ht="13" x14ac:dyDescent="0.3">
      <c r="A250" s="39">
        <v>46081.024305555555</v>
      </c>
      <c r="B250" s="40" t="s">
        <v>841</v>
      </c>
      <c r="C250" s="40" t="s">
        <v>430</v>
      </c>
      <c r="D250" s="40" t="s">
        <v>429</v>
      </c>
      <c r="E250" s="40" t="s">
        <v>29</v>
      </c>
      <c r="F250" s="72" t="s">
        <v>1570</v>
      </c>
      <c r="G250" s="70"/>
      <c r="H250" s="40" t="s">
        <v>8</v>
      </c>
      <c r="I250" s="42"/>
      <c r="J250" s="42"/>
      <c r="K250" s="42"/>
      <c r="L250" s="40" t="s">
        <v>8</v>
      </c>
      <c r="M250" s="40" t="s">
        <v>15</v>
      </c>
      <c r="N250" s="40" t="s">
        <v>2605</v>
      </c>
      <c r="O250" s="41" t="s">
        <v>2606</v>
      </c>
      <c r="P250" s="41" t="s">
        <v>2607</v>
      </c>
      <c r="Q250" s="41" t="s">
        <v>2608</v>
      </c>
      <c r="R250" s="40" t="s">
        <v>431</v>
      </c>
      <c r="S250" s="41" t="s">
        <v>2609</v>
      </c>
      <c r="T250" s="41" t="s">
        <v>2610</v>
      </c>
      <c r="U250" s="41" t="s">
        <v>2611</v>
      </c>
      <c r="V250" s="71" t="s">
        <v>2612</v>
      </c>
      <c r="W250" s="70"/>
    </row>
    <row r="251" spans="1:23" ht="13" x14ac:dyDescent="0.3">
      <c r="A251" s="44">
        <v>46081.027731481481</v>
      </c>
      <c r="B251" s="45" t="s">
        <v>864</v>
      </c>
      <c r="C251" s="45" t="s">
        <v>582</v>
      </c>
      <c r="D251" s="45" t="s">
        <v>581</v>
      </c>
      <c r="E251" s="45" t="s">
        <v>844</v>
      </c>
      <c r="F251" s="69" t="s">
        <v>1570</v>
      </c>
      <c r="G251" s="70"/>
      <c r="H251" s="45" t="s">
        <v>8</v>
      </c>
      <c r="I251" s="46"/>
      <c r="J251" s="46"/>
      <c r="K251" s="46"/>
      <c r="L251" s="45" t="s">
        <v>8</v>
      </c>
      <c r="M251" s="45" t="s">
        <v>8</v>
      </c>
      <c r="N251" s="45" t="s">
        <v>583</v>
      </c>
      <c r="O251" s="41" t="s">
        <v>2613</v>
      </c>
      <c r="P251" s="41" t="s">
        <v>2614</v>
      </c>
      <c r="Q251" s="41" t="s">
        <v>2615</v>
      </c>
      <c r="R251" s="45" t="s">
        <v>583</v>
      </c>
      <c r="S251" s="41" t="s">
        <v>2616</v>
      </c>
      <c r="T251" s="41" t="s">
        <v>2617</v>
      </c>
      <c r="U251" s="71" t="s">
        <v>2618</v>
      </c>
      <c r="V251" s="70"/>
      <c r="W251" s="70"/>
    </row>
    <row r="252" spans="1:23" ht="13" x14ac:dyDescent="0.3">
      <c r="A252" s="39">
        <v>46081.037118055552</v>
      </c>
      <c r="B252" s="40" t="s">
        <v>2619</v>
      </c>
      <c r="C252" s="40" t="s">
        <v>430</v>
      </c>
      <c r="D252" s="40" t="s">
        <v>429</v>
      </c>
      <c r="E252" s="40" t="s">
        <v>29</v>
      </c>
      <c r="F252" s="72" t="s">
        <v>1570</v>
      </c>
      <c r="G252" s="70"/>
      <c r="H252" s="40" t="s">
        <v>8</v>
      </c>
      <c r="I252" s="42"/>
      <c r="J252" s="42"/>
      <c r="K252" s="42"/>
      <c r="L252" s="40" t="s">
        <v>8</v>
      </c>
      <c r="M252" s="40" t="s">
        <v>15</v>
      </c>
      <c r="N252" s="40" t="s">
        <v>2620</v>
      </c>
      <c r="O252" s="41" t="s">
        <v>2621</v>
      </c>
      <c r="P252" s="41" t="s">
        <v>2622</v>
      </c>
      <c r="Q252" s="41" t="s">
        <v>2623</v>
      </c>
      <c r="R252" s="40" t="s">
        <v>431</v>
      </c>
      <c r="S252" s="41" t="s">
        <v>2624</v>
      </c>
      <c r="T252" s="41" t="s">
        <v>2625</v>
      </c>
      <c r="U252" s="41" t="s">
        <v>2626</v>
      </c>
      <c r="V252" s="71" t="s">
        <v>2627</v>
      </c>
      <c r="W252" s="70"/>
    </row>
    <row r="253" spans="1:23" ht="13" x14ac:dyDescent="0.3">
      <c r="A253" s="52">
        <v>46081.05636574074</v>
      </c>
      <c r="B253" s="53" t="s">
        <v>1047</v>
      </c>
      <c r="C253" s="53" t="s">
        <v>396</v>
      </c>
      <c r="D253" s="53" t="s">
        <v>395</v>
      </c>
      <c r="E253" s="53" t="s">
        <v>7</v>
      </c>
      <c r="F253" s="73" t="s">
        <v>1570</v>
      </c>
      <c r="G253" s="74"/>
      <c r="H253" s="53" t="s">
        <v>15</v>
      </c>
      <c r="I253" s="54"/>
      <c r="J253" s="54"/>
      <c r="K253" s="54"/>
      <c r="L253" s="53" t="s">
        <v>15</v>
      </c>
      <c r="M253" s="53" t="s">
        <v>15</v>
      </c>
      <c r="N253" s="73" t="s">
        <v>2628</v>
      </c>
      <c r="O253" s="74"/>
      <c r="P253" s="74"/>
      <c r="Q253" s="55" t="s">
        <v>2629</v>
      </c>
      <c r="R253" s="53" t="s">
        <v>2628</v>
      </c>
      <c r="S253" s="55" t="s">
        <v>2630</v>
      </c>
      <c r="T253" s="55" t="s">
        <v>2631</v>
      </c>
      <c r="U253" s="55" t="s">
        <v>2632</v>
      </c>
      <c r="V253" s="75" t="s">
        <v>2633</v>
      </c>
      <c r="W253" s="74"/>
    </row>
  </sheetData>
  <mergeCells count="391">
    <mergeCell ref="F153:G153"/>
    <mergeCell ref="V153:W153"/>
    <mergeCell ref="F154:G154"/>
    <mergeCell ref="V154:W154"/>
    <mergeCell ref="F131:G131"/>
    <mergeCell ref="F132:G132"/>
    <mergeCell ref="F133:G133"/>
    <mergeCell ref="F134:G134"/>
    <mergeCell ref="F135:G135"/>
    <mergeCell ref="F136:G136"/>
    <mergeCell ref="F137:G137"/>
    <mergeCell ref="F138:G138"/>
    <mergeCell ref="F139:G139"/>
    <mergeCell ref="V151:W151"/>
    <mergeCell ref="U152:W152"/>
    <mergeCell ref="F146:G146"/>
    <mergeCell ref="F147:G147"/>
    <mergeCell ref="F148:G148"/>
    <mergeCell ref="V148:W148"/>
    <mergeCell ref="F149:G149"/>
    <mergeCell ref="U149:W149"/>
    <mergeCell ref="U150:W150"/>
    <mergeCell ref="F150:G150"/>
    <mergeCell ref="F151:G151"/>
    <mergeCell ref="F122:G122"/>
    <mergeCell ref="F123:G123"/>
    <mergeCell ref="F124:G124"/>
    <mergeCell ref="F125:G125"/>
    <mergeCell ref="F126:G126"/>
    <mergeCell ref="F127:G127"/>
    <mergeCell ref="F128:G128"/>
    <mergeCell ref="F129:G129"/>
    <mergeCell ref="F130:G130"/>
    <mergeCell ref="K115:M115"/>
    <mergeCell ref="K116:M116"/>
    <mergeCell ref="K117:M117"/>
    <mergeCell ref="F118:G118"/>
    <mergeCell ref="U118:V118"/>
    <mergeCell ref="V119:W119"/>
    <mergeCell ref="F119:G119"/>
    <mergeCell ref="F120:G120"/>
    <mergeCell ref="F121:G121"/>
    <mergeCell ref="F152:G152"/>
    <mergeCell ref="U146:W146"/>
    <mergeCell ref="V147:W147"/>
    <mergeCell ref="F140:G140"/>
    <mergeCell ref="F141:G141"/>
    <mergeCell ref="F142:G142"/>
    <mergeCell ref="F143:G143"/>
    <mergeCell ref="F144:G144"/>
    <mergeCell ref="F145:G145"/>
    <mergeCell ref="V145:W145"/>
    <mergeCell ref="V132:W132"/>
    <mergeCell ref="V133:W133"/>
    <mergeCell ref="U134:W134"/>
    <mergeCell ref="U135:W135"/>
    <mergeCell ref="V143:W143"/>
    <mergeCell ref="V144:W144"/>
    <mergeCell ref="V136:W136"/>
    <mergeCell ref="V137:W137"/>
    <mergeCell ref="V138:W138"/>
    <mergeCell ref="V139:W139"/>
    <mergeCell ref="U140:W140"/>
    <mergeCell ref="V141:W141"/>
    <mergeCell ref="V142:W142"/>
    <mergeCell ref="V122:W122"/>
    <mergeCell ref="V123:W123"/>
    <mergeCell ref="V124:W124"/>
    <mergeCell ref="U126:W126"/>
    <mergeCell ref="V127:W127"/>
    <mergeCell ref="U128:W128"/>
    <mergeCell ref="V129:W129"/>
    <mergeCell ref="V130:W130"/>
    <mergeCell ref="V131:W131"/>
    <mergeCell ref="K92:M92"/>
    <mergeCell ref="K93:M93"/>
    <mergeCell ref="K94:M94"/>
    <mergeCell ref="K95:M95"/>
    <mergeCell ref="K96:M96"/>
    <mergeCell ref="K97:M97"/>
    <mergeCell ref="K98:M98"/>
    <mergeCell ref="K99:M99"/>
    <mergeCell ref="U120:W120"/>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83:M83"/>
    <mergeCell ref="K84:M84"/>
    <mergeCell ref="K85:M85"/>
    <mergeCell ref="K86:M86"/>
    <mergeCell ref="K87:M87"/>
    <mergeCell ref="K88:M88"/>
    <mergeCell ref="K89:M89"/>
    <mergeCell ref="K90:M90"/>
    <mergeCell ref="K91:M91"/>
    <mergeCell ref="K74:M74"/>
    <mergeCell ref="K75:M75"/>
    <mergeCell ref="K76:M76"/>
    <mergeCell ref="K77:M77"/>
    <mergeCell ref="K78:M78"/>
    <mergeCell ref="K79:M79"/>
    <mergeCell ref="K80:M80"/>
    <mergeCell ref="K81:M81"/>
    <mergeCell ref="K82:M82"/>
    <mergeCell ref="K65:M65"/>
    <mergeCell ref="K66:M66"/>
    <mergeCell ref="K67:M67"/>
    <mergeCell ref="K68:M68"/>
    <mergeCell ref="K69:M69"/>
    <mergeCell ref="K70:M70"/>
    <mergeCell ref="K71:M71"/>
    <mergeCell ref="K72:M72"/>
    <mergeCell ref="K73:M73"/>
    <mergeCell ref="K56:M56"/>
    <mergeCell ref="K57:M57"/>
    <mergeCell ref="K58:M58"/>
    <mergeCell ref="K59:M59"/>
    <mergeCell ref="K60:M60"/>
    <mergeCell ref="K61:M61"/>
    <mergeCell ref="K62:M62"/>
    <mergeCell ref="K63:M63"/>
    <mergeCell ref="K64:M64"/>
    <mergeCell ref="K47:M47"/>
    <mergeCell ref="K48:M48"/>
    <mergeCell ref="K49:M49"/>
    <mergeCell ref="K50:M50"/>
    <mergeCell ref="K51:M51"/>
    <mergeCell ref="K52:M52"/>
    <mergeCell ref="K53:M53"/>
    <mergeCell ref="K54:M54"/>
    <mergeCell ref="K55:M55"/>
    <mergeCell ref="K38:M38"/>
    <mergeCell ref="K39:M39"/>
    <mergeCell ref="K40:M40"/>
    <mergeCell ref="K41:M41"/>
    <mergeCell ref="K42:M42"/>
    <mergeCell ref="K43:M43"/>
    <mergeCell ref="K44:M44"/>
    <mergeCell ref="K45:M45"/>
    <mergeCell ref="K46:M46"/>
    <mergeCell ref="K29:M29"/>
    <mergeCell ref="K30:M30"/>
    <mergeCell ref="K31:M31"/>
    <mergeCell ref="K32:M32"/>
    <mergeCell ref="K33:M33"/>
    <mergeCell ref="K34:M34"/>
    <mergeCell ref="K35:M35"/>
    <mergeCell ref="K36:M36"/>
    <mergeCell ref="K37:M37"/>
    <mergeCell ref="K20:M20"/>
    <mergeCell ref="K21:M21"/>
    <mergeCell ref="K22:M22"/>
    <mergeCell ref="K23:M23"/>
    <mergeCell ref="K24:M24"/>
    <mergeCell ref="K25:M25"/>
    <mergeCell ref="K26:M26"/>
    <mergeCell ref="K27:M27"/>
    <mergeCell ref="K28:M28"/>
    <mergeCell ref="K11:M11"/>
    <mergeCell ref="K12:M12"/>
    <mergeCell ref="K13:M13"/>
    <mergeCell ref="K14:M14"/>
    <mergeCell ref="K15:M15"/>
    <mergeCell ref="K16:M16"/>
    <mergeCell ref="K17:M17"/>
    <mergeCell ref="K18:M18"/>
    <mergeCell ref="K19:M19"/>
    <mergeCell ref="K2:M2"/>
    <mergeCell ref="K3:M3"/>
    <mergeCell ref="K4:M4"/>
    <mergeCell ref="K5:M5"/>
    <mergeCell ref="K6:M6"/>
    <mergeCell ref="K7:M7"/>
    <mergeCell ref="K8:M8"/>
    <mergeCell ref="K9:M9"/>
    <mergeCell ref="K10:M10"/>
    <mergeCell ref="V215:W215"/>
    <mergeCell ref="V216:W216"/>
    <mergeCell ref="V217:W217"/>
    <mergeCell ref="U218:W218"/>
    <mergeCell ref="U219:W219"/>
    <mergeCell ref="U220:W220"/>
    <mergeCell ref="U221:W221"/>
    <mergeCell ref="V222:W222"/>
    <mergeCell ref="U223:W223"/>
    <mergeCell ref="V206:W206"/>
    <mergeCell ref="U207:W207"/>
    <mergeCell ref="V208:W208"/>
    <mergeCell ref="V209:W209"/>
    <mergeCell ref="V210:W210"/>
    <mergeCell ref="V211:W211"/>
    <mergeCell ref="V212:W212"/>
    <mergeCell ref="V213:W213"/>
    <mergeCell ref="V214:W214"/>
    <mergeCell ref="V191:W191"/>
    <mergeCell ref="V192:W192"/>
    <mergeCell ref="U193:W193"/>
    <mergeCell ref="V194:W194"/>
    <mergeCell ref="V195:W195"/>
    <mergeCell ref="N205:P205"/>
    <mergeCell ref="V205:W205"/>
    <mergeCell ref="V196:W196"/>
    <mergeCell ref="V197:W197"/>
    <mergeCell ref="V198:W198"/>
    <mergeCell ref="V199:W199"/>
    <mergeCell ref="V200:W200"/>
    <mergeCell ref="U201:W201"/>
    <mergeCell ref="N203:P203"/>
    <mergeCell ref="V202:W202"/>
    <mergeCell ref="V203:W203"/>
    <mergeCell ref="V204:W204"/>
    <mergeCell ref="V182:W182"/>
    <mergeCell ref="V183:W183"/>
    <mergeCell ref="V184:W184"/>
    <mergeCell ref="U185:W185"/>
    <mergeCell ref="V186:W186"/>
    <mergeCell ref="U187:W187"/>
    <mergeCell ref="V188:W188"/>
    <mergeCell ref="V189:W189"/>
    <mergeCell ref="V190:W190"/>
    <mergeCell ref="V242:W242"/>
    <mergeCell ref="V243:W243"/>
    <mergeCell ref="V244:W244"/>
    <mergeCell ref="V252:W252"/>
    <mergeCell ref="N253:P253"/>
    <mergeCell ref="V253:W253"/>
    <mergeCell ref="V245:W245"/>
    <mergeCell ref="V246:W246"/>
    <mergeCell ref="U247:W247"/>
    <mergeCell ref="V248:W248"/>
    <mergeCell ref="V249:W249"/>
    <mergeCell ref="V250:W250"/>
    <mergeCell ref="U251:W251"/>
    <mergeCell ref="U233:W233"/>
    <mergeCell ref="V234:W234"/>
    <mergeCell ref="V235:W235"/>
    <mergeCell ref="V236:W236"/>
    <mergeCell ref="V237:W237"/>
    <mergeCell ref="V238:W238"/>
    <mergeCell ref="U239:W239"/>
    <mergeCell ref="U240:W240"/>
    <mergeCell ref="V241:W241"/>
    <mergeCell ref="V224:W224"/>
    <mergeCell ref="U225:W225"/>
    <mergeCell ref="V226:W226"/>
    <mergeCell ref="V227:W227"/>
    <mergeCell ref="V228:W228"/>
    <mergeCell ref="V229:W229"/>
    <mergeCell ref="V230:W230"/>
    <mergeCell ref="U231:W231"/>
    <mergeCell ref="V232:W232"/>
    <mergeCell ref="F210:G210"/>
    <mergeCell ref="F211:G211"/>
    <mergeCell ref="F212:G212"/>
    <mergeCell ref="F213:G213"/>
    <mergeCell ref="F214:G214"/>
    <mergeCell ref="F215:G215"/>
    <mergeCell ref="F216:G216"/>
    <mergeCell ref="F217:G217"/>
    <mergeCell ref="F218:G218"/>
    <mergeCell ref="F201:G201"/>
    <mergeCell ref="F202:G202"/>
    <mergeCell ref="F203:G203"/>
    <mergeCell ref="F204:G204"/>
    <mergeCell ref="F205:G205"/>
    <mergeCell ref="F206:G206"/>
    <mergeCell ref="F207:G207"/>
    <mergeCell ref="F208:G208"/>
    <mergeCell ref="F209:G209"/>
    <mergeCell ref="F192:G192"/>
    <mergeCell ref="F193:G193"/>
    <mergeCell ref="F194:G194"/>
    <mergeCell ref="F195:G195"/>
    <mergeCell ref="F196:G196"/>
    <mergeCell ref="F197:G197"/>
    <mergeCell ref="F198:G198"/>
    <mergeCell ref="F199:G199"/>
    <mergeCell ref="F200:G200"/>
    <mergeCell ref="F247:G247"/>
    <mergeCell ref="F248:G248"/>
    <mergeCell ref="F249:G249"/>
    <mergeCell ref="F250:G250"/>
    <mergeCell ref="F251:G251"/>
    <mergeCell ref="F252:G252"/>
    <mergeCell ref="F253:G253"/>
    <mergeCell ref="F240:G240"/>
    <mergeCell ref="F241:G241"/>
    <mergeCell ref="F242:G242"/>
    <mergeCell ref="F243:G243"/>
    <mergeCell ref="F244:G244"/>
    <mergeCell ref="F245:G245"/>
    <mergeCell ref="F246:G246"/>
    <mergeCell ref="F231:G231"/>
    <mergeCell ref="F232:G232"/>
    <mergeCell ref="F233:G233"/>
    <mergeCell ref="F234:G234"/>
    <mergeCell ref="F235:G235"/>
    <mergeCell ref="F236:G236"/>
    <mergeCell ref="F237:G237"/>
    <mergeCell ref="F238:G238"/>
    <mergeCell ref="F239:G239"/>
    <mergeCell ref="F222:G222"/>
    <mergeCell ref="F223:G223"/>
    <mergeCell ref="F224:G224"/>
    <mergeCell ref="F225:G225"/>
    <mergeCell ref="F226:G226"/>
    <mergeCell ref="F227:G227"/>
    <mergeCell ref="F228:G228"/>
    <mergeCell ref="F229:G229"/>
    <mergeCell ref="F230:G230"/>
    <mergeCell ref="V177:W177"/>
    <mergeCell ref="V178:W178"/>
    <mergeCell ref="V179:W179"/>
    <mergeCell ref="V180:W180"/>
    <mergeCell ref="V181:W181"/>
    <mergeCell ref="N182:Q182"/>
    <mergeCell ref="F219:G219"/>
    <mergeCell ref="F220:G220"/>
    <mergeCell ref="F221:G221"/>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169:G169"/>
    <mergeCell ref="V169:W169"/>
    <mergeCell ref="V170:W170"/>
    <mergeCell ref="V171:W171"/>
    <mergeCell ref="V172:W172"/>
    <mergeCell ref="V173:W173"/>
    <mergeCell ref="V174:W174"/>
    <mergeCell ref="U175:W175"/>
    <mergeCell ref="V176:W176"/>
    <mergeCell ref="F170:G170"/>
    <mergeCell ref="F171:G171"/>
    <mergeCell ref="F172:G172"/>
    <mergeCell ref="F173:G173"/>
    <mergeCell ref="F174:G174"/>
    <mergeCell ref="F175:G175"/>
    <mergeCell ref="F176:G176"/>
    <mergeCell ref="V164:W164"/>
    <mergeCell ref="V165:W165"/>
    <mergeCell ref="V166:W166"/>
    <mergeCell ref="V167:W167"/>
    <mergeCell ref="V168:W168"/>
    <mergeCell ref="F163:G163"/>
    <mergeCell ref="F164:G164"/>
    <mergeCell ref="F165:G165"/>
    <mergeCell ref="F166:G166"/>
    <mergeCell ref="F167:G167"/>
    <mergeCell ref="F168:G168"/>
    <mergeCell ref="F161:G161"/>
    <mergeCell ref="U161:W161"/>
    <mergeCell ref="F162:G162"/>
    <mergeCell ref="U162:W162"/>
    <mergeCell ref="U163:W163"/>
    <mergeCell ref="V156:W156"/>
    <mergeCell ref="V159:W159"/>
    <mergeCell ref="V157:W157"/>
    <mergeCell ref="V158:W158"/>
    <mergeCell ref="F155:G155"/>
    <mergeCell ref="N155:Q155"/>
    <mergeCell ref="V155:W155"/>
    <mergeCell ref="F156:G156"/>
    <mergeCell ref="F157:G157"/>
    <mergeCell ref="F158:G158"/>
    <mergeCell ref="F159:G159"/>
    <mergeCell ref="F160:G160"/>
    <mergeCell ref="U160:W160"/>
  </mergeCells>
  <hyperlinks>
    <hyperlink ref="I2" r:id="rId1" xr:uid="{00000000-0004-0000-0400-000000000000}"/>
    <hyperlink ref="J2" r:id="rId2" xr:uid="{00000000-0004-0000-0400-000001000000}"/>
    <hyperlink ref="K2" r:id="rId3" xr:uid="{00000000-0004-0000-0400-000002000000}"/>
    <hyperlink ref="I3" r:id="rId4" xr:uid="{00000000-0004-0000-0400-000003000000}"/>
    <hyperlink ref="J3" r:id="rId5" xr:uid="{00000000-0004-0000-0400-000004000000}"/>
    <hyperlink ref="K3" r:id="rId6" xr:uid="{00000000-0004-0000-0400-000005000000}"/>
    <hyperlink ref="I4" r:id="rId7" xr:uid="{00000000-0004-0000-0400-000006000000}"/>
    <hyperlink ref="J4" r:id="rId8" xr:uid="{00000000-0004-0000-0400-000007000000}"/>
    <hyperlink ref="K4" r:id="rId9" xr:uid="{00000000-0004-0000-0400-000008000000}"/>
    <hyperlink ref="I5" r:id="rId10" xr:uid="{00000000-0004-0000-0400-000009000000}"/>
    <hyperlink ref="J5" r:id="rId11" xr:uid="{00000000-0004-0000-0400-00000A000000}"/>
    <hyperlink ref="K5" r:id="rId12" xr:uid="{00000000-0004-0000-0400-00000B000000}"/>
    <hyperlink ref="I6" r:id="rId13" xr:uid="{00000000-0004-0000-0400-00000C000000}"/>
    <hyperlink ref="J6" r:id="rId14" xr:uid="{00000000-0004-0000-0400-00000D000000}"/>
    <hyperlink ref="K6" r:id="rId15" xr:uid="{00000000-0004-0000-0400-00000E000000}"/>
    <hyperlink ref="I7" r:id="rId16" xr:uid="{00000000-0004-0000-0400-00000F000000}"/>
    <hyperlink ref="J7" r:id="rId17" xr:uid="{00000000-0004-0000-0400-000010000000}"/>
    <hyperlink ref="K7" r:id="rId18" xr:uid="{00000000-0004-0000-0400-000011000000}"/>
    <hyperlink ref="I8" r:id="rId19" xr:uid="{00000000-0004-0000-0400-000012000000}"/>
    <hyperlink ref="J8" r:id="rId20" xr:uid="{00000000-0004-0000-0400-000013000000}"/>
    <hyperlink ref="K8" r:id="rId21" xr:uid="{00000000-0004-0000-0400-000014000000}"/>
    <hyperlink ref="I9" r:id="rId22" xr:uid="{00000000-0004-0000-0400-000015000000}"/>
    <hyperlink ref="J9" r:id="rId23" xr:uid="{00000000-0004-0000-0400-000016000000}"/>
    <hyperlink ref="K9" r:id="rId24" xr:uid="{00000000-0004-0000-0400-000017000000}"/>
    <hyperlink ref="I10" r:id="rId25" xr:uid="{00000000-0004-0000-0400-000018000000}"/>
    <hyperlink ref="J10" r:id="rId26" xr:uid="{00000000-0004-0000-0400-000019000000}"/>
    <hyperlink ref="K10" r:id="rId27" xr:uid="{00000000-0004-0000-0400-00001A000000}"/>
    <hyperlink ref="I11" r:id="rId28" xr:uid="{00000000-0004-0000-0400-00001B000000}"/>
    <hyperlink ref="J11" r:id="rId29" xr:uid="{00000000-0004-0000-0400-00001C000000}"/>
    <hyperlink ref="K11" r:id="rId30" xr:uid="{00000000-0004-0000-0400-00001D000000}"/>
    <hyperlink ref="I12" r:id="rId31" xr:uid="{00000000-0004-0000-0400-00001E000000}"/>
    <hyperlink ref="J12" r:id="rId32" xr:uid="{00000000-0004-0000-0400-00001F000000}"/>
    <hyperlink ref="K12" r:id="rId33" xr:uid="{00000000-0004-0000-0400-000020000000}"/>
    <hyperlink ref="I13" r:id="rId34" xr:uid="{00000000-0004-0000-0400-000021000000}"/>
    <hyperlink ref="J13" r:id="rId35" xr:uid="{00000000-0004-0000-0400-000022000000}"/>
    <hyperlink ref="K13" r:id="rId36" xr:uid="{00000000-0004-0000-0400-000023000000}"/>
    <hyperlink ref="I14" r:id="rId37" xr:uid="{00000000-0004-0000-0400-000024000000}"/>
    <hyperlink ref="J14" r:id="rId38" xr:uid="{00000000-0004-0000-0400-000025000000}"/>
    <hyperlink ref="K14" r:id="rId39" xr:uid="{00000000-0004-0000-0400-000026000000}"/>
    <hyperlink ref="I15" r:id="rId40" xr:uid="{00000000-0004-0000-0400-000027000000}"/>
    <hyperlink ref="J15" r:id="rId41" xr:uid="{00000000-0004-0000-0400-000028000000}"/>
    <hyperlink ref="K15" r:id="rId42" xr:uid="{00000000-0004-0000-0400-000029000000}"/>
    <hyperlink ref="I16" r:id="rId43" xr:uid="{00000000-0004-0000-0400-00002A000000}"/>
    <hyperlink ref="J16" r:id="rId44" xr:uid="{00000000-0004-0000-0400-00002B000000}"/>
    <hyperlink ref="K16" r:id="rId45" xr:uid="{00000000-0004-0000-0400-00002C000000}"/>
    <hyperlink ref="I17" r:id="rId46" xr:uid="{00000000-0004-0000-0400-00002D000000}"/>
    <hyperlink ref="J17" r:id="rId47" xr:uid="{00000000-0004-0000-0400-00002E000000}"/>
    <hyperlink ref="K17" r:id="rId48" xr:uid="{00000000-0004-0000-0400-00002F000000}"/>
    <hyperlink ref="I18" r:id="rId49" xr:uid="{00000000-0004-0000-0400-000030000000}"/>
    <hyperlink ref="J18" r:id="rId50" xr:uid="{00000000-0004-0000-0400-000031000000}"/>
    <hyperlink ref="K18" r:id="rId51" xr:uid="{00000000-0004-0000-0400-000032000000}"/>
    <hyperlink ref="I19" r:id="rId52" xr:uid="{00000000-0004-0000-0400-000033000000}"/>
    <hyperlink ref="J19" r:id="rId53" xr:uid="{00000000-0004-0000-0400-000034000000}"/>
    <hyperlink ref="K19" r:id="rId54" xr:uid="{00000000-0004-0000-0400-000035000000}"/>
    <hyperlink ref="I20" r:id="rId55" xr:uid="{00000000-0004-0000-0400-000036000000}"/>
    <hyperlink ref="J20" r:id="rId56" xr:uid="{00000000-0004-0000-0400-000037000000}"/>
    <hyperlink ref="K20" r:id="rId57" xr:uid="{00000000-0004-0000-0400-000038000000}"/>
    <hyperlink ref="I21" r:id="rId58" xr:uid="{00000000-0004-0000-0400-000039000000}"/>
    <hyperlink ref="J21" r:id="rId59" xr:uid="{00000000-0004-0000-0400-00003A000000}"/>
    <hyperlink ref="K21" r:id="rId60" xr:uid="{00000000-0004-0000-0400-00003B000000}"/>
    <hyperlink ref="I22" r:id="rId61" xr:uid="{00000000-0004-0000-0400-00003C000000}"/>
    <hyperlink ref="J22" r:id="rId62" xr:uid="{00000000-0004-0000-0400-00003D000000}"/>
    <hyperlink ref="K22" r:id="rId63" xr:uid="{00000000-0004-0000-0400-00003E000000}"/>
    <hyperlink ref="I23" r:id="rId64" xr:uid="{00000000-0004-0000-0400-00003F000000}"/>
    <hyperlink ref="J23" r:id="rId65" xr:uid="{00000000-0004-0000-0400-000040000000}"/>
    <hyperlink ref="K23" r:id="rId66" xr:uid="{00000000-0004-0000-0400-000041000000}"/>
    <hyperlink ref="I24" r:id="rId67" xr:uid="{00000000-0004-0000-0400-000042000000}"/>
    <hyperlink ref="J24" r:id="rId68" xr:uid="{00000000-0004-0000-0400-000043000000}"/>
    <hyperlink ref="K24" r:id="rId69" xr:uid="{00000000-0004-0000-0400-000044000000}"/>
    <hyperlink ref="I25" r:id="rId70" xr:uid="{00000000-0004-0000-0400-000045000000}"/>
    <hyperlink ref="J25" r:id="rId71" xr:uid="{00000000-0004-0000-0400-000046000000}"/>
    <hyperlink ref="K25" r:id="rId72" xr:uid="{00000000-0004-0000-0400-000047000000}"/>
    <hyperlink ref="I26" r:id="rId73" xr:uid="{00000000-0004-0000-0400-000048000000}"/>
    <hyperlink ref="J26" r:id="rId74" xr:uid="{00000000-0004-0000-0400-000049000000}"/>
    <hyperlink ref="K26" r:id="rId75" xr:uid="{00000000-0004-0000-0400-00004A000000}"/>
    <hyperlink ref="I27" r:id="rId76" xr:uid="{00000000-0004-0000-0400-00004B000000}"/>
    <hyperlink ref="J27" r:id="rId77" xr:uid="{00000000-0004-0000-0400-00004C000000}"/>
    <hyperlink ref="K27" r:id="rId78" xr:uid="{00000000-0004-0000-0400-00004D000000}"/>
    <hyperlink ref="I28" r:id="rId79" xr:uid="{00000000-0004-0000-0400-00004E000000}"/>
    <hyperlink ref="J28" r:id="rId80" xr:uid="{00000000-0004-0000-0400-00004F000000}"/>
    <hyperlink ref="K28" r:id="rId81" xr:uid="{00000000-0004-0000-0400-000050000000}"/>
    <hyperlink ref="I29" r:id="rId82" xr:uid="{00000000-0004-0000-0400-000051000000}"/>
    <hyperlink ref="J29" r:id="rId83" xr:uid="{00000000-0004-0000-0400-000052000000}"/>
    <hyperlink ref="K29" r:id="rId84" xr:uid="{00000000-0004-0000-0400-000053000000}"/>
    <hyperlink ref="I30" r:id="rId85" xr:uid="{00000000-0004-0000-0400-000054000000}"/>
    <hyperlink ref="J30" r:id="rId86" xr:uid="{00000000-0004-0000-0400-000055000000}"/>
    <hyperlink ref="K30" r:id="rId87" xr:uid="{00000000-0004-0000-0400-000056000000}"/>
    <hyperlink ref="I31" r:id="rId88" xr:uid="{00000000-0004-0000-0400-000057000000}"/>
    <hyperlink ref="J31" r:id="rId89" xr:uid="{00000000-0004-0000-0400-000058000000}"/>
    <hyperlink ref="K31" r:id="rId90" xr:uid="{00000000-0004-0000-0400-000059000000}"/>
    <hyperlink ref="I32" r:id="rId91" xr:uid="{00000000-0004-0000-0400-00005A000000}"/>
    <hyperlink ref="J32" r:id="rId92" xr:uid="{00000000-0004-0000-0400-00005B000000}"/>
    <hyperlink ref="K32" r:id="rId93" xr:uid="{00000000-0004-0000-0400-00005C000000}"/>
    <hyperlink ref="I33" r:id="rId94" xr:uid="{00000000-0004-0000-0400-00005D000000}"/>
    <hyperlink ref="J33" r:id="rId95" xr:uid="{00000000-0004-0000-0400-00005E000000}"/>
    <hyperlink ref="K33" r:id="rId96" xr:uid="{00000000-0004-0000-0400-00005F000000}"/>
    <hyperlink ref="I34" r:id="rId97" xr:uid="{00000000-0004-0000-0400-000060000000}"/>
    <hyperlink ref="J34" r:id="rId98" xr:uid="{00000000-0004-0000-0400-000061000000}"/>
    <hyperlink ref="K34" r:id="rId99" xr:uid="{00000000-0004-0000-0400-000062000000}"/>
    <hyperlink ref="I35" r:id="rId100" xr:uid="{00000000-0004-0000-0400-000063000000}"/>
    <hyperlink ref="J35" r:id="rId101" xr:uid="{00000000-0004-0000-0400-000064000000}"/>
    <hyperlink ref="K35" r:id="rId102" xr:uid="{00000000-0004-0000-0400-000065000000}"/>
    <hyperlink ref="I36" r:id="rId103" xr:uid="{00000000-0004-0000-0400-000066000000}"/>
    <hyperlink ref="J36" r:id="rId104" xr:uid="{00000000-0004-0000-0400-000067000000}"/>
    <hyperlink ref="K36" r:id="rId105" xr:uid="{00000000-0004-0000-0400-000068000000}"/>
    <hyperlink ref="I37" r:id="rId106" xr:uid="{00000000-0004-0000-0400-000069000000}"/>
    <hyperlink ref="J37" r:id="rId107" xr:uid="{00000000-0004-0000-0400-00006A000000}"/>
    <hyperlink ref="K37" r:id="rId108" xr:uid="{00000000-0004-0000-0400-00006B000000}"/>
    <hyperlink ref="I38" r:id="rId109" xr:uid="{00000000-0004-0000-0400-00006C000000}"/>
    <hyperlink ref="J38" r:id="rId110" xr:uid="{00000000-0004-0000-0400-00006D000000}"/>
    <hyperlink ref="K38" r:id="rId111" xr:uid="{00000000-0004-0000-0400-00006E000000}"/>
    <hyperlink ref="I39" r:id="rId112" xr:uid="{00000000-0004-0000-0400-00006F000000}"/>
    <hyperlink ref="J39" r:id="rId113" xr:uid="{00000000-0004-0000-0400-000070000000}"/>
    <hyperlink ref="K39" r:id="rId114" xr:uid="{00000000-0004-0000-0400-000071000000}"/>
    <hyperlink ref="I40" r:id="rId115" xr:uid="{00000000-0004-0000-0400-000072000000}"/>
    <hyperlink ref="J40" r:id="rId116" xr:uid="{00000000-0004-0000-0400-000073000000}"/>
    <hyperlink ref="K40" r:id="rId117" xr:uid="{00000000-0004-0000-0400-000074000000}"/>
    <hyperlink ref="I41" r:id="rId118" xr:uid="{00000000-0004-0000-0400-000075000000}"/>
    <hyperlink ref="J41" r:id="rId119" xr:uid="{00000000-0004-0000-0400-000076000000}"/>
    <hyperlink ref="K41" r:id="rId120" xr:uid="{00000000-0004-0000-0400-000077000000}"/>
    <hyperlink ref="I42" r:id="rId121" xr:uid="{00000000-0004-0000-0400-000078000000}"/>
    <hyperlink ref="J42" r:id="rId122" xr:uid="{00000000-0004-0000-0400-000079000000}"/>
    <hyperlink ref="K42" r:id="rId123" xr:uid="{00000000-0004-0000-0400-00007A000000}"/>
    <hyperlink ref="I43" r:id="rId124" xr:uid="{00000000-0004-0000-0400-00007B000000}"/>
    <hyperlink ref="J43" r:id="rId125" xr:uid="{00000000-0004-0000-0400-00007C000000}"/>
    <hyperlink ref="K43" r:id="rId126" xr:uid="{00000000-0004-0000-0400-00007D000000}"/>
    <hyperlink ref="I44" r:id="rId127" xr:uid="{00000000-0004-0000-0400-00007E000000}"/>
    <hyperlink ref="J44" r:id="rId128" xr:uid="{00000000-0004-0000-0400-00007F000000}"/>
    <hyperlink ref="K44" r:id="rId129" xr:uid="{00000000-0004-0000-0400-000080000000}"/>
    <hyperlink ref="I45" r:id="rId130" xr:uid="{00000000-0004-0000-0400-000081000000}"/>
    <hyperlink ref="J45" r:id="rId131" xr:uid="{00000000-0004-0000-0400-000082000000}"/>
    <hyperlink ref="K45" r:id="rId132" xr:uid="{00000000-0004-0000-0400-000083000000}"/>
    <hyperlink ref="I46" r:id="rId133" xr:uid="{00000000-0004-0000-0400-000084000000}"/>
    <hyperlink ref="J46" r:id="rId134" xr:uid="{00000000-0004-0000-0400-000085000000}"/>
    <hyperlink ref="K46" r:id="rId135" xr:uid="{00000000-0004-0000-0400-000086000000}"/>
    <hyperlink ref="I47" r:id="rId136" xr:uid="{00000000-0004-0000-0400-000087000000}"/>
    <hyperlink ref="J47" r:id="rId137" xr:uid="{00000000-0004-0000-0400-000088000000}"/>
    <hyperlink ref="K47" r:id="rId138" xr:uid="{00000000-0004-0000-0400-000089000000}"/>
    <hyperlink ref="I48" r:id="rId139" xr:uid="{00000000-0004-0000-0400-00008A000000}"/>
    <hyperlink ref="J48" r:id="rId140" xr:uid="{00000000-0004-0000-0400-00008B000000}"/>
    <hyperlink ref="K48" r:id="rId141" xr:uid="{00000000-0004-0000-0400-00008C000000}"/>
    <hyperlink ref="I49" r:id="rId142" xr:uid="{00000000-0004-0000-0400-00008D000000}"/>
    <hyperlink ref="J49" r:id="rId143" xr:uid="{00000000-0004-0000-0400-00008E000000}"/>
    <hyperlink ref="K49" r:id="rId144" xr:uid="{00000000-0004-0000-0400-00008F000000}"/>
    <hyperlink ref="I50" r:id="rId145" xr:uid="{00000000-0004-0000-0400-000090000000}"/>
    <hyperlink ref="J50" r:id="rId146" xr:uid="{00000000-0004-0000-0400-000091000000}"/>
    <hyperlink ref="K50" r:id="rId147" xr:uid="{00000000-0004-0000-0400-000092000000}"/>
    <hyperlink ref="I51" r:id="rId148" xr:uid="{00000000-0004-0000-0400-000093000000}"/>
    <hyperlink ref="J51" r:id="rId149" xr:uid="{00000000-0004-0000-0400-000094000000}"/>
    <hyperlink ref="K51" r:id="rId150" xr:uid="{00000000-0004-0000-0400-000095000000}"/>
    <hyperlink ref="I52" r:id="rId151" xr:uid="{00000000-0004-0000-0400-000096000000}"/>
    <hyperlink ref="J52" r:id="rId152" xr:uid="{00000000-0004-0000-0400-000097000000}"/>
    <hyperlink ref="K52" r:id="rId153" xr:uid="{00000000-0004-0000-0400-000098000000}"/>
    <hyperlink ref="I53" r:id="rId154" xr:uid="{00000000-0004-0000-0400-000099000000}"/>
    <hyperlink ref="J53" r:id="rId155" xr:uid="{00000000-0004-0000-0400-00009A000000}"/>
    <hyperlink ref="K53" r:id="rId156" xr:uid="{00000000-0004-0000-0400-00009B000000}"/>
    <hyperlink ref="I54" r:id="rId157" xr:uid="{00000000-0004-0000-0400-00009C000000}"/>
    <hyperlink ref="J54" r:id="rId158" xr:uid="{00000000-0004-0000-0400-00009D000000}"/>
    <hyperlink ref="K54" r:id="rId159" xr:uid="{00000000-0004-0000-0400-00009E000000}"/>
    <hyperlink ref="I55" r:id="rId160" xr:uid="{00000000-0004-0000-0400-00009F000000}"/>
    <hyperlink ref="J55" r:id="rId161" xr:uid="{00000000-0004-0000-0400-0000A0000000}"/>
    <hyperlink ref="K55" r:id="rId162" xr:uid="{00000000-0004-0000-0400-0000A1000000}"/>
    <hyperlink ref="I56" r:id="rId163" xr:uid="{00000000-0004-0000-0400-0000A2000000}"/>
    <hyperlink ref="J56" r:id="rId164" xr:uid="{00000000-0004-0000-0400-0000A3000000}"/>
    <hyperlink ref="K56" r:id="rId165" xr:uid="{00000000-0004-0000-0400-0000A4000000}"/>
    <hyperlink ref="I57" r:id="rId166" xr:uid="{00000000-0004-0000-0400-0000A5000000}"/>
    <hyperlink ref="J57" r:id="rId167" xr:uid="{00000000-0004-0000-0400-0000A6000000}"/>
    <hyperlink ref="K57" r:id="rId168" xr:uid="{00000000-0004-0000-0400-0000A7000000}"/>
    <hyperlink ref="I58" r:id="rId169" xr:uid="{00000000-0004-0000-0400-0000A8000000}"/>
    <hyperlink ref="J58" r:id="rId170" xr:uid="{00000000-0004-0000-0400-0000A9000000}"/>
    <hyperlink ref="K58" r:id="rId171" xr:uid="{00000000-0004-0000-0400-0000AA000000}"/>
    <hyperlink ref="I59" r:id="rId172" xr:uid="{00000000-0004-0000-0400-0000AB000000}"/>
    <hyperlink ref="J59" r:id="rId173" xr:uid="{00000000-0004-0000-0400-0000AC000000}"/>
    <hyperlink ref="K59" r:id="rId174" xr:uid="{00000000-0004-0000-0400-0000AD000000}"/>
    <hyperlink ref="I60" r:id="rId175" xr:uid="{00000000-0004-0000-0400-0000AE000000}"/>
    <hyperlink ref="J60" r:id="rId176" xr:uid="{00000000-0004-0000-0400-0000AF000000}"/>
    <hyperlink ref="K60" r:id="rId177" xr:uid="{00000000-0004-0000-0400-0000B0000000}"/>
    <hyperlink ref="I61" r:id="rId178" xr:uid="{00000000-0004-0000-0400-0000B1000000}"/>
    <hyperlink ref="J61" r:id="rId179" xr:uid="{00000000-0004-0000-0400-0000B2000000}"/>
    <hyperlink ref="K61" r:id="rId180" xr:uid="{00000000-0004-0000-0400-0000B3000000}"/>
    <hyperlink ref="I62" r:id="rId181" xr:uid="{00000000-0004-0000-0400-0000B4000000}"/>
    <hyperlink ref="J62" r:id="rId182" xr:uid="{00000000-0004-0000-0400-0000B5000000}"/>
    <hyperlink ref="K62" r:id="rId183" xr:uid="{00000000-0004-0000-0400-0000B6000000}"/>
    <hyperlink ref="I63" r:id="rId184" xr:uid="{00000000-0004-0000-0400-0000B7000000}"/>
    <hyperlink ref="J63" r:id="rId185" xr:uid="{00000000-0004-0000-0400-0000B8000000}"/>
    <hyperlink ref="K63" r:id="rId186" xr:uid="{00000000-0004-0000-0400-0000B9000000}"/>
    <hyperlink ref="I64" r:id="rId187" xr:uid="{00000000-0004-0000-0400-0000BA000000}"/>
    <hyperlink ref="J64" r:id="rId188" xr:uid="{00000000-0004-0000-0400-0000BB000000}"/>
    <hyperlink ref="K64" r:id="rId189" xr:uid="{00000000-0004-0000-0400-0000BC000000}"/>
    <hyperlink ref="I65" r:id="rId190" xr:uid="{00000000-0004-0000-0400-0000BD000000}"/>
    <hyperlink ref="J65" r:id="rId191" xr:uid="{00000000-0004-0000-0400-0000BE000000}"/>
    <hyperlink ref="K65" r:id="rId192" xr:uid="{00000000-0004-0000-0400-0000BF000000}"/>
    <hyperlink ref="I66" r:id="rId193" xr:uid="{00000000-0004-0000-0400-0000C0000000}"/>
    <hyperlink ref="J66" r:id="rId194" xr:uid="{00000000-0004-0000-0400-0000C1000000}"/>
    <hyperlink ref="K66" r:id="rId195" xr:uid="{00000000-0004-0000-0400-0000C2000000}"/>
    <hyperlink ref="I67" r:id="rId196" xr:uid="{00000000-0004-0000-0400-0000C3000000}"/>
    <hyperlink ref="J67" r:id="rId197" xr:uid="{00000000-0004-0000-0400-0000C4000000}"/>
    <hyperlink ref="K67" r:id="rId198" xr:uid="{00000000-0004-0000-0400-0000C5000000}"/>
    <hyperlink ref="I68" r:id="rId199" xr:uid="{00000000-0004-0000-0400-0000C6000000}"/>
    <hyperlink ref="J68" r:id="rId200" xr:uid="{00000000-0004-0000-0400-0000C7000000}"/>
    <hyperlink ref="K68" r:id="rId201" xr:uid="{00000000-0004-0000-0400-0000C8000000}"/>
    <hyperlink ref="I69" r:id="rId202" xr:uid="{00000000-0004-0000-0400-0000C9000000}"/>
    <hyperlink ref="J69" r:id="rId203" xr:uid="{00000000-0004-0000-0400-0000CA000000}"/>
    <hyperlink ref="K69" r:id="rId204" xr:uid="{00000000-0004-0000-0400-0000CB000000}"/>
    <hyperlink ref="I70" r:id="rId205" xr:uid="{00000000-0004-0000-0400-0000CC000000}"/>
    <hyperlink ref="J70" r:id="rId206" xr:uid="{00000000-0004-0000-0400-0000CD000000}"/>
    <hyperlink ref="K70" r:id="rId207" xr:uid="{00000000-0004-0000-0400-0000CE000000}"/>
    <hyperlink ref="I71" r:id="rId208" xr:uid="{00000000-0004-0000-0400-0000CF000000}"/>
    <hyperlink ref="J71" r:id="rId209" xr:uid="{00000000-0004-0000-0400-0000D0000000}"/>
    <hyperlink ref="K71" r:id="rId210" xr:uid="{00000000-0004-0000-0400-0000D1000000}"/>
    <hyperlink ref="I72" r:id="rId211" xr:uid="{00000000-0004-0000-0400-0000D2000000}"/>
    <hyperlink ref="J72" r:id="rId212" xr:uid="{00000000-0004-0000-0400-0000D3000000}"/>
    <hyperlink ref="K72" r:id="rId213" xr:uid="{00000000-0004-0000-0400-0000D4000000}"/>
    <hyperlink ref="I73" r:id="rId214" xr:uid="{00000000-0004-0000-0400-0000D5000000}"/>
    <hyperlink ref="J73" r:id="rId215" xr:uid="{00000000-0004-0000-0400-0000D6000000}"/>
    <hyperlink ref="K73" r:id="rId216" xr:uid="{00000000-0004-0000-0400-0000D7000000}"/>
    <hyperlink ref="I74" r:id="rId217" xr:uid="{00000000-0004-0000-0400-0000D8000000}"/>
    <hyperlink ref="J74" r:id="rId218" xr:uid="{00000000-0004-0000-0400-0000D9000000}"/>
    <hyperlink ref="K74" r:id="rId219" xr:uid="{00000000-0004-0000-0400-0000DA000000}"/>
    <hyperlink ref="I75" r:id="rId220" xr:uid="{00000000-0004-0000-0400-0000DB000000}"/>
    <hyperlink ref="J75" r:id="rId221" xr:uid="{00000000-0004-0000-0400-0000DC000000}"/>
    <hyperlink ref="K75" r:id="rId222" xr:uid="{00000000-0004-0000-0400-0000DD000000}"/>
    <hyperlink ref="I76" r:id="rId223" xr:uid="{00000000-0004-0000-0400-0000DE000000}"/>
    <hyperlink ref="J76" r:id="rId224" xr:uid="{00000000-0004-0000-0400-0000DF000000}"/>
    <hyperlink ref="K76" r:id="rId225" xr:uid="{00000000-0004-0000-0400-0000E0000000}"/>
    <hyperlink ref="I77" r:id="rId226" xr:uid="{00000000-0004-0000-0400-0000E1000000}"/>
    <hyperlink ref="J77" r:id="rId227" xr:uid="{00000000-0004-0000-0400-0000E2000000}"/>
    <hyperlink ref="K77" r:id="rId228" xr:uid="{00000000-0004-0000-0400-0000E3000000}"/>
    <hyperlink ref="I78" r:id="rId229" xr:uid="{00000000-0004-0000-0400-0000E4000000}"/>
    <hyperlink ref="J78" r:id="rId230" xr:uid="{00000000-0004-0000-0400-0000E5000000}"/>
    <hyperlink ref="K78" r:id="rId231" xr:uid="{00000000-0004-0000-0400-0000E6000000}"/>
    <hyperlink ref="I79" r:id="rId232" xr:uid="{00000000-0004-0000-0400-0000E7000000}"/>
    <hyperlink ref="J79" r:id="rId233" xr:uid="{00000000-0004-0000-0400-0000E8000000}"/>
    <hyperlink ref="K79" r:id="rId234" xr:uid="{00000000-0004-0000-0400-0000E9000000}"/>
    <hyperlink ref="I80" r:id="rId235" xr:uid="{00000000-0004-0000-0400-0000EA000000}"/>
    <hyperlink ref="J80" r:id="rId236" xr:uid="{00000000-0004-0000-0400-0000EB000000}"/>
    <hyperlink ref="K80" r:id="rId237" xr:uid="{00000000-0004-0000-0400-0000EC000000}"/>
    <hyperlink ref="I81" r:id="rId238" xr:uid="{00000000-0004-0000-0400-0000ED000000}"/>
    <hyperlink ref="J81" r:id="rId239" xr:uid="{00000000-0004-0000-0400-0000EE000000}"/>
    <hyperlink ref="K81" r:id="rId240" xr:uid="{00000000-0004-0000-0400-0000EF000000}"/>
    <hyperlink ref="I82" r:id="rId241" xr:uid="{00000000-0004-0000-0400-0000F0000000}"/>
    <hyperlink ref="J82" r:id="rId242" xr:uid="{00000000-0004-0000-0400-0000F1000000}"/>
    <hyperlink ref="K82" r:id="rId243" xr:uid="{00000000-0004-0000-0400-0000F2000000}"/>
    <hyperlink ref="I83" r:id="rId244" xr:uid="{00000000-0004-0000-0400-0000F3000000}"/>
    <hyperlink ref="J83" r:id="rId245" xr:uid="{00000000-0004-0000-0400-0000F4000000}"/>
    <hyperlink ref="K83" r:id="rId246" xr:uid="{00000000-0004-0000-0400-0000F5000000}"/>
    <hyperlink ref="I84" r:id="rId247" xr:uid="{00000000-0004-0000-0400-0000F6000000}"/>
    <hyperlink ref="J84" r:id="rId248" xr:uid="{00000000-0004-0000-0400-0000F7000000}"/>
    <hyperlink ref="K84" r:id="rId249" xr:uid="{00000000-0004-0000-0400-0000F8000000}"/>
    <hyperlink ref="I85" r:id="rId250" xr:uid="{00000000-0004-0000-0400-0000F9000000}"/>
    <hyperlink ref="J85" r:id="rId251" xr:uid="{00000000-0004-0000-0400-0000FA000000}"/>
    <hyperlink ref="K85" r:id="rId252" xr:uid="{00000000-0004-0000-0400-0000FB000000}"/>
    <hyperlink ref="I86" r:id="rId253" xr:uid="{00000000-0004-0000-0400-0000FC000000}"/>
    <hyperlink ref="J86" r:id="rId254" xr:uid="{00000000-0004-0000-0400-0000FD000000}"/>
    <hyperlink ref="K86" r:id="rId255" xr:uid="{00000000-0004-0000-0400-0000FE000000}"/>
    <hyperlink ref="I87" r:id="rId256" xr:uid="{00000000-0004-0000-0400-0000FF000000}"/>
    <hyperlink ref="J87" r:id="rId257" xr:uid="{00000000-0004-0000-0400-000000010000}"/>
    <hyperlink ref="K87" r:id="rId258" xr:uid="{00000000-0004-0000-0400-000001010000}"/>
    <hyperlink ref="I88" r:id="rId259" xr:uid="{00000000-0004-0000-0400-000002010000}"/>
    <hyperlink ref="J88" r:id="rId260" xr:uid="{00000000-0004-0000-0400-000003010000}"/>
    <hyperlink ref="K88" r:id="rId261" xr:uid="{00000000-0004-0000-0400-000004010000}"/>
    <hyperlink ref="I89" r:id="rId262" xr:uid="{00000000-0004-0000-0400-000005010000}"/>
    <hyperlink ref="J89" r:id="rId263" xr:uid="{00000000-0004-0000-0400-000006010000}"/>
    <hyperlink ref="K89" r:id="rId264" xr:uid="{00000000-0004-0000-0400-000007010000}"/>
    <hyperlink ref="I90" r:id="rId265" xr:uid="{00000000-0004-0000-0400-000008010000}"/>
    <hyperlink ref="J90" r:id="rId266" xr:uid="{00000000-0004-0000-0400-000009010000}"/>
    <hyperlink ref="K90" r:id="rId267" xr:uid="{00000000-0004-0000-0400-00000A010000}"/>
    <hyperlink ref="I91" r:id="rId268" xr:uid="{00000000-0004-0000-0400-00000B010000}"/>
    <hyperlink ref="J91" r:id="rId269" xr:uid="{00000000-0004-0000-0400-00000C010000}"/>
    <hyperlink ref="K91" r:id="rId270" xr:uid="{00000000-0004-0000-0400-00000D010000}"/>
    <hyperlink ref="I92" r:id="rId271" xr:uid="{00000000-0004-0000-0400-00000E010000}"/>
    <hyperlink ref="J92" r:id="rId272" xr:uid="{00000000-0004-0000-0400-00000F010000}"/>
    <hyperlink ref="K92" r:id="rId273" xr:uid="{00000000-0004-0000-0400-000010010000}"/>
    <hyperlink ref="I93" r:id="rId274" xr:uid="{00000000-0004-0000-0400-000011010000}"/>
    <hyperlink ref="J93" r:id="rId275" xr:uid="{00000000-0004-0000-0400-000012010000}"/>
    <hyperlink ref="K93" r:id="rId276" xr:uid="{00000000-0004-0000-0400-000013010000}"/>
    <hyperlink ref="I94" r:id="rId277" xr:uid="{00000000-0004-0000-0400-000014010000}"/>
    <hyperlink ref="J94" r:id="rId278" xr:uid="{00000000-0004-0000-0400-000015010000}"/>
    <hyperlink ref="K94" r:id="rId279" xr:uid="{00000000-0004-0000-0400-000016010000}"/>
    <hyperlink ref="I95" r:id="rId280" xr:uid="{00000000-0004-0000-0400-000017010000}"/>
    <hyperlink ref="J95" r:id="rId281" xr:uid="{00000000-0004-0000-0400-000018010000}"/>
    <hyperlink ref="K95" r:id="rId282" xr:uid="{00000000-0004-0000-0400-000019010000}"/>
    <hyperlink ref="I96" r:id="rId283" xr:uid="{00000000-0004-0000-0400-00001A010000}"/>
    <hyperlink ref="J96" r:id="rId284" xr:uid="{00000000-0004-0000-0400-00001B010000}"/>
    <hyperlink ref="K96" r:id="rId285" xr:uid="{00000000-0004-0000-0400-00001C010000}"/>
    <hyperlink ref="I97" r:id="rId286" xr:uid="{00000000-0004-0000-0400-00001D010000}"/>
    <hyperlink ref="J97" r:id="rId287" xr:uid="{00000000-0004-0000-0400-00001E010000}"/>
    <hyperlink ref="K97" r:id="rId288" xr:uid="{00000000-0004-0000-0400-00001F010000}"/>
    <hyperlink ref="I98" r:id="rId289" xr:uid="{00000000-0004-0000-0400-000020010000}"/>
    <hyperlink ref="J98" r:id="rId290" xr:uid="{00000000-0004-0000-0400-000021010000}"/>
    <hyperlink ref="K98" r:id="rId291" xr:uid="{00000000-0004-0000-0400-000022010000}"/>
    <hyperlink ref="I99" r:id="rId292" xr:uid="{00000000-0004-0000-0400-000023010000}"/>
    <hyperlink ref="J99" r:id="rId293" xr:uid="{00000000-0004-0000-0400-000024010000}"/>
    <hyperlink ref="K99" r:id="rId294" xr:uid="{00000000-0004-0000-0400-000025010000}"/>
    <hyperlink ref="I100" r:id="rId295" xr:uid="{00000000-0004-0000-0400-000026010000}"/>
    <hyperlink ref="J100" r:id="rId296" xr:uid="{00000000-0004-0000-0400-000027010000}"/>
    <hyperlink ref="K100" r:id="rId297" xr:uid="{00000000-0004-0000-0400-000028010000}"/>
    <hyperlink ref="I101" r:id="rId298" xr:uid="{00000000-0004-0000-0400-000029010000}"/>
    <hyperlink ref="J101" r:id="rId299" xr:uid="{00000000-0004-0000-0400-00002A010000}"/>
    <hyperlink ref="K101" r:id="rId300" xr:uid="{00000000-0004-0000-0400-00002B010000}"/>
    <hyperlink ref="I102" r:id="rId301" xr:uid="{00000000-0004-0000-0400-00002C010000}"/>
    <hyperlink ref="J102" r:id="rId302" xr:uid="{00000000-0004-0000-0400-00002D010000}"/>
    <hyperlink ref="K102" r:id="rId303" xr:uid="{00000000-0004-0000-0400-00002E010000}"/>
    <hyperlink ref="I103" r:id="rId304" xr:uid="{00000000-0004-0000-0400-00002F010000}"/>
    <hyperlink ref="J103" r:id="rId305" xr:uid="{00000000-0004-0000-0400-000030010000}"/>
    <hyperlink ref="K103" r:id="rId306" xr:uid="{00000000-0004-0000-0400-000031010000}"/>
    <hyperlink ref="I104" r:id="rId307" xr:uid="{00000000-0004-0000-0400-000032010000}"/>
    <hyperlink ref="J104" r:id="rId308" xr:uid="{00000000-0004-0000-0400-000033010000}"/>
    <hyperlink ref="K104" r:id="rId309" xr:uid="{00000000-0004-0000-0400-000034010000}"/>
    <hyperlink ref="I105" r:id="rId310" xr:uid="{00000000-0004-0000-0400-000035010000}"/>
    <hyperlink ref="J105" r:id="rId311" xr:uid="{00000000-0004-0000-0400-000036010000}"/>
    <hyperlink ref="K105" r:id="rId312" xr:uid="{00000000-0004-0000-0400-000037010000}"/>
    <hyperlink ref="I106" r:id="rId313" xr:uid="{00000000-0004-0000-0400-000038010000}"/>
    <hyperlink ref="J106" r:id="rId314" xr:uid="{00000000-0004-0000-0400-000039010000}"/>
    <hyperlink ref="K106" r:id="rId315" xr:uid="{00000000-0004-0000-0400-00003A010000}"/>
    <hyperlink ref="I107" r:id="rId316" xr:uid="{00000000-0004-0000-0400-00003B010000}"/>
    <hyperlink ref="J107" r:id="rId317" xr:uid="{00000000-0004-0000-0400-00003C010000}"/>
    <hyperlink ref="K107" r:id="rId318" xr:uid="{00000000-0004-0000-0400-00003D010000}"/>
    <hyperlink ref="I108" r:id="rId319" xr:uid="{00000000-0004-0000-0400-00003E010000}"/>
    <hyperlink ref="J108" r:id="rId320" xr:uid="{00000000-0004-0000-0400-00003F010000}"/>
    <hyperlink ref="K108" r:id="rId321" xr:uid="{00000000-0004-0000-0400-000040010000}"/>
    <hyperlink ref="I109" r:id="rId322" xr:uid="{00000000-0004-0000-0400-000041010000}"/>
    <hyperlink ref="J109" r:id="rId323" xr:uid="{00000000-0004-0000-0400-000042010000}"/>
    <hyperlink ref="K109" r:id="rId324" xr:uid="{00000000-0004-0000-0400-000043010000}"/>
    <hyperlink ref="I110" r:id="rId325" xr:uid="{00000000-0004-0000-0400-000044010000}"/>
    <hyperlink ref="J110" r:id="rId326" xr:uid="{00000000-0004-0000-0400-000045010000}"/>
    <hyperlink ref="K110" r:id="rId327" xr:uid="{00000000-0004-0000-0400-000046010000}"/>
    <hyperlink ref="I111" r:id="rId328" xr:uid="{00000000-0004-0000-0400-000047010000}"/>
    <hyperlink ref="J111" r:id="rId329" xr:uid="{00000000-0004-0000-0400-000048010000}"/>
    <hyperlink ref="K111" r:id="rId330" xr:uid="{00000000-0004-0000-0400-000049010000}"/>
    <hyperlink ref="K112" r:id="rId331" xr:uid="{00000000-0004-0000-0400-00004A010000}"/>
    <hyperlink ref="I113" r:id="rId332" xr:uid="{00000000-0004-0000-0400-00004B010000}"/>
    <hyperlink ref="J113" r:id="rId333" xr:uid="{00000000-0004-0000-0400-00004C010000}"/>
    <hyperlink ref="K113" r:id="rId334" xr:uid="{00000000-0004-0000-0400-00004D010000}"/>
    <hyperlink ref="I114" r:id="rId335" xr:uid="{00000000-0004-0000-0400-00004E010000}"/>
    <hyperlink ref="J114" r:id="rId336" xr:uid="{00000000-0004-0000-0400-00004F010000}"/>
    <hyperlink ref="K114" r:id="rId337" xr:uid="{00000000-0004-0000-0400-000050010000}"/>
    <hyperlink ref="I115" r:id="rId338" xr:uid="{00000000-0004-0000-0400-000051010000}"/>
    <hyperlink ref="J115" r:id="rId339" xr:uid="{00000000-0004-0000-0400-000052010000}"/>
    <hyperlink ref="K115" r:id="rId340" xr:uid="{00000000-0004-0000-0400-000053010000}"/>
    <hyperlink ref="I116" r:id="rId341" xr:uid="{00000000-0004-0000-0400-000054010000}"/>
    <hyperlink ref="J116" r:id="rId342" xr:uid="{00000000-0004-0000-0400-000055010000}"/>
    <hyperlink ref="K116" r:id="rId343" xr:uid="{00000000-0004-0000-0400-000056010000}"/>
    <hyperlink ref="I117" r:id="rId344" xr:uid="{00000000-0004-0000-0400-000057010000}"/>
    <hyperlink ref="J117" r:id="rId345" xr:uid="{00000000-0004-0000-0400-000058010000}"/>
    <hyperlink ref="K117" r:id="rId346" xr:uid="{00000000-0004-0000-0400-000059010000}"/>
    <hyperlink ref="O118" r:id="rId347" xr:uid="{00000000-0004-0000-0400-00005A010000}"/>
    <hyperlink ref="P118" r:id="rId348" xr:uid="{00000000-0004-0000-0400-00005B010000}"/>
    <hyperlink ref="Q118" r:id="rId349" xr:uid="{00000000-0004-0000-0400-00005C010000}"/>
    <hyperlink ref="S118" r:id="rId350" xr:uid="{00000000-0004-0000-0400-00005D010000}"/>
    <hyperlink ref="T118" r:id="rId351" xr:uid="{00000000-0004-0000-0400-00005E010000}"/>
    <hyperlink ref="U118" r:id="rId352" xr:uid="{00000000-0004-0000-0400-00005F010000}"/>
    <hyperlink ref="W118" r:id="rId353" xr:uid="{00000000-0004-0000-0400-000060010000}"/>
    <hyperlink ref="O119" r:id="rId354" xr:uid="{00000000-0004-0000-0400-000061010000}"/>
    <hyperlink ref="P119" r:id="rId355" xr:uid="{00000000-0004-0000-0400-000062010000}"/>
    <hyperlink ref="Q119" r:id="rId356" xr:uid="{00000000-0004-0000-0400-000063010000}"/>
    <hyperlink ref="S119" r:id="rId357" xr:uid="{00000000-0004-0000-0400-000064010000}"/>
    <hyperlink ref="T119" r:id="rId358" xr:uid="{00000000-0004-0000-0400-000065010000}"/>
    <hyperlink ref="U119" r:id="rId359" xr:uid="{00000000-0004-0000-0400-000066010000}"/>
    <hyperlink ref="V119" r:id="rId360" xr:uid="{00000000-0004-0000-0400-000067010000}"/>
    <hyperlink ref="O120" r:id="rId361" xr:uid="{00000000-0004-0000-0400-000068010000}"/>
    <hyperlink ref="P120" r:id="rId362" xr:uid="{00000000-0004-0000-0400-000069010000}"/>
    <hyperlink ref="Q120" r:id="rId363" xr:uid="{00000000-0004-0000-0400-00006A010000}"/>
    <hyperlink ref="S120" r:id="rId364" xr:uid="{00000000-0004-0000-0400-00006B010000}"/>
    <hyperlink ref="T120" r:id="rId365" xr:uid="{00000000-0004-0000-0400-00006C010000}"/>
    <hyperlink ref="U120" r:id="rId366" xr:uid="{00000000-0004-0000-0400-00006D010000}"/>
    <hyperlink ref="O121" r:id="rId367" xr:uid="{00000000-0004-0000-0400-00006E010000}"/>
    <hyperlink ref="P121" r:id="rId368" xr:uid="{00000000-0004-0000-0400-00006F010000}"/>
    <hyperlink ref="Q121" r:id="rId369" xr:uid="{00000000-0004-0000-0400-000070010000}"/>
    <hyperlink ref="S121" r:id="rId370" xr:uid="{00000000-0004-0000-0400-000071010000}"/>
    <hyperlink ref="T121" r:id="rId371" xr:uid="{00000000-0004-0000-0400-000072010000}"/>
    <hyperlink ref="U121" r:id="rId372" xr:uid="{00000000-0004-0000-0400-000073010000}"/>
    <hyperlink ref="V121" r:id="rId373" xr:uid="{00000000-0004-0000-0400-000074010000}"/>
    <hyperlink ref="W121" r:id="rId374" xr:uid="{00000000-0004-0000-0400-000075010000}"/>
    <hyperlink ref="O122" r:id="rId375" xr:uid="{00000000-0004-0000-0400-000076010000}"/>
    <hyperlink ref="P122" r:id="rId376" xr:uid="{00000000-0004-0000-0400-000077010000}"/>
    <hyperlink ref="Q122" r:id="rId377" xr:uid="{00000000-0004-0000-0400-000078010000}"/>
    <hyperlink ref="S122" r:id="rId378" xr:uid="{00000000-0004-0000-0400-000079010000}"/>
    <hyperlink ref="T122" r:id="rId379" xr:uid="{00000000-0004-0000-0400-00007A010000}"/>
    <hyperlink ref="U122" r:id="rId380" xr:uid="{00000000-0004-0000-0400-00007B010000}"/>
    <hyperlink ref="V122" r:id="rId381" xr:uid="{00000000-0004-0000-0400-00007C010000}"/>
    <hyperlink ref="O123" r:id="rId382" xr:uid="{00000000-0004-0000-0400-00007D010000}"/>
    <hyperlink ref="P123" r:id="rId383" xr:uid="{00000000-0004-0000-0400-00007E010000}"/>
    <hyperlink ref="Q123" r:id="rId384" xr:uid="{00000000-0004-0000-0400-00007F010000}"/>
    <hyperlink ref="S123" r:id="rId385" xr:uid="{00000000-0004-0000-0400-000080010000}"/>
    <hyperlink ref="T123" r:id="rId386" xr:uid="{00000000-0004-0000-0400-000081010000}"/>
    <hyperlink ref="U123" r:id="rId387" xr:uid="{00000000-0004-0000-0400-000082010000}"/>
    <hyperlink ref="V123" r:id="rId388" xr:uid="{00000000-0004-0000-0400-000083010000}"/>
    <hyperlink ref="O124" r:id="rId389" xr:uid="{00000000-0004-0000-0400-000084010000}"/>
    <hyperlink ref="P124" r:id="rId390" xr:uid="{00000000-0004-0000-0400-000085010000}"/>
    <hyperlink ref="Q124" r:id="rId391" xr:uid="{00000000-0004-0000-0400-000086010000}"/>
    <hyperlink ref="S124" r:id="rId392" xr:uid="{00000000-0004-0000-0400-000087010000}"/>
    <hyperlink ref="T124" r:id="rId393" xr:uid="{00000000-0004-0000-0400-000088010000}"/>
    <hyperlink ref="U124" r:id="rId394" xr:uid="{00000000-0004-0000-0400-000089010000}"/>
    <hyperlink ref="V124" r:id="rId395" xr:uid="{00000000-0004-0000-0400-00008A010000}"/>
    <hyperlink ref="O125" r:id="rId396" xr:uid="{00000000-0004-0000-0400-00008B010000}"/>
    <hyperlink ref="P125" r:id="rId397" xr:uid="{00000000-0004-0000-0400-00008C010000}"/>
    <hyperlink ref="Q125" r:id="rId398" xr:uid="{00000000-0004-0000-0400-00008D010000}"/>
    <hyperlink ref="S125" r:id="rId399" xr:uid="{00000000-0004-0000-0400-00008E010000}"/>
    <hyperlink ref="T125" r:id="rId400" xr:uid="{00000000-0004-0000-0400-00008F010000}"/>
    <hyperlink ref="U125" r:id="rId401" xr:uid="{00000000-0004-0000-0400-000090010000}"/>
    <hyperlink ref="V125" r:id="rId402" xr:uid="{00000000-0004-0000-0400-000091010000}"/>
    <hyperlink ref="W125" r:id="rId403" xr:uid="{00000000-0004-0000-0400-000092010000}"/>
    <hyperlink ref="O126" r:id="rId404" xr:uid="{00000000-0004-0000-0400-000093010000}"/>
    <hyperlink ref="P126" r:id="rId405" xr:uid="{00000000-0004-0000-0400-000094010000}"/>
    <hyperlink ref="Q126" r:id="rId406" xr:uid="{00000000-0004-0000-0400-000095010000}"/>
    <hyperlink ref="S126" r:id="rId407" xr:uid="{00000000-0004-0000-0400-000096010000}"/>
    <hyperlink ref="T126" r:id="rId408" xr:uid="{00000000-0004-0000-0400-000097010000}"/>
    <hyperlink ref="U126" r:id="rId409" xr:uid="{00000000-0004-0000-0400-000098010000}"/>
    <hyperlink ref="O127" r:id="rId410" xr:uid="{00000000-0004-0000-0400-000099010000}"/>
    <hyperlink ref="P127" r:id="rId411" xr:uid="{00000000-0004-0000-0400-00009A010000}"/>
    <hyperlink ref="Q127" r:id="rId412" xr:uid="{00000000-0004-0000-0400-00009B010000}"/>
    <hyperlink ref="S127" r:id="rId413" xr:uid="{00000000-0004-0000-0400-00009C010000}"/>
    <hyperlink ref="T127" r:id="rId414" xr:uid="{00000000-0004-0000-0400-00009D010000}"/>
    <hyperlink ref="U127" r:id="rId415" xr:uid="{00000000-0004-0000-0400-00009E010000}"/>
    <hyperlink ref="V127" r:id="rId416" xr:uid="{00000000-0004-0000-0400-00009F010000}"/>
    <hyperlink ref="O128" r:id="rId417" xr:uid="{00000000-0004-0000-0400-0000A0010000}"/>
    <hyperlink ref="P128" r:id="rId418" xr:uid="{00000000-0004-0000-0400-0000A1010000}"/>
    <hyperlink ref="Q128" r:id="rId419" xr:uid="{00000000-0004-0000-0400-0000A2010000}"/>
    <hyperlink ref="S128" r:id="rId420" xr:uid="{00000000-0004-0000-0400-0000A3010000}"/>
    <hyperlink ref="T128" r:id="rId421" xr:uid="{00000000-0004-0000-0400-0000A4010000}"/>
    <hyperlink ref="U128" r:id="rId422" xr:uid="{00000000-0004-0000-0400-0000A5010000}"/>
    <hyperlink ref="O129" r:id="rId423" xr:uid="{00000000-0004-0000-0400-0000A6010000}"/>
    <hyperlink ref="P129" r:id="rId424" xr:uid="{00000000-0004-0000-0400-0000A7010000}"/>
    <hyperlink ref="Q129" r:id="rId425" xr:uid="{00000000-0004-0000-0400-0000A8010000}"/>
    <hyperlink ref="S129" r:id="rId426" xr:uid="{00000000-0004-0000-0400-0000A9010000}"/>
    <hyperlink ref="T129" r:id="rId427" xr:uid="{00000000-0004-0000-0400-0000AA010000}"/>
    <hyperlink ref="U129" r:id="rId428" xr:uid="{00000000-0004-0000-0400-0000AB010000}"/>
    <hyperlink ref="V129" r:id="rId429" xr:uid="{00000000-0004-0000-0400-0000AC010000}"/>
    <hyperlink ref="O130" r:id="rId430" xr:uid="{00000000-0004-0000-0400-0000AD010000}"/>
    <hyperlink ref="P130" r:id="rId431" xr:uid="{00000000-0004-0000-0400-0000AE010000}"/>
    <hyperlink ref="Q130" r:id="rId432" xr:uid="{00000000-0004-0000-0400-0000AF010000}"/>
    <hyperlink ref="S130" r:id="rId433" xr:uid="{00000000-0004-0000-0400-0000B0010000}"/>
    <hyperlink ref="T130" r:id="rId434" xr:uid="{00000000-0004-0000-0400-0000B1010000}"/>
    <hyperlink ref="U130" r:id="rId435" xr:uid="{00000000-0004-0000-0400-0000B2010000}"/>
    <hyperlink ref="V130" r:id="rId436" xr:uid="{00000000-0004-0000-0400-0000B3010000}"/>
    <hyperlink ref="O131" r:id="rId437" xr:uid="{00000000-0004-0000-0400-0000B4010000}"/>
    <hyperlink ref="P131" r:id="rId438" xr:uid="{00000000-0004-0000-0400-0000B5010000}"/>
    <hyperlink ref="Q131" r:id="rId439" xr:uid="{00000000-0004-0000-0400-0000B6010000}"/>
    <hyperlink ref="S131" r:id="rId440" xr:uid="{00000000-0004-0000-0400-0000B7010000}"/>
    <hyperlink ref="T131" r:id="rId441" xr:uid="{00000000-0004-0000-0400-0000B8010000}"/>
    <hyperlink ref="U131" r:id="rId442" xr:uid="{00000000-0004-0000-0400-0000B9010000}"/>
    <hyperlink ref="V131" r:id="rId443" xr:uid="{00000000-0004-0000-0400-0000BA010000}"/>
    <hyperlink ref="O132" r:id="rId444" xr:uid="{00000000-0004-0000-0400-0000BB010000}"/>
    <hyperlink ref="P132" r:id="rId445" xr:uid="{00000000-0004-0000-0400-0000BC010000}"/>
    <hyperlink ref="Q132" r:id="rId446" xr:uid="{00000000-0004-0000-0400-0000BD010000}"/>
    <hyperlink ref="S132" r:id="rId447" xr:uid="{00000000-0004-0000-0400-0000BE010000}"/>
    <hyperlink ref="T132" r:id="rId448" xr:uid="{00000000-0004-0000-0400-0000BF010000}"/>
    <hyperlink ref="U132" r:id="rId449" xr:uid="{00000000-0004-0000-0400-0000C0010000}"/>
    <hyperlink ref="V132" r:id="rId450" xr:uid="{00000000-0004-0000-0400-0000C1010000}"/>
    <hyperlink ref="O133" r:id="rId451" xr:uid="{00000000-0004-0000-0400-0000C2010000}"/>
    <hyperlink ref="P133" r:id="rId452" xr:uid="{00000000-0004-0000-0400-0000C3010000}"/>
    <hyperlink ref="Q133" r:id="rId453" xr:uid="{00000000-0004-0000-0400-0000C4010000}"/>
    <hyperlink ref="S133" r:id="rId454" xr:uid="{00000000-0004-0000-0400-0000C5010000}"/>
    <hyperlink ref="T133" r:id="rId455" xr:uid="{00000000-0004-0000-0400-0000C6010000}"/>
    <hyperlink ref="U133" r:id="rId456" xr:uid="{00000000-0004-0000-0400-0000C7010000}"/>
    <hyperlink ref="V133" r:id="rId457" xr:uid="{00000000-0004-0000-0400-0000C8010000}"/>
    <hyperlink ref="O134" r:id="rId458" xr:uid="{00000000-0004-0000-0400-0000C9010000}"/>
    <hyperlink ref="P134" r:id="rId459" xr:uid="{00000000-0004-0000-0400-0000CA010000}"/>
    <hyperlink ref="Q134" r:id="rId460" xr:uid="{00000000-0004-0000-0400-0000CB010000}"/>
    <hyperlink ref="S134" r:id="rId461" xr:uid="{00000000-0004-0000-0400-0000CC010000}"/>
    <hyperlink ref="T134" r:id="rId462" xr:uid="{00000000-0004-0000-0400-0000CD010000}"/>
    <hyperlink ref="U134" r:id="rId463" xr:uid="{00000000-0004-0000-0400-0000CE010000}"/>
    <hyperlink ref="O135" r:id="rId464" xr:uid="{00000000-0004-0000-0400-0000CF010000}"/>
    <hyperlink ref="P135" r:id="rId465" xr:uid="{00000000-0004-0000-0400-0000D0010000}"/>
    <hyperlink ref="Q135" r:id="rId466" xr:uid="{00000000-0004-0000-0400-0000D1010000}"/>
    <hyperlink ref="S135" r:id="rId467" xr:uid="{00000000-0004-0000-0400-0000D2010000}"/>
    <hyperlink ref="T135" r:id="rId468" xr:uid="{00000000-0004-0000-0400-0000D3010000}"/>
    <hyperlink ref="U135" r:id="rId469" xr:uid="{00000000-0004-0000-0400-0000D4010000}"/>
    <hyperlink ref="O136" r:id="rId470" xr:uid="{00000000-0004-0000-0400-0000D5010000}"/>
    <hyperlink ref="P136" r:id="rId471" xr:uid="{00000000-0004-0000-0400-0000D6010000}"/>
    <hyperlink ref="Q136" r:id="rId472" xr:uid="{00000000-0004-0000-0400-0000D7010000}"/>
    <hyperlink ref="S136" r:id="rId473" xr:uid="{00000000-0004-0000-0400-0000D8010000}"/>
    <hyperlink ref="T136" r:id="rId474" xr:uid="{00000000-0004-0000-0400-0000D9010000}"/>
    <hyperlink ref="U136" r:id="rId475" xr:uid="{00000000-0004-0000-0400-0000DA010000}"/>
    <hyperlink ref="V136" r:id="rId476" xr:uid="{00000000-0004-0000-0400-0000DB010000}"/>
    <hyperlink ref="O137" r:id="rId477" xr:uid="{00000000-0004-0000-0400-0000DC010000}"/>
    <hyperlink ref="P137" r:id="rId478" xr:uid="{00000000-0004-0000-0400-0000DD010000}"/>
    <hyperlink ref="Q137" r:id="rId479" xr:uid="{00000000-0004-0000-0400-0000DE010000}"/>
    <hyperlink ref="S137" r:id="rId480" xr:uid="{00000000-0004-0000-0400-0000DF010000}"/>
    <hyperlink ref="T137" r:id="rId481" xr:uid="{00000000-0004-0000-0400-0000E0010000}"/>
    <hyperlink ref="U137" r:id="rId482" xr:uid="{00000000-0004-0000-0400-0000E1010000}"/>
    <hyperlink ref="V137" r:id="rId483" xr:uid="{00000000-0004-0000-0400-0000E2010000}"/>
    <hyperlink ref="O138" r:id="rId484" xr:uid="{00000000-0004-0000-0400-0000E3010000}"/>
    <hyperlink ref="P138" r:id="rId485" xr:uid="{00000000-0004-0000-0400-0000E4010000}"/>
    <hyperlink ref="Q138" r:id="rId486" xr:uid="{00000000-0004-0000-0400-0000E5010000}"/>
    <hyperlink ref="S138" r:id="rId487" xr:uid="{00000000-0004-0000-0400-0000E6010000}"/>
    <hyperlink ref="T138" r:id="rId488" xr:uid="{00000000-0004-0000-0400-0000E7010000}"/>
    <hyperlink ref="U138" r:id="rId489" xr:uid="{00000000-0004-0000-0400-0000E8010000}"/>
    <hyperlink ref="V138" r:id="rId490" xr:uid="{00000000-0004-0000-0400-0000E9010000}"/>
    <hyperlink ref="O139" r:id="rId491" xr:uid="{00000000-0004-0000-0400-0000EA010000}"/>
    <hyperlink ref="P139" r:id="rId492" xr:uid="{00000000-0004-0000-0400-0000EB010000}"/>
    <hyperlink ref="Q139" r:id="rId493" xr:uid="{00000000-0004-0000-0400-0000EC010000}"/>
    <hyperlink ref="S139" r:id="rId494" xr:uid="{00000000-0004-0000-0400-0000ED010000}"/>
    <hyperlink ref="T139" r:id="rId495" xr:uid="{00000000-0004-0000-0400-0000EE010000}"/>
    <hyperlink ref="U139" r:id="rId496" xr:uid="{00000000-0004-0000-0400-0000EF010000}"/>
    <hyperlink ref="V139" r:id="rId497" xr:uid="{00000000-0004-0000-0400-0000F0010000}"/>
    <hyperlink ref="O140" r:id="rId498" xr:uid="{00000000-0004-0000-0400-0000F1010000}"/>
    <hyperlink ref="P140" r:id="rId499" xr:uid="{00000000-0004-0000-0400-0000F2010000}"/>
    <hyperlink ref="Q140" r:id="rId500" xr:uid="{00000000-0004-0000-0400-0000F3010000}"/>
    <hyperlink ref="S140" r:id="rId501" xr:uid="{00000000-0004-0000-0400-0000F4010000}"/>
    <hyperlink ref="T140" r:id="rId502" xr:uid="{00000000-0004-0000-0400-0000F5010000}"/>
    <hyperlink ref="U140" r:id="rId503" xr:uid="{00000000-0004-0000-0400-0000F6010000}"/>
    <hyperlink ref="O141" r:id="rId504" xr:uid="{00000000-0004-0000-0400-0000F7010000}"/>
    <hyperlink ref="P141" r:id="rId505" xr:uid="{00000000-0004-0000-0400-0000F8010000}"/>
    <hyperlink ref="Q141" r:id="rId506" xr:uid="{00000000-0004-0000-0400-0000F9010000}"/>
    <hyperlink ref="S141" r:id="rId507" xr:uid="{00000000-0004-0000-0400-0000FA010000}"/>
    <hyperlink ref="T141" r:id="rId508" xr:uid="{00000000-0004-0000-0400-0000FB010000}"/>
    <hyperlink ref="U141" r:id="rId509" xr:uid="{00000000-0004-0000-0400-0000FC010000}"/>
    <hyperlink ref="V141" r:id="rId510" xr:uid="{00000000-0004-0000-0400-0000FD010000}"/>
    <hyperlink ref="O142" r:id="rId511" xr:uid="{00000000-0004-0000-0400-0000FE010000}"/>
    <hyperlink ref="P142" r:id="rId512" xr:uid="{00000000-0004-0000-0400-0000FF010000}"/>
    <hyperlink ref="Q142" r:id="rId513" xr:uid="{00000000-0004-0000-0400-000000020000}"/>
    <hyperlink ref="S142" r:id="rId514" xr:uid="{00000000-0004-0000-0400-000001020000}"/>
    <hyperlink ref="T142" r:id="rId515" xr:uid="{00000000-0004-0000-0400-000002020000}"/>
    <hyperlink ref="U142" r:id="rId516" xr:uid="{00000000-0004-0000-0400-000003020000}"/>
    <hyperlink ref="V142" r:id="rId517" xr:uid="{00000000-0004-0000-0400-000004020000}"/>
    <hyperlink ref="O143" r:id="rId518" xr:uid="{00000000-0004-0000-0400-000005020000}"/>
    <hyperlink ref="P143" r:id="rId519" xr:uid="{00000000-0004-0000-0400-000006020000}"/>
    <hyperlink ref="Q143" r:id="rId520" xr:uid="{00000000-0004-0000-0400-000007020000}"/>
    <hyperlink ref="S143" r:id="rId521" xr:uid="{00000000-0004-0000-0400-000008020000}"/>
    <hyperlink ref="T143" r:id="rId522" xr:uid="{00000000-0004-0000-0400-000009020000}"/>
    <hyperlink ref="U143" r:id="rId523" xr:uid="{00000000-0004-0000-0400-00000A020000}"/>
    <hyperlink ref="V143" r:id="rId524" xr:uid="{00000000-0004-0000-0400-00000B020000}"/>
    <hyperlink ref="O144" r:id="rId525" xr:uid="{00000000-0004-0000-0400-00000C020000}"/>
    <hyperlink ref="P144" r:id="rId526" xr:uid="{00000000-0004-0000-0400-00000D020000}"/>
    <hyperlink ref="Q144" r:id="rId527" xr:uid="{00000000-0004-0000-0400-00000E020000}"/>
    <hyperlink ref="S144" r:id="rId528" xr:uid="{00000000-0004-0000-0400-00000F020000}"/>
    <hyperlink ref="T144" r:id="rId529" xr:uid="{00000000-0004-0000-0400-000010020000}"/>
    <hyperlink ref="U144" r:id="rId530" xr:uid="{00000000-0004-0000-0400-000011020000}"/>
    <hyperlink ref="V144" r:id="rId531" xr:uid="{00000000-0004-0000-0400-000012020000}"/>
    <hyperlink ref="O145" r:id="rId532" xr:uid="{00000000-0004-0000-0400-000013020000}"/>
    <hyperlink ref="P145" r:id="rId533" xr:uid="{00000000-0004-0000-0400-000014020000}"/>
    <hyperlink ref="Q145" r:id="rId534" xr:uid="{00000000-0004-0000-0400-000015020000}"/>
    <hyperlink ref="S145" r:id="rId535" xr:uid="{00000000-0004-0000-0400-000016020000}"/>
    <hyperlink ref="T145" r:id="rId536" xr:uid="{00000000-0004-0000-0400-000017020000}"/>
    <hyperlink ref="U145" r:id="rId537" xr:uid="{00000000-0004-0000-0400-000018020000}"/>
    <hyperlink ref="V145" r:id="rId538" xr:uid="{00000000-0004-0000-0400-000019020000}"/>
    <hyperlink ref="O146" r:id="rId539" xr:uid="{00000000-0004-0000-0400-00001A020000}"/>
    <hyperlink ref="P146" r:id="rId540" xr:uid="{00000000-0004-0000-0400-00001B020000}"/>
    <hyperlink ref="Q146" r:id="rId541" xr:uid="{00000000-0004-0000-0400-00001C020000}"/>
    <hyperlink ref="S146" r:id="rId542" xr:uid="{00000000-0004-0000-0400-00001D020000}"/>
    <hyperlink ref="T146" r:id="rId543" xr:uid="{00000000-0004-0000-0400-00001E020000}"/>
    <hyperlink ref="U146" r:id="rId544" xr:uid="{00000000-0004-0000-0400-00001F020000}"/>
    <hyperlink ref="O147" r:id="rId545" xr:uid="{00000000-0004-0000-0400-000020020000}"/>
    <hyperlink ref="P147" r:id="rId546" xr:uid="{00000000-0004-0000-0400-000021020000}"/>
    <hyperlink ref="Q147" r:id="rId547" xr:uid="{00000000-0004-0000-0400-000022020000}"/>
    <hyperlink ref="S147" r:id="rId548" xr:uid="{00000000-0004-0000-0400-000023020000}"/>
    <hyperlink ref="T147" r:id="rId549" xr:uid="{00000000-0004-0000-0400-000024020000}"/>
    <hyperlink ref="U147" r:id="rId550" xr:uid="{00000000-0004-0000-0400-000025020000}"/>
    <hyperlink ref="V147" r:id="rId551" xr:uid="{00000000-0004-0000-0400-000026020000}"/>
    <hyperlink ref="O148" r:id="rId552" xr:uid="{00000000-0004-0000-0400-000027020000}"/>
    <hyperlink ref="P148" r:id="rId553" xr:uid="{00000000-0004-0000-0400-000028020000}"/>
    <hyperlink ref="Q148" r:id="rId554" xr:uid="{00000000-0004-0000-0400-000029020000}"/>
    <hyperlink ref="S148" r:id="rId555" xr:uid="{00000000-0004-0000-0400-00002A020000}"/>
    <hyperlink ref="T148" r:id="rId556" xr:uid="{00000000-0004-0000-0400-00002B020000}"/>
    <hyperlink ref="U148" r:id="rId557" xr:uid="{00000000-0004-0000-0400-00002C020000}"/>
    <hyperlink ref="V148" r:id="rId558" xr:uid="{00000000-0004-0000-0400-00002D020000}"/>
    <hyperlink ref="O149" r:id="rId559" xr:uid="{00000000-0004-0000-0400-00002E020000}"/>
    <hyperlink ref="P149" r:id="rId560" xr:uid="{00000000-0004-0000-0400-00002F020000}"/>
    <hyperlink ref="Q149" r:id="rId561" xr:uid="{00000000-0004-0000-0400-000030020000}"/>
    <hyperlink ref="S149" r:id="rId562" xr:uid="{00000000-0004-0000-0400-000031020000}"/>
    <hyperlink ref="T149" r:id="rId563" xr:uid="{00000000-0004-0000-0400-000032020000}"/>
    <hyperlink ref="U149" r:id="rId564" xr:uid="{00000000-0004-0000-0400-000033020000}"/>
    <hyperlink ref="O150" r:id="rId565" xr:uid="{00000000-0004-0000-0400-000034020000}"/>
    <hyperlink ref="P150" r:id="rId566" xr:uid="{00000000-0004-0000-0400-000035020000}"/>
    <hyperlink ref="Q150" r:id="rId567" xr:uid="{00000000-0004-0000-0400-000036020000}"/>
    <hyperlink ref="S150" r:id="rId568" xr:uid="{00000000-0004-0000-0400-000037020000}"/>
    <hyperlink ref="T150" r:id="rId569" xr:uid="{00000000-0004-0000-0400-000038020000}"/>
    <hyperlink ref="U150" r:id="rId570" xr:uid="{00000000-0004-0000-0400-000039020000}"/>
    <hyperlink ref="O151" r:id="rId571" xr:uid="{00000000-0004-0000-0400-00003A020000}"/>
    <hyperlink ref="P151" r:id="rId572" xr:uid="{00000000-0004-0000-0400-00003B020000}"/>
    <hyperlink ref="Q151" r:id="rId573" xr:uid="{00000000-0004-0000-0400-00003C020000}"/>
    <hyperlink ref="S151" r:id="rId574" xr:uid="{00000000-0004-0000-0400-00003D020000}"/>
    <hyperlink ref="T151" r:id="rId575" xr:uid="{00000000-0004-0000-0400-00003E020000}"/>
    <hyperlink ref="U151" r:id="rId576" xr:uid="{00000000-0004-0000-0400-00003F020000}"/>
    <hyperlink ref="V151" r:id="rId577" xr:uid="{00000000-0004-0000-0400-000040020000}"/>
    <hyperlink ref="O152" r:id="rId578" xr:uid="{00000000-0004-0000-0400-000041020000}"/>
    <hyperlink ref="P152" r:id="rId579" xr:uid="{00000000-0004-0000-0400-000042020000}"/>
    <hyperlink ref="Q152" r:id="rId580" xr:uid="{00000000-0004-0000-0400-000043020000}"/>
    <hyperlink ref="S152" r:id="rId581" xr:uid="{00000000-0004-0000-0400-000044020000}"/>
    <hyperlink ref="T152" r:id="rId582" xr:uid="{00000000-0004-0000-0400-000045020000}"/>
    <hyperlink ref="U152" r:id="rId583" xr:uid="{00000000-0004-0000-0400-000046020000}"/>
    <hyperlink ref="O153" r:id="rId584" xr:uid="{00000000-0004-0000-0400-000047020000}"/>
    <hyperlink ref="P153" r:id="rId585" xr:uid="{00000000-0004-0000-0400-000048020000}"/>
    <hyperlink ref="Q153" r:id="rId586" xr:uid="{00000000-0004-0000-0400-000049020000}"/>
    <hyperlink ref="S153" r:id="rId587" xr:uid="{00000000-0004-0000-0400-00004A020000}"/>
    <hyperlink ref="T153" r:id="rId588" xr:uid="{00000000-0004-0000-0400-00004B020000}"/>
    <hyperlink ref="U153" r:id="rId589" xr:uid="{00000000-0004-0000-0400-00004C020000}"/>
    <hyperlink ref="V153" r:id="rId590" xr:uid="{00000000-0004-0000-0400-00004D020000}"/>
    <hyperlink ref="O154" r:id="rId591" xr:uid="{00000000-0004-0000-0400-00004E020000}"/>
    <hyperlink ref="P154" r:id="rId592" xr:uid="{00000000-0004-0000-0400-00004F020000}"/>
    <hyperlink ref="Q154" r:id="rId593" xr:uid="{00000000-0004-0000-0400-000050020000}"/>
    <hyperlink ref="S154" r:id="rId594" xr:uid="{00000000-0004-0000-0400-000051020000}"/>
    <hyperlink ref="T154" r:id="rId595" xr:uid="{00000000-0004-0000-0400-000052020000}"/>
    <hyperlink ref="U154" r:id="rId596" xr:uid="{00000000-0004-0000-0400-000053020000}"/>
    <hyperlink ref="V154" r:id="rId597" xr:uid="{00000000-0004-0000-0400-000054020000}"/>
    <hyperlink ref="S155" r:id="rId598" xr:uid="{00000000-0004-0000-0400-000055020000}"/>
    <hyperlink ref="T155" r:id="rId599" xr:uid="{00000000-0004-0000-0400-000056020000}"/>
    <hyperlink ref="U155" r:id="rId600" xr:uid="{00000000-0004-0000-0400-000057020000}"/>
    <hyperlink ref="V155" r:id="rId601" xr:uid="{00000000-0004-0000-0400-000058020000}"/>
    <hyperlink ref="O156" r:id="rId602" xr:uid="{00000000-0004-0000-0400-000059020000}"/>
    <hyperlink ref="P156" r:id="rId603" xr:uid="{00000000-0004-0000-0400-00005A020000}"/>
    <hyperlink ref="Q156" r:id="rId604" xr:uid="{00000000-0004-0000-0400-00005B020000}"/>
    <hyperlink ref="S156" r:id="rId605" xr:uid="{00000000-0004-0000-0400-00005C020000}"/>
    <hyperlink ref="T156" r:id="rId606" xr:uid="{00000000-0004-0000-0400-00005D020000}"/>
    <hyperlink ref="U156" r:id="rId607" xr:uid="{00000000-0004-0000-0400-00005E020000}"/>
    <hyperlink ref="V156" r:id="rId608" xr:uid="{00000000-0004-0000-0400-00005F020000}"/>
    <hyperlink ref="O157" r:id="rId609" xr:uid="{00000000-0004-0000-0400-000060020000}"/>
    <hyperlink ref="P157" r:id="rId610" xr:uid="{00000000-0004-0000-0400-000061020000}"/>
    <hyperlink ref="Q157" r:id="rId611" xr:uid="{00000000-0004-0000-0400-000062020000}"/>
    <hyperlink ref="S157" r:id="rId612" xr:uid="{00000000-0004-0000-0400-000063020000}"/>
    <hyperlink ref="T157" r:id="rId613" xr:uid="{00000000-0004-0000-0400-000064020000}"/>
    <hyperlink ref="U157" r:id="rId614" xr:uid="{00000000-0004-0000-0400-000065020000}"/>
    <hyperlink ref="V157" r:id="rId615" xr:uid="{00000000-0004-0000-0400-000066020000}"/>
    <hyperlink ref="O158" r:id="rId616" xr:uid="{00000000-0004-0000-0400-000067020000}"/>
    <hyperlink ref="P158" r:id="rId617" xr:uid="{00000000-0004-0000-0400-000068020000}"/>
    <hyperlink ref="Q158" r:id="rId618" xr:uid="{00000000-0004-0000-0400-000069020000}"/>
    <hyperlink ref="S158" r:id="rId619" xr:uid="{00000000-0004-0000-0400-00006A020000}"/>
    <hyperlink ref="T158" r:id="rId620" xr:uid="{00000000-0004-0000-0400-00006B020000}"/>
    <hyperlink ref="U158" r:id="rId621" xr:uid="{00000000-0004-0000-0400-00006C020000}"/>
    <hyperlink ref="V158" r:id="rId622" xr:uid="{00000000-0004-0000-0400-00006D020000}"/>
    <hyperlink ref="O159" r:id="rId623" xr:uid="{00000000-0004-0000-0400-00006E020000}"/>
    <hyperlink ref="P159" r:id="rId624" xr:uid="{00000000-0004-0000-0400-00006F020000}"/>
    <hyperlink ref="Q159" r:id="rId625" xr:uid="{00000000-0004-0000-0400-000070020000}"/>
    <hyperlink ref="S159" r:id="rId626" xr:uid="{00000000-0004-0000-0400-000071020000}"/>
    <hyperlink ref="T159" r:id="rId627" xr:uid="{00000000-0004-0000-0400-000072020000}"/>
    <hyperlink ref="U159" r:id="rId628" xr:uid="{00000000-0004-0000-0400-000073020000}"/>
    <hyperlink ref="V159" r:id="rId629" xr:uid="{00000000-0004-0000-0400-000074020000}"/>
    <hyperlink ref="O160" r:id="rId630" xr:uid="{00000000-0004-0000-0400-000075020000}"/>
    <hyperlink ref="P160" r:id="rId631" xr:uid="{00000000-0004-0000-0400-000076020000}"/>
    <hyperlink ref="Q160" r:id="rId632" xr:uid="{00000000-0004-0000-0400-000077020000}"/>
    <hyperlink ref="S160" r:id="rId633" xr:uid="{00000000-0004-0000-0400-000078020000}"/>
    <hyperlink ref="T160" r:id="rId634" xr:uid="{00000000-0004-0000-0400-000079020000}"/>
    <hyperlink ref="U160" r:id="rId635" xr:uid="{00000000-0004-0000-0400-00007A020000}"/>
    <hyperlink ref="O161" r:id="rId636" xr:uid="{00000000-0004-0000-0400-00007B020000}"/>
    <hyperlink ref="P161" r:id="rId637" xr:uid="{00000000-0004-0000-0400-00007C020000}"/>
    <hyperlink ref="Q161" r:id="rId638" xr:uid="{00000000-0004-0000-0400-00007D020000}"/>
    <hyperlink ref="S161" r:id="rId639" xr:uid="{00000000-0004-0000-0400-00007E020000}"/>
    <hyperlink ref="T161" r:id="rId640" xr:uid="{00000000-0004-0000-0400-00007F020000}"/>
    <hyperlink ref="U161" r:id="rId641" xr:uid="{00000000-0004-0000-0400-000080020000}"/>
    <hyperlink ref="O162" r:id="rId642" xr:uid="{00000000-0004-0000-0400-000081020000}"/>
    <hyperlink ref="P162" r:id="rId643" xr:uid="{00000000-0004-0000-0400-000082020000}"/>
    <hyperlink ref="Q162" r:id="rId644" xr:uid="{00000000-0004-0000-0400-000083020000}"/>
    <hyperlink ref="S162" r:id="rId645" xr:uid="{00000000-0004-0000-0400-000084020000}"/>
    <hyperlink ref="T162" r:id="rId646" xr:uid="{00000000-0004-0000-0400-000085020000}"/>
    <hyperlink ref="U162" r:id="rId647" xr:uid="{00000000-0004-0000-0400-000086020000}"/>
    <hyperlink ref="O163" r:id="rId648" xr:uid="{00000000-0004-0000-0400-000087020000}"/>
    <hyperlink ref="P163" r:id="rId649" xr:uid="{00000000-0004-0000-0400-000088020000}"/>
    <hyperlink ref="Q163" r:id="rId650" xr:uid="{00000000-0004-0000-0400-000089020000}"/>
    <hyperlink ref="S163" r:id="rId651" xr:uid="{00000000-0004-0000-0400-00008A020000}"/>
    <hyperlink ref="T163" r:id="rId652" xr:uid="{00000000-0004-0000-0400-00008B020000}"/>
    <hyperlink ref="U163" r:id="rId653" xr:uid="{00000000-0004-0000-0400-00008C020000}"/>
    <hyperlink ref="O164" r:id="rId654" xr:uid="{00000000-0004-0000-0400-00008D020000}"/>
    <hyperlink ref="P164" r:id="rId655" xr:uid="{00000000-0004-0000-0400-00008E020000}"/>
    <hyperlink ref="Q164" r:id="rId656" xr:uid="{00000000-0004-0000-0400-00008F020000}"/>
    <hyperlink ref="S164" r:id="rId657" xr:uid="{00000000-0004-0000-0400-000090020000}"/>
    <hyperlink ref="T164" r:id="rId658" xr:uid="{00000000-0004-0000-0400-000091020000}"/>
    <hyperlink ref="U164" r:id="rId659" xr:uid="{00000000-0004-0000-0400-000092020000}"/>
    <hyperlink ref="V164" r:id="rId660" xr:uid="{00000000-0004-0000-0400-000093020000}"/>
    <hyperlink ref="O165" r:id="rId661" xr:uid="{00000000-0004-0000-0400-000094020000}"/>
    <hyperlink ref="P165" r:id="rId662" xr:uid="{00000000-0004-0000-0400-000095020000}"/>
    <hyperlink ref="Q165" r:id="rId663" xr:uid="{00000000-0004-0000-0400-000096020000}"/>
    <hyperlink ref="S165" r:id="rId664" xr:uid="{00000000-0004-0000-0400-000097020000}"/>
    <hyperlink ref="T165" r:id="rId665" xr:uid="{00000000-0004-0000-0400-000098020000}"/>
    <hyperlink ref="U165" r:id="rId666" xr:uid="{00000000-0004-0000-0400-000099020000}"/>
    <hyperlink ref="V165" r:id="rId667" xr:uid="{00000000-0004-0000-0400-00009A020000}"/>
    <hyperlink ref="O166" r:id="rId668" xr:uid="{00000000-0004-0000-0400-00009B020000}"/>
    <hyperlink ref="P166" r:id="rId669" xr:uid="{00000000-0004-0000-0400-00009C020000}"/>
    <hyperlink ref="Q166" r:id="rId670" xr:uid="{00000000-0004-0000-0400-00009D020000}"/>
    <hyperlink ref="S166" r:id="rId671" xr:uid="{00000000-0004-0000-0400-00009E020000}"/>
    <hyperlink ref="T166" r:id="rId672" xr:uid="{00000000-0004-0000-0400-00009F020000}"/>
    <hyperlink ref="U166" r:id="rId673" xr:uid="{00000000-0004-0000-0400-0000A0020000}"/>
    <hyperlink ref="V166" r:id="rId674" xr:uid="{00000000-0004-0000-0400-0000A1020000}"/>
    <hyperlink ref="O167" r:id="rId675" xr:uid="{00000000-0004-0000-0400-0000A2020000}"/>
    <hyperlink ref="P167" r:id="rId676" xr:uid="{00000000-0004-0000-0400-0000A3020000}"/>
    <hyperlink ref="Q167" r:id="rId677" xr:uid="{00000000-0004-0000-0400-0000A4020000}"/>
    <hyperlink ref="S167" r:id="rId678" xr:uid="{00000000-0004-0000-0400-0000A5020000}"/>
    <hyperlink ref="T167" r:id="rId679" xr:uid="{00000000-0004-0000-0400-0000A6020000}"/>
    <hyperlink ref="U167" r:id="rId680" xr:uid="{00000000-0004-0000-0400-0000A7020000}"/>
    <hyperlink ref="V167" r:id="rId681" xr:uid="{00000000-0004-0000-0400-0000A8020000}"/>
    <hyperlink ref="O168" r:id="rId682" xr:uid="{00000000-0004-0000-0400-0000A9020000}"/>
    <hyperlink ref="P168" r:id="rId683" xr:uid="{00000000-0004-0000-0400-0000AA020000}"/>
    <hyperlink ref="Q168" r:id="rId684" xr:uid="{00000000-0004-0000-0400-0000AB020000}"/>
    <hyperlink ref="S168" r:id="rId685" xr:uid="{00000000-0004-0000-0400-0000AC020000}"/>
    <hyperlink ref="T168" r:id="rId686" xr:uid="{00000000-0004-0000-0400-0000AD020000}"/>
    <hyperlink ref="U168" r:id="rId687" xr:uid="{00000000-0004-0000-0400-0000AE020000}"/>
    <hyperlink ref="V168" r:id="rId688" xr:uid="{00000000-0004-0000-0400-0000AF020000}"/>
    <hyperlink ref="O169" r:id="rId689" xr:uid="{00000000-0004-0000-0400-0000B0020000}"/>
    <hyperlink ref="P169" r:id="rId690" xr:uid="{00000000-0004-0000-0400-0000B1020000}"/>
    <hyperlink ref="Q169" r:id="rId691" xr:uid="{00000000-0004-0000-0400-0000B2020000}"/>
    <hyperlink ref="S169" r:id="rId692" xr:uid="{00000000-0004-0000-0400-0000B3020000}"/>
    <hyperlink ref="T169" r:id="rId693" xr:uid="{00000000-0004-0000-0400-0000B4020000}"/>
    <hyperlink ref="U169" r:id="rId694" xr:uid="{00000000-0004-0000-0400-0000B5020000}"/>
    <hyperlink ref="V169" r:id="rId695" xr:uid="{00000000-0004-0000-0400-0000B6020000}"/>
    <hyperlink ref="O170" r:id="rId696" xr:uid="{00000000-0004-0000-0400-0000B7020000}"/>
    <hyperlink ref="P170" r:id="rId697" xr:uid="{00000000-0004-0000-0400-0000B8020000}"/>
    <hyperlink ref="Q170" r:id="rId698" xr:uid="{00000000-0004-0000-0400-0000B9020000}"/>
    <hyperlink ref="S170" r:id="rId699" xr:uid="{00000000-0004-0000-0400-0000BA020000}"/>
    <hyperlink ref="T170" r:id="rId700" xr:uid="{00000000-0004-0000-0400-0000BB020000}"/>
    <hyperlink ref="U170" r:id="rId701" xr:uid="{00000000-0004-0000-0400-0000BC020000}"/>
    <hyperlink ref="V170" r:id="rId702" xr:uid="{00000000-0004-0000-0400-0000BD020000}"/>
    <hyperlink ref="O171" r:id="rId703" xr:uid="{00000000-0004-0000-0400-0000BE020000}"/>
    <hyperlink ref="P171" r:id="rId704" xr:uid="{00000000-0004-0000-0400-0000BF020000}"/>
    <hyperlink ref="Q171" r:id="rId705" xr:uid="{00000000-0004-0000-0400-0000C0020000}"/>
    <hyperlink ref="S171" r:id="rId706" xr:uid="{00000000-0004-0000-0400-0000C1020000}"/>
    <hyperlink ref="T171" r:id="rId707" xr:uid="{00000000-0004-0000-0400-0000C2020000}"/>
    <hyperlink ref="U171" r:id="rId708" xr:uid="{00000000-0004-0000-0400-0000C3020000}"/>
    <hyperlink ref="V171" r:id="rId709" xr:uid="{00000000-0004-0000-0400-0000C4020000}"/>
    <hyperlink ref="O172" r:id="rId710" xr:uid="{00000000-0004-0000-0400-0000C5020000}"/>
    <hyperlink ref="P172" r:id="rId711" xr:uid="{00000000-0004-0000-0400-0000C6020000}"/>
    <hyperlink ref="Q172" r:id="rId712" xr:uid="{00000000-0004-0000-0400-0000C7020000}"/>
    <hyperlink ref="S172" r:id="rId713" xr:uid="{00000000-0004-0000-0400-0000C8020000}"/>
    <hyperlink ref="T172" r:id="rId714" xr:uid="{00000000-0004-0000-0400-0000C9020000}"/>
    <hyperlink ref="U172" r:id="rId715" xr:uid="{00000000-0004-0000-0400-0000CA020000}"/>
    <hyperlink ref="V172" r:id="rId716" xr:uid="{00000000-0004-0000-0400-0000CB020000}"/>
    <hyperlink ref="O173" r:id="rId717" xr:uid="{00000000-0004-0000-0400-0000CC020000}"/>
    <hyperlink ref="P173" r:id="rId718" xr:uid="{00000000-0004-0000-0400-0000CD020000}"/>
    <hyperlink ref="Q173" r:id="rId719" xr:uid="{00000000-0004-0000-0400-0000CE020000}"/>
    <hyperlink ref="S173" r:id="rId720" xr:uid="{00000000-0004-0000-0400-0000CF020000}"/>
    <hyperlink ref="T173" r:id="rId721" xr:uid="{00000000-0004-0000-0400-0000D0020000}"/>
    <hyperlink ref="U173" r:id="rId722" xr:uid="{00000000-0004-0000-0400-0000D1020000}"/>
    <hyperlink ref="V173" r:id="rId723" xr:uid="{00000000-0004-0000-0400-0000D2020000}"/>
    <hyperlink ref="O174" r:id="rId724" xr:uid="{00000000-0004-0000-0400-0000D3020000}"/>
    <hyperlink ref="P174" r:id="rId725" xr:uid="{00000000-0004-0000-0400-0000D4020000}"/>
    <hyperlink ref="Q174" r:id="rId726" xr:uid="{00000000-0004-0000-0400-0000D5020000}"/>
    <hyperlink ref="S174" r:id="rId727" xr:uid="{00000000-0004-0000-0400-0000D6020000}"/>
    <hyperlink ref="T174" r:id="rId728" xr:uid="{00000000-0004-0000-0400-0000D7020000}"/>
    <hyperlink ref="U174" r:id="rId729" xr:uid="{00000000-0004-0000-0400-0000D8020000}"/>
    <hyperlink ref="V174" r:id="rId730" xr:uid="{00000000-0004-0000-0400-0000D9020000}"/>
    <hyperlink ref="O175" r:id="rId731" xr:uid="{00000000-0004-0000-0400-0000DA020000}"/>
    <hyperlink ref="P175" r:id="rId732" xr:uid="{00000000-0004-0000-0400-0000DB020000}"/>
    <hyperlink ref="Q175" r:id="rId733" xr:uid="{00000000-0004-0000-0400-0000DC020000}"/>
    <hyperlink ref="S175" r:id="rId734" xr:uid="{00000000-0004-0000-0400-0000DD020000}"/>
    <hyperlink ref="T175" r:id="rId735" xr:uid="{00000000-0004-0000-0400-0000DE020000}"/>
    <hyperlink ref="U175" r:id="rId736" xr:uid="{00000000-0004-0000-0400-0000DF020000}"/>
    <hyperlink ref="O176" r:id="rId737" xr:uid="{00000000-0004-0000-0400-0000E0020000}"/>
    <hyperlink ref="P176" r:id="rId738" xr:uid="{00000000-0004-0000-0400-0000E1020000}"/>
    <hyperlink ref="Q176" r:id="rId739" xr:uid="{00000000-0004-0000-0400-0000E2020000}"/>
    <hyperlink ref="S176" r:id="rId740" xr:uid="{00000000-0004-0000-0400-0000E3020000}"/>
    <hyperlink ref="T176" r:id="rId741" xr:uid="{00000000-0004-0000-0400-0000E4020000}"/>
    <hyperlink ref="U176" r:id="rId742" xr:uid="{00000000-0004-0000-0400-0000E5020000}"/>
    <hyperlink ref="V176" r:id="rId743" xr:uid="{00000000-0004-0000-0400-0000E6020000}"/>
    <hyperlink ref="O177" r:id="rId744" xr:uid="{00000000-0004-0000-0400-0000E7020000}"/>
    <hyperlink ref="P177" r:id="rId745" xr:uid="{00000000-0004-0000-0400-0000E8020000}"/>
    <hyperlink ref="Q177" r:id="rId746" xr:uid="{00000000-0004-0000-0400-0000E9020000}"/>
    <hyperlink ref="S177" r:id="rId747" xr:uid="{00000000-0004-0000-0400-0000EA020000}"/>
    <hyperlink ref="T177" r:id="rId748" xr:uid="{00000000-0004-0000-0400-0000EB020000}"/>
    <hyperlink ref="U177" r:id="rId749" xr:uid="{00000000-0004-0000-0400-0000EC020000}"/>
    <hyperlink ref="V177" r:id="rId750" xr:uid="{00000000-0004-0000-0400-0000ED020000}"/>
    <hyperlink ref="O178" r:id="rId751" xr:uid="{00000000-0004-0000-0400-0000EE020000}"/>
    <hyperlink ref="P178" r:id="rId752" xr:uid="{00000000-0004-0000-0400-0000EF020000}"/>
    <hyperlink ref="Q178" r:id="rId753" xr:uid="{00000000-0004-0000-0400-0000F0020000}"/>
    <hyperlink ref="S178" r:id="rId754" xr:uid="{00000000-0004-0000-0400-0000F1020000}"/>
    <hyperlink ref="T178" r:id="rId755" xr:uid="{00000000-0004-0000-0400-0000F2020000}"/>
    <hyperlink ref="U178" r:id="rId756" xr:uid="{00000000-0004-0000-0400-0000F3020000}"/>
    <hyperlink ref="V178" r:id="rId757" xr:uid="{00000000-0004-0000-0400-0000F4020000}"/>
    <hyperlink ref="O179" r:id="rId758" xr:uid="{00000000-0004-0000-0400-0000F5020000}"/>
    <hyperlink ref="P179" r:id="rId759" xr:uid="{00000000-0004-0000-0400-0000F6020000}"/>
    <hyperlink ref="Q179" r:id="rId760" xr:uid="{00000000-0004-0000-0400-0000F7020000}"/>
    <hyperlink ref="S179" r:id="rId761" xr:uid="{00000000-0004-0000-0400-0000F8020000}"/>
    <hyperlink ref="T179" r:id="rId762" xr:uid="{00000000-0004-0000-0400-0000F9020000}"/>
    <hyperlink ref="U179" r:id="rId763" xr:uid="{00000000-0004-0000-0400-0000FA020000}"/>
    <hyperlink ref="V179" r:id="rId764" xr:uid="{00000000-0004-0000-0400-0000FB020000}"/>
    <hyperlink ref="O180" r:id="rId765" xr:uid="{00000000-0004-0000-0400-0000FC020000}"/>
    <hyperlink ref="P180" r:id="rId766" xr:uid="{00000000-0004-0000-0400-0000FD020000}"/>
    <hyperlink ref="Q180" r:id="rId767" xr:uid="{00000000-0004-0000-0400-0000FE020000}"/>
    <hyperlink ref="S180" r:id="rId768" xr:uid="{00000000-0004-0000-0400-0000FF020000}"/>
    <hyperlink ref="T180" r:id="rId769" xr:uid="{00000000-0004-0000-0400-000000030000}"/>
    <hyperlink ref="U180" r:id="rId770" xr:uid="{00000000-0004-0000-0400-000001030000}"/>
    <hyperlink ref="V180" r:id="rId771" xr:uid="{00000000-0004-0000-0400-000002030000}"/>
    <hyperlink ref="O181" r:id="rId772" xr:uid="{00000000-0004-0000-0400-000003030000}"/>
    <hyperlink ref="P181" r:id="rId773" xr:uid="{00000000-0004-0000-0400-000004030000}"/>
    <hyperlink ref="Q181" r:id="rId774" xr:uid="{00000000-0004-0000-0400-000005030000}"/>
    <hyperlink ref="S181" r:id="rId775" xr:uid="{00000000-0004-0000-0400-000006030000}"/>
    <hyperlink ref="T181" r:id="rId776" xr:uid="{00000000-0004-0000-0400-000007030000}"/>
    <hyperlink ref="U181" r:id="rId777" xr:uid="{00000000-0004-0000-0400-000008030000}"/>
    <hyperlink ref="V181" r:id="rId778" xr:uid="{00000000-0004-0000-0400-000009030000}"/>
    <hyperlink ref="S182" r:id="rId779" xr:uid="{00000000-0004-0000-0400-00000A030000}"/>
    <hyperlink ref="T182" r:id="rId780" xr:uid="{00000000-0004-0000-0400-00000B030000}"/>
    <hyperlink ref="U182" r:id="rId781" xr:uid="{00000000-0004-0000-0400-00000C030000}"/>
    <hyperlink ref="V182" r:id="rId782" xr:uid="{00000000-0004-0000-0400-00000D030000}"/>
    <hyperlink ref="O183" r:id="rId783" xr:uid="{00000000-0004-0000-0400-00000E030000}"/>
    <hyperlink ref="P183" r:id="rId784" xr:uid="{00000000-0004-0000-0400-00000F030000}"/>
    <hyperlink ref="Q183" r:id="rId785" xr:uid="{00000000-0004-0000-0400-000010030000}"/>
    <hyperlink ref="S183" r:id="rId786" xr:uid="{00000000-0004-0000-0400-000011030000}"/>
    <hyperlink ref="T183" r:id="rId787" xr:uid="{00000000-0004-0000-0400-000012030000}"/>
    <hyperlink ref="U183" r:id="rId788" xr:uid="{00000000-0004-0000-0400-000013030000}"/>
    <hyperlink ref="V183" r:id="rId789" xr:uid="{00000000-0004-0000-0400-000014030000}"/>
    <hyperlink ref="O184" r:id="rId790" xr:uid="{00000000-0004-0000-0400-000015030000}"/>
    <hyperlink ref="P184" r:id="rId791" xr:uid="{00000000-0004-0000-0400-000016030000}"/>
    <hyperlink ref="Q184" r:id="rId792" xr:uid="{00000000-0004-0000-0400-000017030000}"/>
    <hyperlink ref="S184" r:id="rId793" xr:uid="{00000000-0004-0000-0400-000018030000}"/>
    <hyperlink ref="T184" r:id="rId794" xr:uid="{00000000-0004-0000-0400-000019030000}"/>
    <hyperlink ref="U184" r:id="rId795" xr:uid="{00000000-0004-0000-0400-00001A030000}"/>
    <hyperlink ref="V184" r:id="rId796" xr:uid="{00000000-0004-0000-0400-00001B030000}"/>
    <hyperlink ref="O185" r:id="rId797" xr:uid="{00000000-0004-0000-0400-00001C030000}"/>
    <hyperlink ref="P185" r:id="rId798" xr:uid="{00000000-0004-0000-0400-00001D030000}"/>
    <hyperlink ref="Q185" r:id="rId799" xr:uid="{00000000-0004-0000-0400-00001E030000}"/>
    <hyperlink ref="S185" r:id="rId800" xr:uid="{00000000-0004-0000-0400-00001F030000}"/>
    <hyperlink ref="T185" r:id="rId801" xr:uid="{00000000-0004-0000-0400-000020030000}"/>
    <hyperlink ref="U185" r:id="rId802" xr:uid="{00000000-0004-0000-0400-000021030000}"/>
    <hyperlink ref="O186" r:id="rId803" xr:uid="{00000000-0004-0000-0400-000022030000}"/>
    <hyperlink ref="P186" r:id="rId804" xr:uid="{00000000-0004-0000-0400-000023030000}"/>
    <hyperlink ref="Q186" r:id="rId805" xr:uid="{00000000-0004-0000-0400-000024030000}"/>
    <hyperlink ref="S186" r:id="rId806" xr:uid="{00000000-0004-0000-0400-000025030000}"/>
    <hyperlink ref="T186" r:id="rId807" xr:uid="{00000000-0004-0000-0400-000026030000}"/>
    <hyperlink ref="U186" r:id="rId808" xr:uid="{00000000-0004-0000-0400-000027030000}"/>
    <hyperlink ref="V186" r:id="rId809" xr:uid="{00000000-0004-0000-0400-000028030000}"/>
    <hyperlink ref="O187" r:id="rId810" xr:uid="{00000000-0004-0000-0400-000029030000}"/>
    <hyperlink ref="P187" r:id="rId811" xr:uid="{00000000-0004-0000-0400-00002A030000}"/>
    <hyperlink ref="Q187" r:id="rId812" xr:uid="{00000000-0004-0000-0400-00002B030000}"/>
    <hyperlink ref="S187" r:id="rId813" xr:uid="{00000000-0004-0000-0400-00002C030000}"/>
    <hyperlink ref="T187" r:id="rId814" xr:uid="{00000000-0004-0000-0400-00002D030000}"/>
    <hyperlink ref="U187" r:id="rId815" xr:uid="{00000000-0004-0000-0400-00002E030000}"/>
    <hyperlink ref="O188" r:id="rId816" xr:uid="{00000000-0004-0000-0400-00002F030000}"/>
    <hyperlink ref="P188" r:id="rId817" xr:uid="{00000000-0004-0000-0400-000030030000}"/>
    <hyperlink ref="Q188" r:id="rId818" xr:uid="{00000000-0004-0000-0400-000031030000}"/>
    <hyperlink ref="S188" r:id="rId819" xr:uid="{00000000-0004-0000-0400-000032030000}"/>
    <hyperlink ref="T188" r:id="rId820" xr:uid="{00000000-0004-0000-0400-000033030000}"/>
    <hyperlink ref="U188" r:id="rId821" xr:uid="{00000000-0004-0000-0400-000034030000}"/>
    <hyperlink ref="V188" r:id="rId822" xr:uid="{00000000-0004-0000-0400-000035030000}"/>
    <hyperlink ref="O189" r:id="rId823" xr:uid="{00000000-0004-0000-0400-000036030000}"/>
    <hyperlink ref="P189" r:id="rId824" xr:uid="{00000000-0004-0000-0400-000037030000}"/>
    <hyperlink ref="Q189" r:id="rId825" xr:uid="{00000000-0004-0000-0400-000038030000}"/>
    <hyperlink ref="S189" r:id="rId826" xr:uid="{00000000-0004-0000-0400-000039030000}"/>
    <hyperlink ref="T189" r:id="rId827" xr:uid="{00000000-0004-0000-0400-00003A030000}"/>
    <hyperlink ref="U189" r:id="rId828" xr:uid="{00000000-0004-0000-0400-00003B030000}"/>
    <hyperlink ref="V189" r:id="rId829" xr:uid="{00000000-0004-0000-0400-00003C030000}"/>
    <hyperlink ref="O190" r:id="rId830" xr:uid="{00000000-0004-0000-0400-00003D030000}"/>
    <hyperlink ref="P190" r:id="rId831" xr:uid="{00000000-0004-0000-0400-00003E030000}"/>
    <hyperlink ref="Q190" r:id="rId832" xr:uid="{00000000-0004-0000-0400-00003F030000}"/>
    <hyperlink ref="S190" r:id="rId833" xr:uid="{00000000-0004-0000-0400-000040030000}"/>
    <hyperlink ref="T190" r:id="rId834" xr:uid="{00000000-0004-0000-0400-000041030000}"/>
    <hyperlink ref="U190" r:id="rId835" xr:uid="{00000000-0004-0000-0400-000042030000}"/>
    <hyperlink ref="V190" r:id="rId836" xr:uid="{00000000-0004-0000-0400-000043030000}"/>
    <hyperlink ref="O191" r:id="rId837" xr:uid="{00000000-0004-0000-0400-000044030000}"/>
    <hyperlink ref="P191" r:id="rId838" xr:uid="{00000000-0004-0000-0400-000045030000}"/>
    <hyperlink ref="Q191" r:id="rId839" xr:uid="{00000000-0004-0000-0400-000046030000}"/>
    <hyperlink ref="S191" r:id="rId840" xr:uid="{00000000-0004-0000-0400-000047030000}"/>
    <hyperlink ref="T191" r:id="rId841" xr:uid="{00000000-0004-0000-0400-000048030000}"/>
    <hyperlink ref="U191" r:id="rId842" xr:uid="{00000000-0004-0000-0400-000049030000}"/>
    <hyperlink ref="V191" r:id="rId843" xr:uid="{00000000-0004-0000-0400-00004A030000}"/>
    <hyperlink ref="O192" r:id="rId844" xr:uid="{00000000-0004-0000-0400-00004B030000}"/>
    <hyperlink ref="P192" r:id="rId845" xr:uid="{00000000-0004-0000-0400-00004C030000}"/>
    <hyperlink ref="Q192" r:id="rId846" xr:uid="{00000000-0004-0000-0400-00004D030000}"/>
    <hyperlink ref="S192" r:id="rId847" xr:uid="{00000000-0004-0000-0400-00004E030000}"/>
    <hyperlink ref="T192" r:id="rId848" xr:uid="{00000000-0004-0000-0400-00004F030000}"/>
    <hyperlink ref="U192" r:id="rId849" xr:uid="{00000000-0004-0000-0400-000050030000}"/>
    <hyperlink ref="V192" r:id="rId850" xr:uid="{00000000-0004-0000-0400-000051030000}"/>
    <hyperlink ref="O193" r:id="rId851" xr:uid="{00000000-0004-0000-0400-000052030000}"/>
    <hyperlink ref="P193" r:id="rId852" xr:uid="{00000000-0004-0000-0400-000053030000}"/>
    <hyperlink ref="Q193" r:id="rId853" xr:uid="{00000000-0004-0000-0400-000054030000}"/>
    <hyperlink ref="S193" r:id="rId854" xr:uid="{00000000-0004-0000-0400-000055030000}"/>
    <hyperlink ref="T193" r:id="rId855" xr:uid="{00000000-0004-0000-0400-000056030000}"/>
    <hyperlink ref="U193" r:id="rId856" xr:uid="{00000000-0004-0000-0400-000057030000}"/>
    <hyperlink ref="O194" r:id="rId857" xr:uid="{00000000-0004-0000-0400-000058030000}"/>
    <hyperlink ref="P194" r:id="rId858" xr:uid="{00000000-0004-0000-0400-000059030000}"/>
    <hyperlink ref="Q194" r:id="rId859" xr:uid="{00000000-0004-0000-0400-00005A030000}"/>
    <hyperlink ref="S194" r:id="rId860" xr:uid="{00000000-0004-0000-0400-00005B030000}"/>
    <hyperlink ref="T194" r:id="rId861" xr:uid="{00000000-0004-0000-0400-00005C030000}"/>
    <hyperlink ref="U194" r:id="rId862" xr:uid="{00000000-0004-0000-0400-00005D030000}"/>
    <hyperlink ref="V194" r:id="rId863" xr:uid="{00000000-0004-0000-0400-00005E030000}"/>
    <hyperlink ref="O195" r:id="rId864" xr:uid="{00000000-0004-0000-0400-00005F030000}"/>
    <hyperlink ref="P195" r:id="rId865" xr:uid="{00000000-0004-0000-0400-000060030000}"/>
    <hyperlink ref="Q195" r:id="rId866" xr:uid="{00000000-0004-0000-0400-000061030000}"/>
    <hyperlink ref="S195" r:id="rId867" xr:uid="{00000000-0004-0000-0400-000062030000}"/>
    <hyperlink ref="T195" r:id="rId868" xr:uid="{00000000-0004-0000-0400-000063030000}"/>
    <hyperlink ref="U195" r:id="rId869" xr:uid="{00000000-0004-0000-0400-000064030000}"/>
    <hyperlink ref="V195" r:id="rId870" xr:uid="{00000000-0004-0000-0400-000065030000}"/>
    <hyperlink ref="O196" r:id="rId871" xr:uid="{00000000-0004-0000-0400-000066030000}"/>
    <hyperlink ref="P196" r:id="rId872" xr:uid="{00000000-0004-0000-0400-000067030000}"/>
    <hyperlink ref="Q196" r:id="rId873" xr:uid="{00000000-0004-0000-0400-000068030000}"/>
    <hyperlink ref="S196" r:id="rId874" xr:uid="{00000000-0004-0000-0400-000069030000}"/>
    <hyperlink ref="T196" r:id="rId875" xr:uid="{00000000-0004-0000-0400-00006A030000}"/>
    <hyperlink ref="U196" r:id="rId876" xr:uid="{00000000-0004-0000-0400-00006B030000}"/>
    <hyperlink ref="V196" r:id="rId877" xr:uid="{00000000-0004-0000-0400-00006C030000}"/>
    <hyperlink ref="O197" r:id="rId878" xr:uid="{00000000-0004-0000-0400-00006D030000}"/>
    <hyperlink ref="P197" r:id="rId879" xr:uid="{00000000-0004-0000-0400-00006E030000}"/>
    <hyperlink ref="Q197" r:id="rId880" xr:uid="{00000000-0004-0000-0400-00006F030000}"/>
    <hyperlink ref="S197" r:id="rId881" xr:uid="{00000000-0004-0000-0400-000070030000}"/>
    <hyperlink ref="T197" r:id="rId882" xr:uid="{00000000-0004-0000-0400-000071030000}"/>
    <hyperlink ref="U197" r:id="rId883" xr:uid="{00000000-0004-0000-0400-000072030000}"/>
    <hyperlink ref="V197" r:id="rId884" xr:uid="{00000000-0004-0000-0400-000073030000}"/>
    <hyperlink ref="O198" r:id="rId885" xr:uid="{00000000-0004-0000-0400-000074030000}"/>
    <hyperlink ref="P198" r:id="rId886" xr:uid="{00000000-0004-0000-0400-000075030000}"/>
    <hyperlink ref="Q198" r:id="rId887" xr:uid="{00000000-0004-0000-0400-000076030000}"/>
    <hyperlink ref="S198" r:id="rId888" xr:uid="{00000000-0004-0000-0400-000077030000}"/>
    <hyperlink ref="T198" r:id="rId889" xr:uid="{00000000-0004-0000-0400-000078030000}"/>
    <hyperlink ref="U198" r:id="rId890" xr:uid="{00000000-0004-0000-0400-000079030000}"/>
    <hyperlink ref="V198" r:id="rId891" xr:uid="{00000000-0004-0000-0400-00007A030000}"/>
    <hyperlink ref="O199" r:id="rId892" xr:uid="{00000000-0004-0000-0400-00007B030000}"/>
    <hyperlink ref="P199" r:id="rId893" xr:uid="{00000000-0004-0000-0400-00007C030000}"/>
    <hyperlink ref="Q199" r:id="rId894" xr:uid="{00000000-0004-0000-0400-00007D030000}"/>
    <hyperlink ref="S199" r:id="rId895" xr:uid="{00000000-0004-0000-0400-00007E030000}"/>
    <hyperlink ref="T199" r:id="rId896" xr:uid="{00000000-0004-0000-0400-00007F030000}"/>
    <hyperlink ref="U199" r:id="rId897" xr:uid="{00000000-0004-0000-0400-000080030000}"/>
    <hyperlink ref="V199" r:id="rId898" xr:uid="{00000000-0004-0000-0400-000081030000}"/>
    <hyperlink ref="O200" r:id="rId899" xr:uid="{00000000-0004-0000-0400-000082030000}"/>
    <hyperlink ref="P200" r:id="rId900" xr:uid="{00000000-0004-0000-0400-000083030000}"/>
    <hyperlink ref="Q200" r:id="rId901" xr:uid="{00000000-0004-0000-0400-000084030000}"/>
    <hyperlink ref="S200" r:id="rId902" xr:uid="{00000000-0004-0000-0400-000085030000}"/>
    <hyperlink ref="T200" r:id="rId903" xr:uid="{00000000-0004-0000-0400-000086030000}"/>
    <hyperlink ref="U200" r:id="rId904" xr:uid="{00000000-0004-0000-0400-000087030000}"/>
    <hyperlink ref="V200" r:id="rId905" xr:uid="{00000000-0004-0000-0400-000088030000}"/>
    <hyperlink ref="O201" r:id="rId906" xr:uid="{00000000-0004-0000-0400-000089030000}"/>
    <hyperlink ref="P201" r:id="rId907" xr:uid="{00000000-0004-0000-0400-00008A030000}"/>
    <hyperlink ref="Q201" r:id="rId908" xr:uid="{00000000-0004-0000-0400-00008B030000}"/>
    <hyperlink ref="S201" r:id="rId909" xr:uid="{00000000-0004-0000-0400-00008C030000}"/>
    <hyperlink ref="T201" r:id="rId910" xr:uid="{00000000-0004-0000-0400-00008D030000}"/>
    <hyperlink ref="U201" r:id="rId911" xr:uid="{00000000-0004-0000-0400-00008E030000}"/>
    <hyperlink ref="O202" r:id="rId912" xr:uid="{00000000-0004-0000-0400-00008F030000}"/>
    <hyperlink ref="P202" r:id="rId913" xr:uid="{00000000-0004-0000-0400-000090030000}"/>
    <hyperlink ref="Q202" r:id="rId914" xr:uid="{00000000-0004-0000-0400-000091030000}"/>
    <hyperlink ref="S202" r:id="rId915" xr:uid="{00000000-0004-0000-0400-000092030000}"/>
    <hyperlink ref="T202" r:id="rId916" xr:uid="{00000000-0004-0000-0400-000093030000}"/>
    <hyperlink ref="U202" r:id="rId917" xr:uid="{00000000-0004-0000-0400-000094030000}"/>
    <hyperlink ref="V202" r:id="rId918" xr:uid="{00000000-0004-0000-0400-000095030000}"/>
    <hyperlink ref="Q203" r:id="rId919" xr:uid="{00000000-0004-0000-0400-000096030000}"/>
    <hyperlink ref="S203" r:id="rId920" xr:uid="{00000000-0004-0000-0400-000097030000}"/>
    <hyperlink ref="T203" r:id="rId921" xr:uid="{00000000-0004-0000-0400-000098030000}"/>
    <hyperlink ref="U203" r:id="rId922" xr:uid="{00000000-0004-0000-0400-000099030000}"/>
    <hyperlink ref="V203" r:id="rId923" xr:uid="{00000000-0004-0000-0400-00009A030000}"/>
    <hyperlink ref="O204" r:id="rId924" xr:uid="{00000000-0004-0000-0400-00009B030000}"/>
    <hyperlink ref="P204" r:id="rId925" xr:uid="{00000000-0004-0000-0400-00009C030000}"/>
    <hyperlink ref="Q204" r:id="rId926" xr:uid="{00000000-0004-0000-0400-00009D030000}"/>
    <hyperlink ref="S204" r:id="rId927" xr:uid="{00000000-0004-0000-0400-00009E030000}"/>
    <hyperlink ref="T204" r:id="rId928" xr:uid="{00000000-0004-0000-0400-00009F030000}"/>
    <hyperlink ref="U204" r:id="rId929" xr:uid="{00000000-0004-0000-0400-0000A0030000}"/>
    <hyperlink ref="V204" r:id="rId930" xr:uid="{00000000-0004-0000-0400-0000A1030000}"/>
    <hyperlink ref="Q205" r:id="rId931" xr:uid="{00000000-0004-0000-0400-0000A2030000}"/>
    <hyperlink ref="S205" r:id="rId932" xr:uid="{00000000-0004-0000-0400-0000A3030000}"/>
    <hyperlink ref="T205" r:id="rId933" xr:uid="{00000000-0004-0000-0400-0000A4030000}"/>
    <hyperlink ref="U205" r:id="rId934" xr:uid="{00000000-0004-0000-0400-0000A5030000}"/>
    <hyperlink ref="V205" r:id="rId935" xr:uid="{00000000-0004-0000-0400-0000A6030000}"/>
    <hyperlink ref="O206" r:id="rId936" xr:uid="{00000000-0004-0000-0400-0000A7030000}"/>
    <hyperlink ref="P206" r:id="rId937" xr:uid="{00000000-0004-0000-0400-0000A8030000}"/>
    <hyperlink ref="Q206" r:id="rId938" xr:uid="{00000000-0004-0000-0400-0000A9030000}"/>
    <hyperlink ref="S206" r:id="rId939" xr:uid="{00000000-0004-0000-0400-0000AA030000}"/>
    <hyperlink ref="T206" r:id="rId940" xr:uid="{00000000-0004-0000-0400-0000AB030000}"/>
    <hyperlink ref="U206" r:id="rId941" xr:uid="{00000000-0004-0000-0400-0000AC030000}"/>
    <hyperlink ref="V206" r:id="rId942" xr:uid="{00000000-0004-0000-0400-0000AD030000}"/>
    <hyperlink ref="O207" r:id="rId943" xr:uid="{00000000-0004-0000-0400-0000AE030000}"/>
    <hyperlink ref="P207" r:id="rId944" xr:uid="{00000000-0004-0000-0400-0000AF030000}"/>
    <hyperlink ref="Q207" r:id="rId945" xr:uid="{00000000-0004-0000-0400-0000B0030000}"/>
    <hyperlink ref="S207" r:id="rId946" xr:uid="{00000000-0004-0000-0400-0000B1030000}"/>
    <hyperlink ref="T207" r:id="rId947" xr:uid="{00000000-0004-0000-0400-0000B2030000}"/>
    <hyperlink ref="U207" r:id="rId948" xr:uid="{00000000-0004-0000-0400-0000B3030000}"/>
    <hyperlink ref="O208" r:id="rId949" xr:uid="{00000000-0004-0000-0400-0000B4030000}"/>
    <hyperlink ref="P208" r:id="rId950" xr:uid="{00000000-0004-0000-0400-0000B5030000}"/>
    <hyperlink ref="Q208" r:id="rId951" xr:uid="{00000000-0004-0000-0400-0000B6030000}"/>
    <hyperlink ref="S208" r:id="rId952" xr:uid="{00000000-0004-0000-0400-0000B7030000}"/>
    <hyperlink ref="T208" r:id="rId953" xr:uid="{00000000-0004-0000-0400-0000B8030000}"/>
    <hyperlink ref="U208" r:id="rId954" xr:uid="{00000000-0004-0000-0400-0000B9030000}"/>
    <hyperlink ref="V208" r:id="rId955" xr:uid="{00000000-0004-0000-0400-0000BA030000}"/>
    <hyperlink ref="O209" r:id="rId956" xr:uid="{00000000-0004-0000-0400-0000BB030000}"/>
    <hyperlink ref="P209" r:id="rId957" xr:uid="{00000000-0004-0000-0400-0000BC030000}"/>
    <hyperlink ref="Q209" r:id="rId958" xr:uid="{00000000-0004-0000-0400-0000BD030000}"/>
    <hyperlink ref="S209" r:id="rId959" xr:uid="{00000000-0004-0000-0400-0000BE030000}"/>
    <hyperlink ref="T209" r:id="rId960" xr:uid="{00000000-0004-0000-0400-0000BF030000}"/>
    <hyperlink ref="U209" r:id="rId961" xr:uid="{00000000-0004-0000-0400-0000C0030000}"/>
    <hyperlink ref="V209" r:id="rId962" xr:uid="{00000000-0004-0000-0400-0000C1030000}"/>
    <hyperlink ref="O210" r:id="rId963" xr:uid="{00000000-0004-0000-0400-0000C2030000}"/>
    <hyperlink ref="P210" r:id="rId964" xr:uid="{00000000-0004-0000-0400-0000C3030000}"/>
    <hyperlink ref="Q210" r:id="rId965" xr:uid="{00000000-0004-0000-0400-0000C4030000}"/>
    <hyperlink ref="S210" r:id="rId966" xr:uid="{00000000-0004-0000-0400-0000C5030000}"/>
    <hyperlink ref="T210" r:id="rId967" xr:uid="{00000000-0004-0000-0400-0000C6030000}"/>
    <hyperlink ref="U210" r:id="rId968" xr:uid="{00000000-0004-0000-0400-0000C7030000}"/>
    <hyperlink ref="V210" r:id="rId969" xr:uid="{00000000-0004-0000-0400-0000C8030000}"/>
    <hyperlink ref="O211" r:id="rId970" xr:uid="{00000000-0004-0000-0400-0000C9030000}"/>
    <hyperlink ref="P211" r:id="rId971" xr:uid="{00000000-0004-0000-0400-0000CA030000}"/>
    <hyperlink ref="Q211" r:id="rId972" xr:uid="{00000000-0004-0000-0400-0000CB030000}"/>
    <hyperlink ref="S211" r:id="rId973" xr:uid="{00000000-0004-0000-0400-0000CC030000}"/>
    <hyperlink ref="T211" r:id="rId974" xr:uid="{00000000-0004-0000-0400-0000CD030000}"/>
    <hyperlink ref="U211" r:id="rId975" xr:uid="{00000000-0004-0000-0400-0000CE030000}"/>
    <hyperlink ref="V211" r:id="rId976" xr:uid="{00000000-0004-0000-0400-0000CF030000}"/>
    <hyperlink ref="O212" r:id="rId977" xr:uid="{00000000-0004-0000-0400-0000D0030000}"/>
    <hyperlink ref="P212" r:id="rId978" xr:uid="{00000000-0004-0000-0400-0000D1030000}"/>
    <hyperlink ref="Q212" r:id="rId979" xr:uid="{00000000-0004-0000-0400-0000D2030000}"/>
    <hyperlink ref="S212" r:id="rId980" xr:uid="{00000000-0004-0000-0400-0000D3030000}"/>
    <hyperlink ref="T212" r:id="rId981" xr:uid="{00000000-0004-0000-0400-0000D4030000}"/>
    <hyperlink ref="U212" r:id="rId982" xr:uid="{00000000-0004-0000-0400-0000D5030000}"/>
    <hyperlink ref="V212" r:id="rId983" xr:uid="{00000000-0004-0000-0400-0000D6030000}"/>
    <hyperlink ref="O213" r:id="rId984" xr:uid="{00000000-0004-0000-0400-0000D7030000}"/>
    <hyperlink ref="P213" r:id="rId985" xr:uid="{00000000-0004-0000-0400-0000D8030000}"/>
    <hyperlink ref="Q213" r:id="rId986" xr:uid="{00000000-0004-0000-0400-0000D9030000}"/>
    <hyperlink ref="S213" r:id="rId987" xr:uid="{00000000-0004-0000-0400-0000DA030000}"/>
    <hyperlink ref="T213" r:id="rId988" xr:uid="{00000000-0004-0000-0400-0000DB030000}"/>
    <hyperlink ref="U213" r:id="rId989" xr:uid="{00000000-0004-0000-0400-0000DC030000}"/>
    <hyperlink ref="V213" r:id="rId990" xr:uid="{00000000-0004-0000-0400-0000DD030000}"/>
    <hyperlink ref="O214" r:id="rId991" xr:uid="{00000000-0004-0000-0400-0000DE030000}"/>
    <hyperlink ref="P214" r:id="rId992" xr:uid="{00000000-0004-0000-0400-0000DF030000}"/>
    <hyperlink ref="Q214" r:id="rId993" xr:uid="{00000000-0004-0000-0400-0000E0030000}"/>
    <hyperlink ref="S214" r:id="rId994" xr:uid="{00000000-0004-0000-0400-0000E1030000}"/>
    <hyperlink ref="T214" r:id="rId995" xr:uid="{00000000-0004-0000-0400-0000E2030000}"/>
    <hyperlink ref="U214" r:id="rId996" xr:uid="{00000000-0004-0000-0400-0000E3030000}"/>
    <hyperlink ref="V214" r:id="rId997" xr:uid="{00000000-0004-0000-0400-0000E4030000}"/>
    <hyperlink ref="O215" r:id="rId998" xr:uid="{00000000-0004-0000-0400-0000E5030000}"/>
    <hyperlink ref="P215" r:id="rId999" xr:uid="{00000000-0004-0000-0400-0000E6030000}"/>
    <hyperlink ref="Q215" r:id="rId1000" xr:uid="{00000000-0004-0000-0400-0000E7030000}"/>
    <hyperlink ref="S215" r:id="rId1001" xr:uid="{00000000-0004-0000-0400-0000E8030000}"/>
    <hyperlink ref="T215" r:id="rId1002" xr:uid="{00000000-0004-0000-0400-0000E9030000}"/>
    <hyperlink ref="U215" r:id="rId1003" xr:uid="{00000000-0004-0000-0400-0000EA030000}"/>
    <hyperlink ref="V215" r:id="rId1004" xr:uid="{00000000-0004-0000-0400-0000EB030000}"/>
    <hyperlink ref="O216" r:id="rId1005" xr:uid="{00000000-0004-0000-0400-0000EC030000}"/>
    <hyperlink ref="P216" r:id="rId1006" xr:uid="{00000000-0004-0000-0400-0000ED030000}"/>
    <hyperlink ref="Q216" r:id="rId1007" xr:uid="{00000000-0004-0000-0400-0000EE030000}"/>
    <hyperlink ref="S216" r:id="rId1008" xr:uid="{00000000-0004-0000-0400-0000EF030000}"/>
    <hyperlink ref="T216" r:id="rId1009" xr:uid="{00000000-0004-0000-0400-0000F0030000}"/>
    <hyperlink ref="U216" r:id="rId1010" xr:uid="{00000000-0004-0000-0400-0000F1030000}"/>
    <hyperlink ref="V216" r:id="rId1011" xr:uid="{00000000-0004-0000-0400-0000F2030000}"/>
    <hyperlink ref="O217" r:id="rId1012" xr:uid="{00000000-0004-0000-0400-0000F3030000}"/>
    <hyperlink ref="P217" r:id="rId1013" xr:uid="{00000000-0004-0000-0400-0000F4030000}"/>
    <hyperlink ref="Q217" r:id="rId1014" xr:uid="{00000000-0004-0000-0400-0000F5030000}"/>
    <hyperlink ref="S217" r:id="rId1015" xr:uid="{00000000-0004-0000-0400-0000F6030000}"/>
    <hyperlink ref="T217" r:id="rId1016" xr:uid="{00000000-0004-0000-0400-0000F7030000}"/>
    <hyperlink ref="U217" r:id="rId1017" xr:uid="{00000000-0004-0000-0400-0000F8030000}"/>
    <hyperlink ref="V217" r:id="rId1018" xr:uid="{00000000-0004-0000-0400-0000F9030000}"/>
    <hyperlink ref="O218" r:id="rId1019" xr:uid="{00000000-0004-0000-0400-0000FA030000}"/>
    <hyperlink ref="P218" r:id="rId1020" xr:uid="{00000000-0004-0000-0400-0000FB030000}"/>
    <hyperlink ref="Q218" r:id="rId1021" xr:uid="{00000000-0004-0000-0400-0000FC030000}"/>
    <hyperlink ref="S218" r:id="rId1022" xr:uid="{00000000-0004-0000-0400-0000FD030000}"/>
    <hyperlink ref="T218" r:id="rId1023" xr:uid="{00000000-0004-0000-0400-0000FE030000}"/>
    <hyperlink ref="U218" r:id="rId1024" xr:uid="{00000000-0004-0000-0400-0000FF030000}"/>
    <hyperlink ref="O219" r:id="rId1025" xr:uid="{00000000-0004-0000-0400-000000040000}"/>
    <hyperlink ref="P219" r:id="rId1026" xr:uid="{00000000-0004-0000-0400-000001040000}"/>
    <hyperlink ref="Q219" r:id="rId1027" xr:uid="{00000000-0004-0000-0400-000002040000}"/>
    <hyperlink ref="S219" r:id="rId1028" xr:uid="{00000000-0004-0000-0400-000003040000}"/>
    <hyperlink ref="T219" r:id="rId1029" xr:uid="{00000000-0004-0000-0400-000004040000}"/>
    <hyperlink ref="U219" r:id="rId1030" xr:uid="{00000000-0004-0000-0400-000005040000}"/>
    <hyperlink ref="O220" r:id="rId1031" xr:uid="{00000000-0004-0000-0400-000006040000}"/>
    <hyperlink ref="P220" r:id="rId1032" xr:uid="{00000000-0004-0000-0400-000007040000}"/>
    <hyperlink ref="Q220" r:id="rId1033" xr:uid="{00000000-0004-0000-0400-000008040000}"/>
    <hyperlink ref="S220" r:id="rId1034" xr:uid="{00000000-0004-0000-0400-000009040000}"/>
    <hyperlink ref="T220" r:id="rId1035" xr:uid="{00000000-0004-0000-0400-00000A040000}"/>
    <hyperlink ref="U220" r:id="rId1036" xr:uid="{00000000-0004-0000-0400-00000B040000}"/>
    <hyperlink ref="O221" r:id="rId1037" xr:uid="{00000000-0004-0000-0400-00000C040000}"/>
    <hyperlink ref="P221" r:id="rId1038" xr:uid="{00000000-0004-0000-0400-00000D040000}"/>
    <hyperlink ref="Q221" r:id="rId1039" xr:uid="{00000000-0004-0000-0400-00000E040000}"/>
    <hyperlink ref="S221" r:id="rId1040" xr:uid="{00000000-0004-0000-0400-00000F040000}"/>
    <hyperlink ref="T221" r:id="rId1041" xr:uid="{00000000-0004-0000-0400-000010040000}"/>
    <hyperlink ref="U221" r:id="rId1042" xr:uid="{00000000-0004-0000-0400-000011040000}"/>
    <hyperlink ref="O222" r:id="rId1043" xr:uid="{00000000-0004-0000-0400-000012040000}"/>
    <hyperlink ref="P222" r:id="rId1044" xr:uid="{00000000-0004-0000-0400-000013040000}"/>
    <hyperlink ref="Q222" r:id="rId1045" xr:uid="{00000000-0004-0000-0400-000014040000}"/>
    <hyperlink ref="S222" r:id="rId1046" xr:uid="{00000000-0004-0000-0400-000015040000}"/>
    <hyperlink ref="T222" r:id="rId1047" xr:uid="{00000000-0004-0000-0400-000016040000}"/>
    <hyperlink ref="U222" r:id="rId1048" xr:uid="{00000000-0004-0000-0400-000017040000}"/>
    <hyperlink ref="V222" r:id="rId1049" xr:uid="{00000000-0004-0000-0400-000018040000}"/>
    <hyperlink ref="O223" r:id="rId1050" xr:uid="{00000000-0004-0000-0400-000019040000}"/>
    <hyperlink ref="P223" r:id="rId1051" xr:uid="{00000000-0004-0000-0400-00001A040000}"/>
    <hyperlink ref="Q223" r:id="rId1052" xr:uid="{00000000-0004-0000-0400-00001B040000}"/>
    <hyperlink ref="S223" r:id="rId1053" xr:uid="{00000000-0004-0000-0400-00001C040000}"/>
    <hyperlink ref="T223" r:id="rId1054" xr:uid="{00000000-0004-0000-0400-00001D040000}"/>
    <hyperlink ref="U223" r:id="rId1055" xr:uid="{00000000-0004-0000-0400-00001E040000}"/>
    <hyperlink ref="O224" r:id="rId1056" xr:uid="{00000000-0004-0000-0400-00001F040000}"/>
    <hyperlink ref="P224" r:id="rId1057" xr:uid="{00000000-0004-0000-0400-000020040000}"/>
    <hyperlink ref="Q224" r:id="rId1058" xr:uid="{00000000-0004-0000-0400-000021040000}"/>
    <hyperlink ref="S224" r:id="rId1059" xr:uid="{00000000-0004-0000-0400-000022040000}"/>
    <hyperlink ref="T224" r:id="rId1060" xr:uid="{00000000-0004-0000-0400-000023040000}"/>
    <hyperlink ref="U224" r:id="rId1061" xr:uid="{00000000-0004-0000-0400-000024040000}"/>
    <hyperlink ref="V224" r:id="rId1062" xr:uid="{00000000-0004-0000-0400-000025040000}"/>
    <hyperlink ref="O225" r:id="rId1063" xr:uid="{00000000-0004-0000-0400-000026040000}"/>
    <hyperlink ref="P225" r:id="rId1064" xr:uid="{00000000-0004-0000-0400-000027040000}"/>
    <hyperlink ref="Q225" r:id="rId1065" xr:uid="{00000000-0004-0000-0400-000028040000}"/>
    <hyperlink ref="S225" r:id="rId1066" xr:uid="{00000000-0004-0000-0400-000029040000}"/>
    <hyperlink ref="T225" r:id="rId1067" xr:uid="{00000000-0004-0000-0400-00002A040000}"/>
    <hyperlink ref="U225" r:id="rId1068" xr:uid="{00000000-0004-0000-0400-00002B040000}"/>
    <hyperlink ref="O226" r:id="rId1069" xr:uid="{00000000-0004-0000-0400-00002C040000}"/>
    <hyperlink ref="P226" r:id="rId1070" xr:uid="{00000000-0004-0000-0400-00002D040000}"/>
    <hyperlink ref="Q226" r:id="rId1071" xr:uid="{00000000-0004-0000-0400-00002E040000}"/>
    <hyperlink ref="S226" r:id="rId1072" xr:uid="{00000000-0004-0000-0400-00002F040000}"/>
    <hyperlink ref="T226" r:id="rId1073" xr:uid="{00000000-0004-0000-0400-000030040000}"/>
    <hyperlink ref="U226" r:id="rId1074" xr:uid="{00000000-0004-0000-0400-000031040000}"/>
    <hyperlink ref="V226" r:id="rId1075" xr:uid="{00000000-0004-0000-0400-000032040000}"/>
    <hyperlink ref="O227" r:id="rId1076" xr:uid="{00000000-0004-0000-0400-000033040000}"/>
    <hyperlink ref="P227" r:id="rId1077" xr:uid="{00000000-0004-0000-0400-000034040000}"/>
    <hyperlink ref="Q227" r:id="rId1078" xr:uid="{00000000-0004-0000-0400-000035040000}"/>
    <hyperlink ref="S227" r:id="rId1079" xr:uid="{00000000-0004-0000-0400-000036040000}"/>
    <hyperlink ref="T227" r:id="rId1080" xr:uid="{00000000-0004-0000-0400-000037040000}"/>
    <hyperlink ref="U227" r:id="rId1081" xr:uid="{00000000-0004-0000-0400-000038040000}"/>
    <hyperlink ref="V227" r:id="rId1082" xr:uid="{00000000-0004-0000-0400-000039040000}"/>
    <hyperlink ref="O228" r:id="rId1083" xr:uid="{00000000-0004-0000-0400-00003A040000}"/>
    <hyperlink ref="P228" r:id="rId1084" xr:uid="{00000000-0004-0000-0400-00003B040000}"/>
    <hyperlink ref="Q228" r:id="rId1085" xr:uid="{00000000-0004-0000-0400-00003C040000}"/>
    <hyperlink ref="S228" r:id="rId1086" xr:uid="{00000000-0004-0000-0400-00003D040000}"/>
    <hyperlink ref="T228" r:id="rId1087" xr:uid="{00000000-0004-0000-0400-00003E040000}"/>
    <hyperlink ref="U228" r:id="rId1088" xr:uid="{00000000-0004-0000-0400-00003F040000}"/>
    <hyperlink ref="V228" r:id="rId1089" xr:uid="{00000000-0004-0000-0400-000040040000}"/>
    <hyperlink ref="O229" r:id="rId1090" xr:uid="{00000000-0004-0000-0400-000041040000}"/>
    <hyperlink ref="P229" r:id="rId1091" xr:uid="{00000000-0004-0000-0400-000042040000}"/>
    <hyperlink ref="Q229" r:id="rId1092" xr:uid="{00000000-0004-0000-0400-000043040000}"/>
    <hyperlink ref="S229" r:id="rId1093" xr:uid="{00000000-0004-0000-0400-000044040000}"/>
    <hyperlink ref="T229" r:id="rId1094" xr:uid="{00000000-0004-0000-0400-000045040000}"/>
    <hyperlink ref="U229" r:id="rId1095" xr:uid="{00000000-0004-0000-0400-000046040000}"/>
    <hyperlink ref="V229" r:id="rId1096" xr:uid="{00000000-0004-0000-0400-000047040000}"/>
    <hyperlink ref="O230" r:id="rId1097" xr:uid="{00000000-0004-0000-0400-000048040000}"/>
    <hyperlink ref="P230" r:id="rId1098" xr:uid="{00000000-0004-0000-0400-000049040000}"/>
    <hyperlink ref="Q230" r:id="rId1099" xr:uid="{00000000-0004-0000-0400-00004A040000}"/>
    <hyperlink ref="S230" r:id="rId1100" xr:uid="{00000000-0004-0000-0400-00004B040000}"/>
    <hyperlink ref="T230" r:id="rId1101" xr:uid="{00000000-0004-0000-0400-00004C040000}"/>
    <hyperlink ref="U230" r:id="rId1102" xr:uid="{00000000-0004-0000-0400-00004D040000}"/>
    <hyperlink ref="V230" r:id="rId1103" xr:uid="{00000000-0004-0000-0400-00004E040000}"/>
    <hyperlink ref="O231" r:id="rId1104" xr:uid="{00000000-0004-0000-0400-00004F040000}"/>
    <hyperlink ref="P231" r:id="rId1105" xr:uid="{00000000-0004-0000-0400-000050040000}"/>
    <hyperlink ref="Q231" r:id="rId1106" xr:uid="{00000000-0004-0000-0400-000051040000}"/>
    <hyperlink ref="S231" r:id="rId1107" xr:uid="{00000000-0004-0000-0400-000052040000}"/>
    <hyperlink ref="T231" r:id="rId1108" xr:uid="{00000000-0004-0000-0400-000053040000}"/>
    <hyperlink ref="U231" r:id="rId1109" xr:uid="{00000000-0004-0000-0400-000054040000}"/>
    <hyperlink ref="O232" r:id="rId1110" xr:uid="{00000000-0004-0000-0400-000055040000}"/>
    <hyperlink ref="P232" r:id="rId1111" xr:uid="{00000000-0004-0000-0400-000056040000}"/>
    <hyperlink ref="Q232" r:id="rId1112" xr:uid="{00000000-0004-0000-0400-000057040000}"/>
    <hyperlink ref="S232" r:id="rId1113" xr:uid="{00000000-0004-0000-0400-000058040000}"/>
    <hyperlink ref="T232" r:id="rId1114" xr:uid="{00000000-0004-0000-0400-000059040000}"/>
    <hyperlink ref="U232" r:id="rId1115" xr:uid="{00000000-0004-0000-0400-00005A040000}"/>
    <hyperlink ref="V232" r:id="rId1116" xr:uid="{00000000-0004-0000-0400-00005B040000}"/>
    <hyperlink ref="O233" r:id="rId1117" xr:uid="{00000000-0004-0000-0400-00005C040000}"/>
    <hyperlink ref="P233" r:id="rId1118" xr:uid="{00000000-0004-0000-0400-00005D040000}"/>
    <hyperlink ref="Q233" r:id="rId1119" xr:uid="{00000000-0004-0000-0400-00005E040000}"/>
    <hyperlink ref="S233" r:id="rId1120" xr:uid="{00000000-0004-0000-0400-00005F040000}"/>
    <hyperlink ref="T233" r:id="rId1121" xr:uid="{00000000-0004-0000-0400-000060040000}"/>
    <hyperlink ref="U233" r:id="rId1122" xr:uid="{00000000-0004-0000-0400-000061040000}"/>
    <hyperlink ref="O234" r:id="rId1123" xr:uid="{00000000-0004-0000-0400-000062040000}"/>
    <hyperlink ref="P234" r:id="rId1124" xr:uid="{00000000-0004-0000-0400-000063040000}"/>
    <hyperlink ref="Q234" r:id="rId1125" xr:uid="{00000000-0004-0000-0400-000064040000}"/>
    <hyperlink ref="S234" r:id="rId1126" xr:uid="{00000000-0004-0000-0400-000065040000}"/>
    <hyperlink ref="T234" r:id="rId1127" xr:uid="{00000000-0004-0000-0400-000066040000}"/>
    <hyperlink ref="U234" r:id="rId1128" xr:uid="{00000000-0004-0000-0400-000067040000}"/>
    <hyperlink ref="V234" r:id="rId1129" xr:uid="{00000000-0004-0000-0400-000068040000}"/>
    <hyperlink ref="O235" r:id="rId1130" xr:uid="{00000000-0004-0000-0400-000069040000}"/>
    <hyperlink ref="P235" r:id="rId1131" xr:uid="{00000000-0004-0000-0400-00006A040000}"/>
    <hyperlink ref="Q235" r:id="rId1132" xr:uid="{00000000-0004-0000-0400-00006B040000}"/>
    <hyperlink ref="S235" r:id="rId1133" xr:uid="{00000000-0004-0000-0400-00006C040000}"/>
    <hyperlink ref="T235" r:id="rId1134" xr:uid="{00000000-0004-0000-0400-00006D040000}"/>
    <hyperlink ref="U235" r:id="rId1135" xr:uid="{00000000-0004-0000-0400-00006E040000}"/>
    <hyperlink ref="V235" r:id="rId1136" xr:uid="{00000000-0004-0000-0400-00006F040000}"/>
    <hyperlink ref="O236" r:id="rId1137" xr:uid="{00000000-0004-0000-0400-000070040000}"/>
    <hyperlink ref="P236" r:id="rId1138" xr:uid="{00000000-0004-0000-0400-000071040000}"/>
    <hyperlink ref="Q236" r:id="rId1139" xr:uid="{00000000-0004-0000-0400-000072040000}"/>
    <hyperlink ref="S236" r:id="rId1140" xr:uid="{00000000-0004-0000-0400-000073040000}"/>
    <hyperlink ref="T236" r:id="rId1141" xr:uid="{00000000-0004-0000-0400-000074040000}"/>
    <hyperlink ref="U236" r:id="rId1142" xr:uid="{00000000-0004-0000-0400-000075040000}"/>
    <hyperlink ref="V236" r:id="rId1143" xr:uid="{00000000-0004-0000-0400-000076040000}"/>
    <hyperlink ref="O237" r:id="rId1144" xr:uid="{00000000-0004-0000-0400-000077040000}"/>
    <hyperlink ref="P237" r:id="rId1145" xr:uid="{00000000-0004-0000-0400-000078040000}"/>
    <hyperlink ref="Q237" r:id="rId1146" xr:uid="{00000000-0004-0000-0400-000079040000}"/>
    <hyperlink ref="S237" r:id="rId1147" xr:uid="{00000000-0004-0000-0400-00007A040000}"/>
    <hyperlink ref="T237" r:id="rId1148" xr:uid="{00000000-0004-0000-0400-00007B040000}"/>
    <hyperlink ref="U237" r:id="rId1149" xr:uid="{00000000-0004-0000-0400-00007C040000}"/>
    <hyperlink ref="V237" r:id="rId1150" xr:uid="{00000000-0004-0000-0400-00007D040000}"/>
    <hyperlink ref="O238" r:id="rId1151" xr:uid="{00000000-0004-0000-0400-00007E040000}"/>
    <hyperlink ref="P238" r:id="rId1152" xr:uid="{00000000-0004-0000-0400-00007F040000}"/>
    <hyperlink ref="Q238" r:id="rId1153" xr:uid="{00000000-0004-0000-0400-000080040000}"/>
    <hyperlink ref="S238" r:id="rId1154" xr:uid="{00000000-0004-0000-0400-000081040000}"/>
    <hyperlink ref="T238" r:id="rId1155" xr:uid="{00000000-0004-0000-0400-000082040000}"/>
    <hyperlink ref="U238" r:id="rId1156" xr:uid="{00000000-0004-0000-0400-000083040000}"/>
    <hyperlink ref="V238" r:id="rId1157" xr:uid="{00000000-0004-0000-0400-000084040000}"/>
    <hyperlink ref="O239" r:id="rId1158" xr:uid="{00000000-0004-0000-0400-000085040000}"/>
    <hyperlink ref="P239" r:id="rId1159" xr:uid="{00000000-0004-0000-0400-000086040000}"/>
    <hyperlink ref="Q239" r:id="rId1160" xr:uid="{00000000-0004-0000-0400-000087040000}"/>
    <hyperlink ref="S239" r:id="rId1161" xr:uid="{00000000-0004-0000-0400-000088040000}"/>
    <hyperlink ref="T239" r:id="rId1162" xr:uid="{00000000-0004-0000-0400-000089040000}"/>
    <hyperlink ref="U239" r:id="rId1163" xr:uid="{00000000-0004-0000-0400-00008A040000}"/>
    <hyperlink ref="O240" r:id="rId1164" xr:uid="{00000000-0004-0000-0400-00008B040000}"/>
    <hyperlink ref="P240" r:id="rId1165" xr:uid="{00000000-0004-0000-0400-00008C040000}"/>
    <hyperlink ref="Q240" r:id="rId1166" xr:uid="{00000000-0004-0000-0400-00008D040000}"/>
    <hyperlink ref="S240" r:id="rId1167" xr:uid="{00000000-0004-0000-0400-00008E040000}"/>
    <hyperlink ref="T240" r:id="rId1168" xr:uid="{00000000-0004-0000-0400-00008F040000}"/>
    <hyperlink ref="U240" r:id="rId1169" xr:uid="{00000000-0004-0000-0400-000090040000}"/>
    <hyperlink ref="O241" r:id="rId1170" xr:uid="{00000000-0004-0000-0400-000091040000}"/>
    <hyperlink ref="P241" r:id="rId1171" xr:uid="{00000000-0004-0000-0400-000092040000}"/>
    <hyperlink ref="Q241" r:id="rId1172" xr:uid="{00000000-0004-0000-0400-000093040000}"/>
    <hyperlink ref="S241" r:id="rId1173" xr:uid="{00000000-0004-0000-0400-000094040000}"/>
    <hyperlink ref="T241" r:id="rId1174" xr:uid="{00000000-0004-0000-0400-000095040000}"/>
    <hyperlink ref="U241" r:id="rId1175" xr:uid="{00000000-0004-0000-0400-000096040000}"/>
    <hyperlink ref="V241" r:id="rId1176" xr:uid="{00000000-0004-0000-0400-000097040000}"/>
    <hyperlink ref="O242" r:id="rId1177" xr:uid="{00000000-0004-0000-0400-000098040000}"/>
    <hyperlink ref="P242" r:id="rId1178" xr:uid="{00000000-0004-0000-0400-000099040000}"/>
    <hyperlink ref="Q242" r:id="rId1179" xr:uid="{00000000-0004-0000-0400-00009A040000}"/>
    <hyperlink ref="S242" r:id="rId1180" xr:uid="{00000000-0004-0000-0400-00009B040000}"/>
    <hyperlink ref="T242" r:id="rId1181" xr:uid="{00000000-0004-0000-0400-00009C040000}"/>
    <hyperlink ref="U242" r:id="rId1182" xr:uid="{00000000-0004-0000-0400-00009D040000}"/>
    <hyperlink ref="V242" r:id="rId1183" xr:uid="{00000000-0004-0000-0400-00009E040000}"/>
    <hyperlink ref="O243" r:id="rId1184" xr:uid="{00000000-0004-0000-0400-00009F040000}"/>
    <hyperlink ref="P243" r:id="rId1185" xr:uid="{00000000-0004-0000-0400-0000A0040000}"/>
    <hyperlink ref="Q243" r:id="rId1186" xr:uid="{00000000-0004-0000-0400-0000A1040000}"/>
    <hyperlink ref="S243" r:id="rId1187" xr:uid="{00000000-0004-0000-0400-0000A2040000}"/>
    <hyperlink ref="T243" r:id="rId1188" xr:uid="{00000000-0004-0000-0400-0000A3040000}"/>
    <hyperlink ref="U243" r:id="rId1189" xr:uid="{00000000-0004-0000-0400-0000A4040000}"/>
    <hyperlink ref="V243" r:id="rId1190" xr:uid="{00000000-0004-0000-0400-0000A5040000}"/>
    <hyperlink ref="O244" r:id="rId1191" xr:uid="{00000000-0004-0000-0400-0000A6040000}"/>
    <hyperlink ref="P244" r:id="rId1192" xr:uid="{00000000-0004-0000-0400-0000A7040000}"/>
    <hyperlink ref="Q244" r:id="rId1193" xr:uid="{00000000-0004-0000-0400-0000A8040000}"/>
    <hyperlink ref="S244" r:id="rId1194" xr:uid="{00000000-0004-0000-0400-0000A9040000}"/>
    <hyperlink ref="T244" r:id="rId1195" xr:uid="{00000000-0004-0000-0400-0000AA040000}"/>
    <hyperlink ref="U244" r:id="rId1196" xr:uid="{00000000-0004-0000-0400-0000AB040000}"/>
    <hyperlink ref="V244" r:id="rId1197" xr:uid="{00000000-0004-0000-0400-0000AC040000}"/>
    <hyperlink ref="O245" r:id="rId1198" xr:uid="{00000000-0004-0000-0400-0000AD040000}"/>
    <hyperlink ref="P245" r:id="rId1199" xr:uid="{00000000-0004-0000-0400-0000AE040000}"/>
    <hyperlink ref="Q245" r:id="rId1200" xr:uid="{00000000-0004-0000-0400-0000AF040000}"/>
    <hyperlink ref="S245" r:id="rId1201" xr:uid="{00000000-0004-0000-0400-0000B0040000}"/>
    <hyperlink ref="T245" r:id="rId1202" xr:uid="{00000000-0004-0000-0400-0000B1040000}"/>
    <hyperlink ref="U245" r:id="rId1203" xr:uid="{00000000-0004-0000-0400-0000B2040000}"/>
    <hyperlink ref="V245" r:id="rId1204" xr:uid="{00000000-0004-0000-0400-0000B3040000}"/>
    <hyperlink ref="O246" r:id="rId1205" xr:uid="{00000000-0004-0000-0400-0000B4040000}"/>
    <hyperlink ref="P246" r:id="rId1206" xr:uid="{00000000-0004-0000-0400-0000B5040000}"/>
    <hyperlink ref="Q246" r:id="rId1207" xr:uid="{00000000-0004-0000-0400-0000B6040000}"/>
    <hyperlink ref="S246" r:id="rId1208" xr:uid="{00000000-0004-0000-0400-0000B7040000}"/>
    <hyperlink ref="T246" r:id="rId1209" xr:uid="{00000000-0004-0000-0400-0000B8040000}"/>
    <hyperlink ref="U246" r:id="rId1210" xr:uid="{00000000-0004-0000-0400-0000B9040000}"/>
    <hyperlink ref="V246" r:id="rId1211" xr:uid="{00000000-0004-0000-0400-0000BA040000}"/>
    <hyperlink ref="O247" r:id="rId1212" xr:uid="{00000000-0004-0000-0400-0000BB040000}"/>
    <hyperlink ref="P247" r:id="rId1213" xr:uid="{00000000-0004-0000-0400-0000BC040000}"/>
    <hyperlink ref="Q247" r:id="rId1214" xr:uid="{00000000-0004-0000-0400-0000BD040000}"/>
    <hyperlink ref="S247" r:id="rId1215" xr:uid="{00000000-0004-0000-0400-0000BE040000}"/>
    <hyperlink ref="T247" r:id="rId1216" xr:uid="{00000000-0004-0000-0400-0000BF040000}"/>
    <hyperlink ref="U247" r:id="rId1217" xr:uid="{00000000-0004-0000-0400-0000C0040000}"/>
    <hyperlink ref="O248" r:id="rId1218" xr:uid="{00000000-0004-0000-0400-0000C1040000}"/>
    <hyperlink ref="P248" r:id="rId1219" xr:uid="{00000000-0004-0000-0400-0000C2040000}"/>
    <hyperlink ref="Q248" r:id="rId1220" xr:uid="{00000000-0004-0000-0400-0000C3040000}"/>
    <hyperlink ref="S248" r:id="rId1221" xr:uid="{00000000-0004-0000-0400-0000C4040000}"/>
    <hyperlink ref="T248" r:id="rId1222" xr:uid="{00000000-0004-0000-0400-0000C5040000}"/>
    <hyperlink ref="U248" r:id="rId1223" xr:uid="{00000000-0004-0000-0400-0000C6040000}"/>
    <hyperlink ref="V248" r:id="rId1224" xr:uid="{00000000-0004-0000-0400-0000C7040000}"/>
    <hyperlink ref="O249" r:id="rId1225" xr:uid="{00000000-0004-0000-0400-0000C8040000}"/>
    <hyperlink ref="P249" r:id="rId1226" xr:uid="{00000000-0004-0000-0400-0000C9040000}"/>
    <hyperlink ref="Q249" r:id="rId1227" xr:uid="{00000000-0004-0000-0400-0000CA040000}"/>
    <hyperlink ref="S249" r:id="rId1228" xr:uid="{00000000-0004-0000-0400-0000CB040000}"/>
    <hyperlink ref="T249" r:id="rId1229" xr:uid="{00000000-0004-0000-0400-0000CC040000}"/>
    <hyperlink ref="U249" r:id="rId1230" xr:uid="{00000000-0004-0000-0400-0000CD040000}"/>
    <hyperlink ref="V249" r:id="rId1231" xr:uid="{00000000-0004-0000-0400-0000CE040000}"/>
    <hyperlink ref="O250" r:id="rId1232" xr:uid="{00000000-0004-0000-0400-0000CF040000}"/>
    <hyperlink ref="P250" r:id="rId1233" xr:uid="{00000000-0004-0000-0400-0000D0040000}"/>
    <hyperlink ref="Q250" r:id="rId1234" xr:uid="{00000000-0004-0000-0400-0000D1040000}"/>
    <hyperlink ref="S250" r:id="rId1235" xr:uid="{00000000-0004-0000-0400-0000D2040000}"/>
    <hyperlink ref="T250" r:id="rId1236" xr:uid="{00000000-0004-0000-0400-0000D3040000}"/>
    <hyperlink ref="U250" r:id="rId1237" xr:uid="{00000000-0004-0000-0400-0000D4040000}"/>
    <hyperlink ref="V250" r:id="rId1238" xr:uid="{00000000-0004-0000-0400-0000D5040000}"/>
    <hyperlink ref="O251" r:id="rId1239" xr:uid="{00000000-0004-0000-0400-0000D6040000}"/>
    <hyperlink ref="P251" r:id="rId1240" xr:uid="{00000000-0004-0000-0400-0000D7040000}"/>
    <hyperlink ref="Q251" r:id="rId1241" xr:uid="{00000000-0004-0000-0400-0000D8040000}"/>
    <hyperlink ref="S251" r:id="rId1242" xr:uid="{00000000-0004-0000-0400-0000D9040000}"/>
    <hyperlink ref="T251" r:id="rId1243" xr:uid="{00000000-0004-0000-0400-0000DA040000}"/>
    <hyperlink ref="U251" r:id="rId1244" xr:uid="{00000000-0004-0000-0400-0000DB040000}"/>
    <hyperlink ref="O252" r:id="rId1245" xr:uid="{00000000-0004-0000-0400-0000DC040000}"/>
    <hyperlink ref="P252" r:id="rId1246" xr:uid="{00000000-0004-0000-0400-0000DD040000}"/>
    <hyperlink ref="Q252" r:id="rId1247" xr:uid="{00000000-0004-0000-0400-0000DE040000}"/>
    <hyperlink ref="S252" r:id="rId1248" xr:uid="{00000000-0004-0000-0400-0000DF040000}"/>
    <hyperlink ref="T252" r:id="rId1249" xr:uid="{00000000-0004-0000-0400-0000E0040000}"/>
    <hyperlink ref="U252" r:id="rId1250" xr:uid="{00000000-0004-0000-0400-0000E1040000}"/>
    <hyperlink ref="V252" r:id="rId1251" xr:uid="{00000000-0004-0000-0400-0000E2040000}"/>
    <hyperlink ref="Q253" r:id="rId1252" xr:uid="{00000000-0004-0000-0400-0000E3040000}"/>
    <hyperlink ref="S253" r:id="rId1253" xr:uid="{00000000-0004-0000-0400-0000E4040000}"/>
    <hyperlink ref="T253" r:id="rId1254" xr:uid="{00000000-0004-0000-0400-0000E5040000}"/>
    <hyperlink ref="U253" r:id="rId1255" xr:uid="{00000000-0004-0000-0400-0000E6040000}"/>
    <hyperlink ref="V253" r:id="rId1256" xr:uid="{00000000-0004-0000-0400-0000E7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2.54296875" defaultRowHeight="15" customHeight="1" x14ac:dyDescent="0.25"/>
  <cols>
    <col min="1" max="1" width="6.453125" customWidth="1"/>
    <col min="2" max="2" width="39.453125" customWidth="1"/>
    <col min="3" max="3" width="34.26953125" customWidth="1"/>
    <col min="4" max="27" width="8.54296875" customWidth="1"/>
  </cols>
  <sheetData>
    <row r="1" spans="1:12" ht="12.75" customHeight="1" x14ac:dyDescent="0.25">
      <c r="A1" s="7" t="s">
        <v>0</v>
      </c>
      <c r="B1" s="7" t="s">
        <v>2634</v>
      </c>
      <c r="C1" s="7" t="s">
        <v>2635</v>
      </c>
      <c r="D1" s="7" t="s">
        <v>2636</v>
      </c>
      <c r="E1" s="7" t="s">
        <v>2637</v>
      </c>
      <c r="F1" s="7" t="s">
        <v>2638</v>
      </c>
      <c r="G1" s="7" t="s">
        <v>2639</v>
      </c>
      <c r="H1" s="7" t="s">
        <v>2640</v>
      </c>
      <c r="I1" s="7" t="s">
        <v>2641</v>
      </c>
      <c r="J1" s="7" t="s">
        <v>2642</v>
      </c>
      <c r="K1" s="7" t="s">
        <v>2643</v>
      </c>
      <c r="L1" s="7" t="s">
        <v>2644</v>
      </c>
    </row>
    <row r="2" spans="1:12" ht="98.25" customHeight="1" x14ac:dyDescent="0.25">
      <c r="A2" s="56">
        <v>1</v>
      </c>
      <c r="B2" s="56" t="e">
        <f>$B$1&amp;'Phân công'!B2&amp;CHAR(10)&amp;Sheet1!$C$1&amp;'Phân công'!A2&amp;CHAR(10)&amp;Sheet1!$D$1&amp;'Phân công'!#REF!&amp;CHAR(10)&amp;Sheet1!$E$1&amp;'Phân công'!D2&amp;CHAR(10)&amp;Sheet1!$F$1&amp;'Phân công'!#REF!</f>
        <v>#REF!</v>
      </c>
      <c r="C2" s="56" t="e">
        <f>$G$1&amp;'Phân công'!#REF!&amp;CHAR(10)&amp;Sheet1!$H$1&amp;'Phân công'!#REF!&amp;CHAR(10)&amp;Sheet1!$I$1&amp;'Phân công'!#REF!&amp;CHAR(10)&amp;Sheet1!$J$1&amp;'Phân công'!#REF!&amp;CHAR(10)&amp;$K$1&amp;'Phân công'!#REF!</f>
        <v>#REF!</v>
      </c>
    </row>
    <row r="3" spans="1:12" ht="98.25" customHeight="1" x14ac:dyDescent="0.25">
      <c r="A3" s="56">
        <v>2</v>
      </c>
      <c r="B3" s="56" t="e">
        <f>$B$1&amp;'Phân công'!B3&amp;CHAR(10)&amp;Sheet1!$C$1&amp;'Phân công'!A3&amp;CHAR(10)&amp;Sheet1!$D$1&amp;'Phân công'!#REF!&amp;CHAR(10)&amp;Sheet1!$E$1&amp;'Phân công'!D3&amp;CHAR(10)&amp;Sheet1!$F$1&amp;'Phân công'!#REF!</f>
        <v>#REF!</v>
      </c>
      <c r="C3" s="56" t="e">
        <f>$G$1&amp;'Phân công'!#REF!&amp;CHAR(10)&amp;Sheet1!$H$1&amp;'Phân công'!#REF!&amp;CHAR(10)&amp;Sheet1!$I$1&amp;'Phân công'!#REF!&amp;CHAR(10)&amp;Sheet1!$J$1&amp;'Phân công'!#REF!&amp;CHAR(10)&amp;$K$1&amp;'Phân công'!#REF!</f>
        <v>#REF!</v>
      </c>
    </row>
    <row r="4" spans="1:12" ht="98.25" customHeight="1" x14ac:dyDescent="0.25">
      <c r="A4" s="56">
        <v>3</v>
      </c>
      <c r="B4" s="56" t="e">
        <f>$B$1&amp;'Phân công'!B4&amp;CHAR(10)&amp;Sheet1!$C$1&amp;'Phân công'!A4&amp;CHAR(10)&amp;Sheet1!$D$1&amp;'Phân công'!#REF!&amp;CHAR(10)&amp;Sheet1!$E$1&amp;'Phân công'!D4&amp;CHAR(10)&amp;Sheet1!$F$1&amp;'Phân công'!#REF!</f>
        <v>#REF!</v>
      </c>
      <c r="C4" s="56" t="e">
        <f>$G$1&amp;'Phân công'!#REF!&amp;CHAR(10)&amp;Sheet1!$H$1&amp;'Phân công'!#REF!&amp;CHAR(10)&amp;Sheet1!$I$1&amp;'Phân công'!#REF!&amp;CHAR(10)&amp;Sheet1!$J$1&amp;'Phân công'!#REF!&amp;CHAR(10)&amp;$K$1&amp;'Phân công'!#REF!</f>
        <v>#REF!</v>
      </c>
    </row>
    <row r="5" spans="1:12" ht="98.25" customHeight="1" x14ac:dyDescent="0.25">
      <c r="A5" s="56">
        <v>4</v>
      </c>
      <c r="B5" s="56" t="e">
        <f>$B$1&amp;'Phân công'!B5&amp;CHAR(10)&amp;Sheet1!$C$1&amp;'Phân công'!A5&amp;CHAR(10)&amp;Sheet1!$D$1&amp;'Phân công'!#REF!&amp;CHAR(10)&amp;Sheet1!$E$1&amp;'Phân công'!D5&amp;CHAR(10)&amp;Sheet1!$F$1&amp;'Phân công'!#REF!</f>
        <v>#REF!</v>
      </c>
      <c r="C5" s="56" t="e">
        <f>$G$1&amp;'Phân công'!#REF!&amp;CHAR(10)&amp;Sheet1!$H$1&amp;'Phân công'!#REF!&amp;CHAR(10)&amp;Sheet1!$I$1&amp;'Phân công'!#REF!&amp;CHAR(10)&amp;Sheet1!$J$1&amp;'Phân công'!#REF!&amp;CHAR(10)&amp;$K$1&amp;'Phân công'!#REF!</f>
        <v>#REF!</v>
      </c>
    </row>
    <row r="6" spans="1:12" ht="98.25" customHeight="1" x14ac:dyDescent="0.25">
      <c r="A6" s="56">
        <v>5</v>
      </c>
      <c r="B6" s="56" t="e">
        <f>$B$1&amp;'Phân công'!B6&amp;CHAR(10)&amp;Sheet1!$C$1&amp;'Phân công'!A6&amp;CHAR(10)&amp;Sheet1!$D$1&amp;'Phân công'!#REF!&amp;CHAR(10)&amp;Sheet1!$E$1&amp;'Phân công'!D6&amp;CHAR(10)&amp;Sheet1!$F$1&amp;'Phân công'!#REF!</f>
        <v>#REF!</v>
      </c>
      <c r="C6" s="56" t="e">
        <f>$G$1&amp;'Phân công'!#REF!&amp;CHAR(10)&amp;Sheet1!$H$1&amp;'Phân công'!#REF!&amp;CHAR(10)&amp;Sheet1!$I$1&amp;'Phân công'!#REF!&amp;CHAR(10)&amp;Sheet1!$J$1&amp;'Phân công'!#REF!&amp;CHAR(10)&amp;$K$1&amp;'Phân công'!#REF!</f>
        <v>#REF!</v>
      </c>
    </row>
    <row r="7" spans="1:12" ht="98.25" customHeight="1" x14ac:dyDescent="0.25">
      <c r="A7" s="56">
        <v>6</v>
      </c>
      <c r="B7" s="56" t="e">
        <f>$B$1&amp;'Phân công'!B7&amp;CHAR(10)&amp;Sheet1!$C$1&amp;'Phân công'!A7&amp;CHAR(10)&amp;Sheet1!$D$1&amp;'Phân công'!#REF!&amp;CHAR(10)&amp;Sheet1!$E$1&amp;'Phân công'!D7&amp;CHAR(10)&amp;Sheet1!$F$1&amp;'Phân công'!#REF!</f>
        <v>#REF!</v>
      </c>
      <c r="C7" s="56" t="e">
        <f>$G$1&amp;'Phân công'!#REF!&amp;CHAR(10)&amp;Sheet1!$H$1&amp;'Phân công'!#REF!&amp;CHAR(10)&amp;Sheet1!$I$1&amp;'Phân công'!#REF!&amp;CHAR(10)&amp;Sheet1!$J$1&amp;'Phân công'!#REF!&amp;CHAR(10)&amp;$K$1&amp;'Phân công'!#REF!</f>
        <v>#REF!</v>
      </c>
    </row>
    <row r="8" spans="1:12" ht="98.25" customHeight="1" x14ac:dyDescent="0.25">
      <c r="A8" s="56">
        <v>7</v>
      </c>
      <c r="B8" s="56" t="e">
        <f>$B$1&amp;'Phân công'!B8&amp;CHAR(10)&amp;Sheet1!$C$1&amp;'Phân công'!A8&amp;CHAR(10)&amp;Sheet1!$D$1&amp;'Phân công'!#REF!&amp;CHAR(10)&amp;Sheet1!$E$1&amp;'Phân công'!D8&amp;CHAR(10)&amp;Sheet1!$F$1&amp;'Phân công'!#REF!</f>
        <v>#REF!</v>
      </c>
      <c r="C8" s="56" t="e">
        <f>$G$1&amp;'Phân công'!#REF!&amp;CHAR(10)&amp;Sheet1!$H$1&amp;'Phân công'!#REF!&amp;CHAR(10)&amp;Sheet1!$I$1&amp;'Phân công'!#REF!&amp;CHAR(10)&amp;Sheet1!$J$1&amp;'Phân công'!#REF!&amp;CHAR(10)&amp;$K$1&amp;'Phân công'!#REF!</f>
        <v>#REF!</v>
      </c>
    </row>
    <row r="9" spans="1:12" ht="98.25" customHeight="1" x14ac:dyDescent="0.25">
      <c r="A9" s="56">
        <v>8</v>
      </c>
      <c r="B9" s="56" t="e">
        <f>$B$1&amp;'Phân công'!B9&amp;CHAR(10)&amp;Sheet1!$C$1&amp;'Phân công'!A9&amp;CHAR(10)&amp;Sheet1!$D$1&amp;'Phân công'!#REF!&amp;CHAR(10)&amp;Sheet1!$E$1&amp;'Phân công'!D9&amp;CHAR(10)&amp;Sheet1!$F$1&amp;'Phân công'!#REF!</f>
        <v>#REF!</v>
      </c>
      <c r="C9" s="56" t="e">
        <f>$G$1&amp;'Phân công'!#REF!&amp;CHAR(10)&amp;Sheet1!$H$1&amp;'Phân công'!#REF!&amp;CHAR(10)&amp;Sheet1!$I$1&amp;'Phân công'!#REF!&amp;CHAR(10)&amp;Sheet1!$J$1&amp;'Phân công'!#REF!&amp;CHAR(10)&amp;$K$1&amp;'Phân công'!#REF!</f>
        <v>#REF!</v>
      </c>
    </row>
    <row r="10" spans="1:12" ht="98.25" customHeight="1" x14ac:dyDescent="0.25">
      <c r="A10" s="56">
        <v>9</v>
      </c>
      <c r="B10" s="56" t="e">
        <f>$B$1&amp;'Phân công'!B10&amp;CHAR(10)&amp;Sheet1!$C$1&amp;'Phân công'!A10&amp;CHAR(10)&amp;Sheet1!$D$1&amp;'Phân công'!#REF!&amp;CHAR(10)&amp;Sheet1!$E$1&amp;'Phân công'!D10&amp;CHAR(10)&amp;Sheet1!$F$1&amp;'Phân công'!#REF!</f>
        <v>#REF!</v>
      </c>
      <c r="C10" s="56" t="e">
        <f>$G$1&amp;'Phân công'!#REF!&amp;CHAR(10)&amp;Sheet1!$H$1&amp;'Phân công'!#REF!&amp;CHAR(10)&amp;Sheet1!$I$1&amp;'Phân công'!#REF!&amp;CHAR(10)&amp;Sheet1!$J$1&amp;'Phân công'!#REF!&amp;CHAR(10)&amp;$K$1&amp;'Phân công'!#REF!</f>
        <v>#REF!</v>
      </c>
    </row>
    <row r="11" spans="1:12" ht="98.25" customHeight="1" x14ac:dyDescent="0.25">
      <c r="A11" s="56">
        <v>10</v>
      </c>
      <c r="B11" s="56" t="e">
        <f>$B$1&amp;'Phân công'!B11&amp;CHAR(10)&amp;Sheet1!$C$1&amp;'Phân công'!A11&amp;CHAR(10)&amp;Sheet1!$D$1&amp;'Phân công'!#REF!&amp;CHAR(10)&amp;Sheet1!$E$1&amp;'Phân công'!D11&amp;CHAR(10)&amp;Sheet1!$F$1&amp;'Phân công'!#REF!</f>
        <v>#REF!</v>
      </c>
      <c r="C11" s="56" t="e">
        <f>$G$1&amp;'Phân công'!#REF!&amp;CHAR(10)&amp;Sheet1!$H$1&amp;'Phân công'!#REF!&amp;CHAR(10)&amp;Sheet1!$I$1&amp;'Phân công'!#REF!&amp;CHAR(10)&amp;Sheet1!$J$1&amp;'Phân công'!#REF!&amp;CHAR(10)&amp;$K$1&amp;'Phân công'!#REF!</f>
        <v>#REF!</v>
      </c>
    </row>
    <row r="12" spans="1:12" ht="98.25" customHeight="1" x14ac:dyDescent="0.25">
      <c r="A12" s="56">
        <v>11</v>
      </c>
      <c r="B12" s="56" t="e">
        <f>$B$1&amp;'Phân công'!B12&amp;CHAR(10)&amp;Sheet1!$C$1&amp;'Phân công'!A12&amp;CHAR(10)&amp;Sheet1!$D$1&amp;'Phân công'!#REF!&amp;CHAR(10)&amp;Sheet1!$E$1&amp;'Phân công'!D12&amp;CHAR(10)&amp;Sheet1!$F$1&amp;'Phân công'!#REF!</f>
        <v>#REF!</v>
      </c>
      <c r="C12" s="56" t="e">
        <f>$G$1&amp;'Phân công'!#REF!&amp;CHAR(10)&amp;Sheet1!$H$1&amp;'Phân công'!#REF!&amp;CHAR(10)&amp;Sheet1!$I$1&amp;'Phân công'!#REF!&amp;CHAR(10)&amp;Sheet1!$J$1&amp;'Phân công'!#REF!&amp;CHAR(10)&amp;$K$1&amp;'Phân công'!#REF!</f>
        <v>#REF!</v>
      </c>
    </row>
    <row r="13" spans="1:12" ht="98.25" customHeight="1" x14ac:dyDescent="0.25">
      <c r="A13" s="56">
        <v>12</v>
      </c>
      <c r="B13" s="56" t="e">
        <f>$B$1&amp;'Phân công'!B13&amp;CHAR(10)&amp;Sheet1!$C$1&amp;'Phân công'!A13&amp;CHAR(10)&amp;Sheet1!$D$1&amp;'Phân công'!#REF!&amp;CHAR(10)&amp;Sheet1!$E$1&amp;'Phân công'!D13&amp;CHAR(10)&amp;Sheet1!$F$1&amp;'Phân công'!#REF!</f>
        <v>#REF!</v>
      </c>
      <c r="C13" s="56" t="e">
        <f>$G$1&amp;'Phân công'!#REF!&amp;CHAR(10)&amp;Sheet1!$H$1&amp;'Phân công'!#REF!&amp;CHAR(10)&amp;Sheet1!$I$1&amp;'Phân công'!#REF!&amp;CHAR(10)&amp;Sheet1!$J$1&amp;'Phân công'!#REF!&amp;CHAR(10)&amp;$K$1&amp;'Phân công'!#REF!</f>
        <v>#REF!</v>
      </c>
    </row>
    <row r="14" spans="1:12" ht="98.25" customHeight="1" x14ac:dyDescent="0.25">
      <c r="A14" s="56">
        <v>13</v>
      </c>
      <c r="B14" s="56" t="e">
        <f>$B$1&amp;'Phân công'!B14&amp;CHAR(10)&amp;Sheet1!$C$1&amp;'Phân công'!A14&amp;CHAR(10)&amp;Sheet1!$D$1&amp;'Phân công'!#REF!&amp;CHAR(10)&amp;Sheet1!$E$1&amp;'Phân công'!D14&amp;CHAR(10)&amp;Sheet1!$F$1&amp;'Phân công'!#REF!</f>
        <v>#REF!</v>
      </c>
      <c r="C14" s="56" t="e">
        <f>$G$1&amp;'Phân công'!#REF!&amp;CHAR(10)&amp;Sheet1!$H$1&amp;'Phân công'!#REF!&amp;CHAR(10)&amp;Sheet1!$I$1&amp;'Phân công'!#REF!&amp;CHAR(10)&amp;Sheet1!$J$1&amp;'Phân công'!#REF!&amp;CHAR(10)&amp;$K$1&amp;'Phân công'!#REF!</f>
        <v>#REF!</v>
      </c>
    </row>
    <row r="15" spans="1:12" ht="98.25" customHeight="1" x14ac:dyDescent="0.25">
      <c r="A15" s="56">
        <v>14</v>
      </c>
      <c r="B15" s="56" t="e">
        <f>$B$1&amp;'Phân công'!B15&amp;CHAR(10)&amp;Sheet1!$C$1&amp;'Phân công'!A15&amp;CHAR(10)&amp;Sheet1!$D$1&amp;'Phân công'!#REF!&amp;CHAR(10)&amp;Sheet1!$E$1&amp;'Phân công'!D15&amp;CHAR(10)&amp;Sheet1!$F$1&amp;'Phân công'!#REF!</f>
        <v>#REF!</v>
      </c>
      <c r="C15" s="56" t="e">
        <f>$G$1&amp;'Phân công'!#REF!&amp;CHAR(10)&amp;Sheet1!$H$1&amp;'Phân công'!#REF!&amp;CHAR(10)&amp;Sheet1!$I$1&amp;'Phân công'!#REF!&amp;CHAR(10)&amp;Sheet1!$J$1&amp;'Phân công'!#REF!&amp;CHAR(10)&amp;$K$1&amp;'Phân công'!#REF!</f>
        <v>#REF!</v>
      </c>
    </row>
    <row r="16" spans="1:12" ht="98.25" customHeight="1" x14ac:dyDescent="0.25">
      <c r="A16" s="56">
        <v>15</v>
      </c>
      <c r="B16" s="56" t="e">
        <f>$B$1&amp;'Phân công'!B16&amp;CHAR(10)&amp;Sheet1!$C$1&amp;'Phân công'!A16&amp;CHAR(10)&amp;Sheet1!$D$1&amp;'Phân công'!#REF!&amp;CHAR(10)&amp;Sheet1!$E$1&amp;'Phân công'!D16&amp;CHAR(10)&amp;Sheet1!$F$1&amp;'Phân công'!#REF!</f>
        <v>#REF!</v>
      </c>
      <c r="C16" s="56" t="e">
        <f>$G$1&amp;'Phân công'!#REF!&amp;CHAR(10)&amp;Sheet1!$H$1&amp;'Phân công'!#REF!&amp;CHAR(10)&amp;Sheet1!$I$1&amp;'Phân công'!#REF!&amp;CHAR(10)&amp;Sheet1!$J$1&amp;'Phân công'!#REF!&amp;CHAR(10)&amp;$K$1&amp;'Phân công'!#REF!</f>
        <v>#REF!</v>
      </c>
    </row>
    <row r="17" spans="1:3" ht="98.25" customHeight="1" x14ac:dyDescent="0.25">
      <c r="A17" s="56">
        <v>16</v>
      </c>
      <c r="B17" s="56" t="e">
        <f>$B$1&amp;'Phân công'!B17&amp;CHAR(10)&amp;Sheet1!$C$1&amp;'Phân công'!A17&amp;CHAR(10)&amp;Sheet1!$D$1&amp;'Phân công'!#REF!&amp;CHAR(10)&amp;Sheet1!$E$1&amp;'Phân công'!D17&amp;CHAR(10)&amp;Sheet1!$F$1&amp;'Phân công'!#REF!</f>
        <v>#REF!</v>
      </c>
      <c r="C17" s="56" t="e">
        <f>$G$1&amp;'Phân công'!#REF!&amp;CHAR(10)&amp;Sheet1!$H$1&amp;'Phân công'!#REF!&amp;CHAR(10)&amp;Sheet1!$I$1&amp;'Phân công'!#REF!&amp;CHAR(10)&amp;Sheet1!$J$1&amp;'Phân công'!#REF!&amp;CHAR(10)&amp;$K$1&amp;'Phân công'!#REF!</f>
        <v>#REF!</v>
      </c>
    </row>
    <row r="18" spans="1:3" ht="98.25" customHeight="1" x14ac:dyDescent="0.25">
      <c r="A18" s="56">
        <v>17</v>
      </c>
      <c r="B18" s="56" t="e">
        <f>$B$1&amp;'Phân công'!B18&amp;CHAR(10)&amp;Sheet1!$C$1&amp;'Phân công'!A18&amp;CHAR(10)&amp;Sheet1!$D$1&amp;'Phân công'!#REF!&amp;CHAR(10)&amp;Sheet1!$E$1&amp;'Phân công'!D18&amp;CHAR(10)&amp;Sheet1!$F$1&amp;'Phân công'!#REF!</f>
        <v>#REF!</v>
      </c>
      <c r="C18" s="56" t="e">
        <f>$G$1&amp;'Phân công'!#REF!&amp;CHAR(10)&amp;Sheet1!$H$1&amp;'Phân công'!#REF!&amp;CHAR(10)&amp;Sheet1!$I$1&amp;'Phân công'!#REF!&amp;CHAR(10)&amp;Sheet1!$J$1&amp;'Phân công'!#REF!&amp;CHAR(10)&amp;$K$1&amp;'Phân công'!#REF!</f>
        <v>#REF!</v>
      </c>
    </row>
    <row r="19" spans="1:3" ht="98.25" customHeight="1" x14ac:dyDescent="0.25">
      <c r="A19" s="56">
        <v>18</v>
      </c>
      <c r="B19" s="56" t="e">
        <f>$B$1&amp;'Phân công'!B19&amp;CHAR(10)&amp;Sheet1!$C$1&amp;'Phân công'!A19&amp;CHAR(10)&amp;Sheet1!$D$1&amp;'Phân công'!#REF!&amp;CHAR(10)&amp;Sheet1!$E$1&amp;'Phân công'!D19&amp;CHAR(10)&amp;Sheet1!$F$1&amp;'Phân công'!#REF!</f>
        <v>#REF!</v>
      </c>
      <c r="C19" s="56" t="e">
        <f>$G$1&amp;'Phân công'!#REF!&amp;CHAR(10)&amp;Sheet1!$H$1&amp;'Phân công'!#REF!&amp;CHAR(10)&amp;Sheet1!$I$1&amp;'Phân công'!#REF!&amp;CHAR(10)&amp;Sheet1!$J$1&amp;'Phân công'!#REF!&amp;CHAR(10)&amp;$K$1&amp;'Phân công'!#REF!</f>
        <v>#REF!</v>
      </c>
    </row>
    <row r="20" spans="1:3" ht="98.25" customHeight="1" x14ac:dyDescent="0.25">
      <c r="A20" s="56">
        <v>19</v>
      </c>
      <c r="B20" s="56" t="e">
        <f>$B$1&amp;'Phân công'!B20&amp;CHAR(10)&amp;Sheet1!$C$1&amp;'Phân công'!A20&amp;CHAR(10)&amp;Sheet1!$D$1&amp;'Phân công'!#REF!&amp;CHAR(10)&amp;Sheet1!$E$1&amp;'Phân công'!D20&amp;CHAR(10)&amp;Sheet1!$F$1&amp;'Phân công'!#REF!</f>
        <v>#REF!</v>
      </c>
      <c r="C20" s="56" t="e">
        <f>$G$1&amp;'Phân công'!#REF!&amp;CHAR(10)&amp;Sheet1!$H$1&amp;'Phân công'!#REF!&amp;CHAR(10)&amp;Sheet1!$I$1&amp;'Phân công'!#REF!&amp;CHAR(10)&amp;Sheet1!$J$1&amp;'Phân công'!#REF!&amp;CHAR(10)&amp;$K$1&amp;'Phân công'!#REF!</f>
        <v>#REF!</v>
      </c>
    </row>
    <row r="21" spans="1:3" ht="98.25" customHeight="1" x14ac:dyDescent="0.25">
      <c r="A21" s="56">
        <v>20</v>
      </c>
      <c r="B21" s="56" t="e">
        <f>$B$1&amp;'Phân công'!B21&amp;CHAR(10)&amp;Sheet1!$C$1&amp;'Phân công'!A21&amp;CHAR(10)&amp;Sheet1!$D$1&amp;'Phân công'!#REF!&amp;CHAR(10)&amp;Sheet1!$E$1&amp;'Phân công'!D21&amp;CHAR(10)&amp;Sheet1!$F$1&amp;'Phân công'!#REF!</f>
        <v>#REF!</v>
      </c>
      <c r="C21" s="56" t="e">
        <f>$G$1&amp;'Phân công'!#REF!&amp;CHAR(10)&amp;Sheet1!$H$1&amp;'Phân công'!#REF!&amp;CHAR(10)&amp;Sheet1!$I$1&amp;'Phân công'!#REF!&amp;CHAR(10)&amp;Sheet1!$J$1&amp;'Phân công'!#REF!&amp;CHAR(10)&amp;$K$1&amp;'Phân công'!#REF!</f>
        <v>#REF!</v>
      </c>
    </row>
    <row r="22" spans="1:3" ht="98.25" customHeight="1" x14ac:dyDescent="0.25">
      <c r="A22" s="56">
        <v>21</v>
      </c>
      <c r="B22" s="56" t="e">
        <f>$B$1&amp;'Phân công'!B22&amp;CHAR(10)&amp;Sheet1!$C$1&amp;'Phân công'!A22&amp;CHAR(10)&amp;Sheet1!$D$1&amp;'Phân công'!#REF!&amp;CHAR(10)&amp;Sheet1!$E$1&amp;'Phân công'!D22&amp;CHAR(10)&amp;Sheet1!$F$1&amp;'Phân công'!#REF!</f>
        <v>#REF!</v>
      </c>
      <c r="C22" s="56" t="e">
        <f>$G$1&amp;'Phân công'!#REF!&amp;CHAR(10)&amp;Sheet1!$H$1&amp;'Phân công'!#REF!&amp;CHAR(10)&amp;Sheet1!$I$1&amp;'Phân công'!#REF!&amp;CHAR(10)&amp;Sheet1!$J$1&amp;'Phân công'!#REF!&amp;CHAR(10)&amp;$K$1&amp;'Phân công'!#REF!</f>
        <v>#REF!</v>
      </c>
    </row>
    <row r="23" spans="1:3" ht="98.25" customHeight="1" x14ac:dyDescent="0.25">
      <c r="A23" s="56">
        <v>22</v>
      </c>
      <c r="B23" s="56" t="e">
        <f>$B$1&amp;'Phân công'!B23&amp;CHAR(10)&amp;Sheet1!$C$1&amp;'Phân công'!A23&amp;CHAR(10)&amp;Sheet1!$D$1&amp;'Phân công'!#REF!&amp;CHAR(10)&amp;Sheet1!$E$1&amp;'Phân công'!D23&amp;CHAR(10)&amp;Sheet1!$F$1&amp;'Phân công'!#REF!</f>
        <v>#REF!</v>
      </c>
      <c r="C23" s="56" t="e">
        <f>$G$1&amp;'Phân công'!#REF!&amp;CHAR(10)&amp;Sheet1!$H$1&amp;'Phân công'!#REF!&amp;CHAR(10)&amp;Sheet1!$I$1&amp;'Phân công'!#REF!&amp;CHAR(10)&amp;Sheet1!$J$1&amp;'Phân công'!#REF!&amp;CHAR(10)&amp;$K$1&amp;'Phân công'!#REF!</f>
        <v>#REF!</v>
      </c>
    </row>
    <row r="24" spans="1:3" ht="98.25" customHeight="1" x14ac:dyDescent="0.25">
      <c r="A24" s="56">
        <v>23</v>
      </c>
      <c r="B24" s="56" t="e">
        <f>$B$1&amp;'Phân công'!B24&amp;CHAR(10)&amp;Sheet1!$C$1&amp;'Phân công'!A24&amp;CHAR(10)&amp;Sheet1!$D$1&amp;'Phân công'!#REF!&amp;CHAR(10)&amp;Sheet1!$E$1&amp;'Phân công'!D24&amp;CHAR(10)&amp;Sheet1!$F$1&amp;'Phân công'!#REF!</f>
        <v>#REF!</v>
      </c>
      <c r="C24" s="56" t="e">
        <f>$G$1&amp;'Phân công'!#REF!&amp;CHAR(10)&amp;Sheet1!$H$1&amp;'Phân công'!#REF!&amp;CHAR(10)&amp;Sheet1!$I$1&amp;'Phân công'!#REF!&amp;CHAR(10)&amp;Sheet1!$J$1&amp;'Phân công'!#REF!&amp;CHAR(10)&amp;$K$1&amp;'Phân công'!#REF!</f>
        <v>#REF!</v>
      </c>
    </row>
    <row r="25" spans="1:3" ht="98.25" customHeight="1" x14ac:dyDescent="0.25">
      <c r="A25" s="56">
        <v>24</v>
      </c>
      <c r="B25" s="56" t="e">
        <f>$B$1&amp;'Phân công'!B25&amp;CHAR(10)&amp;Sheet1!$C$1&amp;'Phân công'!A25&amp;CHAR(10)&amp;Sheet1!$D$1&amp;'Phân công'!#REF!&amp;CHAR(10)&amp;Sheet1!$E$1&amp;'Phân công'!D25&amp;CHAR(10)&amp;Sheet1!$F$1&amp;'Phân công'!#REF!</f>
        <v>#REF!</v>
      </c>
      <c r="C25" s="56" t="e">
        <f>$G$1&amp;'Phân công'!#REF!&amp;CHAR(10)&amp;Sheet1!$H$1&amp;'Phân công'!#REF!&amp;CHAR(10)&amp;Sheet1!$I$1&amp;'Phân công'!#REF!&amp;CHAR(10)&amp;Sheet1!$J$1&amp;'Phân công'!#REF!&amp;CHAR(10)&amp;$K$1&amp;'Phân công'!#REF!</f>
        <v>#REF!</v>
      </c>
    </row>
    <row r="26" spans="1:3" ht="98.25" customHeight="1" x14ac:dyDescent="0.25">
      <c r="A26" s="56">
        <v>25</v>
      </c>
      <c r="B26" s="56" t="e">
        <f>$B$1&amp;'Phân công'!B26&amp;CHAR(10)&amp;Sheet1!$C$1&amp;'Phân công'!A26&amp;CHAR(10)&amp;Sheet1!$D$1&amp;'Phân công'!#REF!&amp;CHAR(10)&amp;Sheet1!$E$1&amp;'Phân công'!D26&amp;CHAR(10)&amp;Sheet1!$F$1&amp;'Phân công'!#REF!</f>
        <v>#REF!</v>
      </c>
      <c r="C26" s="56" t="e">
        <f>$G$1&amp;'Phân công'!#REF!&amp;CHAR(10)&amp;Sheet1!$H$1&amp;'Phân công'!#REF!&amp;CHAR(10)&amp;Sheet1!$I$1&amp;'Phân công'!#REF!&amp;CHAR(10)&amp;Sheet1!$J$1&amp;'Phân công'!#REF!&amp;CHAR(10)&amp;$K$1&amp;'Phân công'!#REF!</f>
        <v>#REF!</v>
      </c>
    </row>
    <row r="27" spans="1:3" ht="98.25" customHeight="1" x14ac:dyDescent="0.25">
      <c r="A27" s="56">
        <v>26</v>
      </c>
      <c r="B27" s="56" t="e">
        <f>$B$1&amp;'Phân công'!B27&amp;CHAR(10)&amp;Sheet1!$C$1&amp;'Phân công'!A27&amp;CHAR(10)&amp;Sheet1!$D$1&amp;'Phân công'!#REF!&amp;CHAR(10)&amp;Sheet1!$E$1&amp;'Phân công'!D27&amp;CHAR(10)&amp;Sheet1!$F$1&amp;'Phân công'!#REF!</f>
        <v>#REF!</v>
      </c>
      <c r="C27" s="56" t="e">
        <f>$G$1&amp;'Phân công'!#REF!&amp;CHAR(10)&amp;Sheet1!$H$1&amp;'Phân công'!#REF!&amp;CHAR(10)&amp;Sheet1!$I$1&amp;'Phân công'!#REF!&amp;CHAR(10)&amp;Sheet1!$J$1&amp;'Phân công'!#REF!&amp;CHAR(10)&amp;$K$1&amp;'Phân công'!#REF!</f>
        <v>#REF!</v>
      </c>
    </row>
    <row r="28" spans="1:3" ht="98.25" customHeight="1" x14ac:dyDescent="0.25">
      <c r="A28" s="56">
        <v>27</v>
      </c>
      <c r="B28" s="56" t="e">
        <f>$B$1&amp;'Phân công'!B28&amp;CHAR(10)&amp;Sheet1!$C$1&amp;'Phân công'!A28&amp;CHAR(10)&amp;Sheet1!$D$1&amp;'Phân công'!#REF!&amp;CHAR(10)&amp;Sheet1!$E$1&amp;'Phân công'!D28&amp;CHAR(10)&amp;Sheet1!$F$1&amp;'Phân công'!#REF!</f>
        <v>#REF!</v>
      </c>
      <c r="C28" s="56" t="e">
        <f>$G$1&amp;'Phân công'!#REF!&amp;CHAR(10)&amp;Sheet1!$H$1&amp;'Phân công'!#REF!&amp;CHAR(10)&amp;Sheet1!$I$1&amp;'Phân công'!#REF!&amp;CHAR(10)&amp;Sheet1!$J$1&amp;'Phân công'!#REF!&amp;CHAR(10)&amp;$K$1&amp;'Phân công'!#REF!</f>
        <v>#REF!</v>
      </c>
    </row>
    <row r="29" spans="1:3" ht="98.25" customHeight="1" x14ac:dyDescent="0.25">
      <c r="A29" s="56">
        <v>28</v>
      </c>
      <c r="B29" s="56" t="e">
        <f>$B$1&amp;'Phân công'!B29&amp;CHAR(10)&amp;Sheet1!$C$1&amp;'Phân công'!A29&amp;CHAR(10)&amp;Sheet1!$D$1&amp;'Phân công'!#REF!&amp;CHAR(10)&amp;Sheet1!$E$1&amp;'Phân công'!D29&amp;CHAR(10)&amp;Sheet1!$F$1&amp;'Phân công'!#REF!</f>
        <v>#REF!</v>
      </c>
      <c r="C29" s="56" t="e">
        <f>$G$1&amp;'Phân công'!#REF!&amp;CHAR(10)&amp;Sheet1!$H$1&amp;'Phân công'!#REF!&amp;CHAR(10)&amp;Sheet1!$I$1&amp;'Phân công'!#REF!&amp;CHAR(10)&amp;Sheet1!$J$1&amp;'Phân công'!#REF!&amp;CHAR(10)&amp;$K$1&amp;'Phân công'!#REF!</f>
        <v>#REF!</v>
      </c>
    </row>
    <row r="30" spans="1:3" ht="98.25" customHeight="1" x14ac:dyDescent="0.25">
      <c r="A30" s="56">
        <v>29</v>
      </c>
      <c r="B30" s="56" t="e">
        <f>$B$1&amp;'Phân công'!B30&amp;CHAR(10)&amp;Sheet1!$C$1&amp;'Phân công'!A30&amp;CHAR(10)&amp;Sheet1!$D$1&amp;'Phân công'!#REF!&amp;CHAR(10)&amp;Sheet1!$E$1&amp;'Phân công'!D30&amp;CHAR(10)&amp;Sheet1!$F$1&amp;'Phân công'!#REF!</f>
        <v>#REF!</v>
      </c>
      <c r="C30" s="56" t="e">
        <f>$G$1&amp;'Phân công'!#REF!&amp;CHAR(10)&amp;Sheet1!$H$1&amp;'Phân công'!#REF!&amp;CHAR(10)&amp;Sheet1!$I$1&amp;'Phân công'!#REF!&amp;CHAR(10)&amp;Sheet1!$J$1&amp;'Phân công'!#REF!&amp;CHAR(10)&amp;$K$1&amp;'Phân công'!#REF!</f>
        <v>#REF!</v>
      </c>
    </row>
    <row r="31" spans="1:3" ht="98.25" customHeight="1" x14ac:dyDescent="0.25">
      <c r="A31" s="56">
        <v>30</v>
      </c>
      <c r="B31" s="56" t="e">
        <f>$B$1&amp;'Phân công'!B31&amp;CHAR(10)&amp;Sheet1!$C$1&amp;'Phân công'!A31&amp;CHAR(10)&amp;Sheet1!$D$1&amp;'Phân công'!#REF!&amp;CHAR(10)&amp;Sheet1!$E$1&amp;'Phân công'!D31&amp;CHAR(10)&amp;Sheet1!$F$1&amp;'Phân công'!#REF!</f>
        <v>#REF!</v>
      </c>
      <c r="C31" s="56" t="e">
        <f>$G$1&amp;'Phân công'!#REF!&amp;CHAR(10)&amp;Sheet1!$H$1&amp;'Phân công'!#REF!&amp;CHAR(10)&amp;Sheet1!$I$1&amp;'Phân công'!#REF!&amp;CHAR(10)&amp;Sheet1!$J$1&amp;'Phân công'!#REF!&amp;CHAR(10)&amp;$K$1&amp;'Phân công'!#REF!</f>
        <v>#REF!</v>
      </c>
    </row>
    <row r="32" spans="1:3" ht="98.25" customHeight="1" x14ac:dyDescent="0.25">
      <c r="A32" s="56">
        <v>31</v>
      </c>
      <c r="B32" s="56" t="e">
        <f>$B$1&amp;'Phân công'!B32&amp;CHAR(10)&amp;Sheet1!$C$1&amp;'Phân công'!A32&amp;CHAR(10)&amp;Sheet1!$D$1&amp;'Phân công'!#REF!&amp;CHAR(10)&amp;Sheet1!$E$1&amp;'Phân công'!D32&amp;CHAR(10)&amp;Sheet1!$F$1&amp;'Phân công'!#REF!</f>
        <v>#REF!</v>
      </c>
      <c r="C32" s="56" t="e">
        <f>$G$1&amp;'Phân công'!#REF!&amp;CHAR(10)&amp;Sheet1!$H$1&amp;'Phân công'!#REF!&amp;CHAR(10)&amp;Sheet1!$I$1&amp;'Phân công'!#REF!&amp;CHAR(10)&amp;Sheet1!$J$1&amp;'Phân công'!#REF!&amp;CHAR(10)&amp;$K$1&amp;'Phân công'!#REF!</f>
        <v>#REF!</v>
      </c>
    </row>
    <row r="33" spans="1:3" ht="98.25" customHeight="1" x14ac:dyDescent="0.25">
      <c r="A33" s="56">
        <v>32</v>
      </c>
      <c r="B33" s="56" t="e">
        <f>$B$1&amp;'Phân công'!B33&amp;CHAR(10)&amp;Sheet1!$C$1&amp;'Phân công'!A33&amp;CHAR(10)&amp;Sheet1!$D$1&amp;'Phân công'!#REF!&amp;CHAR(10)&amp;Sheet1!$E$1&amp;'Phân công'!D33&amp;CHAR(10)&amp;Sheet1!$F$1&amp;'Phân công'!#REF!</f>
        <v>#REF!</v>
      </c>
      <c r="C33" s="56" t="e">
        <f>$G$1&amp;'Phân công'!#REF!&amp;CHAR(10)&amp;Sheet1!$H$1&amp;'Phân công'!#REF!&amp;CHAR(10)&amp;Sheet1!$I$1&amp;'Phân công'!#REF!&amp;CHAR(10)&amp;Sheet1!$J$1&amp;'Phân công'!#REF!&amp;CHAR(10)&amp;$K$1&amp;'Phân công'!#REF!</f>
        <v>#REF!</v>
      </c>
    </row>
    <row r="34" spans="1:3" ht="98.25" customHeight="1" x14ac:dyDescent="0.25">
      <c r="A34" s="56">
        <v>33</v>
      </c>
      <c r="B34" s="56" t="e">
        <f>$B$1&amp;'Phân công'!B34&amp;CHAR(10)&amp;Sheet1!$C$1&amp;'Phân công'!A34&amp;CHAR(10)&amp;Sheet1!$D$1&amp;'Phân công'!#REF!&amp;CHAR(10)&amp;Sheet1!$E$1&amp;'Phân công'!D34&amp;CHAR(10)&amp;Sheet1!$F$1&amp;'Phân công'!#REF!</f>
        <v>#REF!</v>
      </c>
      <c r="C34" s="56" t="e">
        <f>$G$1&amp;'Phân công'!#REF!&amp;CHAR(10)&amp;Sheet1!$H$1&amp;'Phân công'!#REF!&amp;CHAR(10)&amp;Sheet1!$I$1&amp;'Phân công'!#REF!&amp;CHAR(10)&amp;Sheet1!$J$1&amp;'Phân công'!#REF!&amp;CHAR(10)&amp;$K$1&amp;'Phân công'!#REF!</f>
        <v>#REF!</v>
      </c>
    </row>
    <row r="35" spans="1:3" ht="98.25" customHeight="1" x14ac:dyDescent="0.25">
      <c r="A35" s="56">
        <v>34</v>
      </c>
      <c r="B35" s="56" t="e">
        <f>$B$1&amp;'Phân công'!B35&amp;CHAR(10)&amp;Sheet1!$C$1&amp;'Phân công'!A35&amp;CHAR(10)&amp;Sheet1!$D$1&amp;'Phân công'!#REF!&amp;CHAR(10)&amp;Sheet1!$E$1&amp;'Phân công'!D35&amp;CHAR(10)&amp;Sheet1!$F$1&amp;'Phân công'!#REF!</f>
        <v>#REF!</v>
      </c>
      <c r="C35" s="56" t="e">
        <f>$G$1&amp;'Phân công'!#REF!&amp;CHAR(10)&amp;Sheet1!$H$1&amp;'Phân công'!#REF!&amp;CHAR(10)&amp;Sheet1!$I$1&amp;'Phân công'!#REF!&amp;CHAR(10)&amp;Sheet1!$J$1&amp;'Phân công'!#REF!&amp;CHAR(10)&amp;$K$1&amp;'Phân công'!#REF!</f>
        <v>#REF!</v>
      </c>
    </row>
    <row r="36" spans="1:3" ht="98.25" customHeight="1" x14ac:dyDescent="0.25">
      <c r="A36" s="56">
        <v>35</v>
      </c>
      <c r="B36" s="56" t="e">
        <f>$B$1&amp;'Phân công'!B36&amp;CHAR(10)&amp;Sheet1!$C$1&amp;'Phân công'!A36&amp;CHAR(10)&amp;Sheet1!$D$1&amp;'Phân công'!#REF!&amp;CHAR(10)&amp;Sheet1!$E$1&amp;'Phân công'!D36&amp;CHAR(10)&amp;Sheet1!$F$1&amp;'Phân công'!#REF!</f>
        <v>#REF!</v>
      </c>
      <c r="C36" s="56" t="e">
        <f>$G$1&amp;'Phân công'!#REF!&amp;CHAR(10)&amp;Sheet1!$H$1&amp;'Phân công'!#REF!&amp;CHAR(10)&amp;Sheet1!$I$1&amp;'Phân công'!#REF!&amp;CHAR(10)&amp;Sheet1!$J$1&amp;'Phân công'!#REF!&amp;CHAR(10)&amp;$K$1&amp;'Phân công'!#REF!</f>
        <v>#REF!</v>
      </c>
    </row>
    <row r="37" spans="1:3" ht="98.25" customHeight="1" x14ac:dyDescent="0.25">
      <c r="A37" s="56">
        <v>36</v>
      </c>
      <c r="B37" s="56" t="e">
        <f>$B$1&amp;'Phân công'!B37&amp;CHAR(10)&amp;Sheet1!$C$1&amp;'Phân công'!A37&amp;CHAR(10)&amp;Sheet1!$D$1&amp;'Phân công'!#REF!&amp;CHAR(10)&amp;Sheet1!$E$1&amp;'Phân công'!D37&amp;CHAR(10)&amp;Sheet1!$F$1&amp;'Phân công'!#REF!</f>
        <v>#REF!</v>
      </c>
      <c r="C37" s="56" t="e">
        <f>$G$1&amp;'Phân công'!#REF!&amp;CHAR(10)&amp;Sheet1!$H$1&amp;'Phân công'!#REF!&amp;CHAR(10)&amp;Sheet1!$I$1&amp;'Phân công'!#REF!&amp;CHAR(10)&amp;Sheet1!$J$1&amp;'Phân công'!#REF!&amp;CHAR(10)&amp;$K$1&amp;'Phân công'!#REF!</f>
        <v>#REF!</v>
      </c>
    </row>
    <row r="38" spans="1:3" ht="98.25" customHeight="1" x14ac:dyDescent="0.25">
      <c r="A38" s="56">
        <v>37</v>
      </c>
      <c r="B38" s="56" t="e">
        <f>$B$1&amp;'Phân công'!B38&amp;CHAR(10)&amp;Sheet1!$C$1&amp;'Phân công'!A38&amp;CHAR(10)&amp;Sheet1!$D$1&amp;'Phân công'!#REF!&amp;CHAR(10)&amp;Sheet1!$E$1&amp;'Phân công'!D38&amp;CHAR(10)&amp;Sheet1!$F$1&amp;'Phân công'!#REF!</f>
        <v>#REF!</v>
      </c>
      <c r="C38" s="56" t="e">
        <f>$G$1&amp;'Phân công'!#REF!&amp;CHAR(10)&amp;Sheet1!$H$1&amp;'Phân công'!#REF!&amp;CHAR(10)&amp;Sheet1!$I$1&amp;'Phân công'!#REF!&amp;CHAR(10)&amp;Sheet1!$J$1&amp;'Phân công'!#REF!&amp;CHAR(10)&amp;$K$1&amp;'Phân công'!#REF!</f>
        <v>#REF!</v>
      </c>
    </row>
    <row r="39" spans="1:3" ht="98.25" customHeight="1" x14ac:dyDescent="0.25">
      <c r="A39" s="56">
        <v>38</v>
      </c>
      <c r="B39" s="56" t="e">
        <f>$B$1&amp;'Phân công'!B39&amp;CHAR(10)&amp;Sheet1!$C$1&amp;'Phân công'!A39&amp;CHAR(10)&amp;Sheet1!$D$1&amp;'Phân công'!#REF!&amp;CHAR(10)&amp;Sheet1!$E$1&amp;'Phân công'!D39&amp;CHAR(10)&amp;Sheet1!$F$1&amp;'Phân công'!#REF!</f>
        <v>#REF!</v>
      </c>
      <c r="C39" s="56" t="e">
        <f>$G$1&amp;'Phân công'!#REF!&amp;CHAR(10)&amp;Sheet1!$H$1&amp;'Phân công'!#REF!&amp;CHAR(10)&amp;Sheet1!$I$1&amp;'Phân công'!#REF!&amp;CHAR(10)&amp;Sheet1!$J$1&amp;'Phân công'!#REF!&amp;CHAR(10)&amp;$K$1&amp;'Phân công'!#REF!</f>
        <v>#REF!</v>
      </c>
    </row>
    <row r="40" spans="1:3" ht="98.25" customHeight="1" x14ac:dyDescent="0.25">
      <c r="A40" s="56">
        <v>39</v>
      </c>
      <c r="B40" s="56" t="e">
        <f>$B$1&amp;'Phân công'!B40&amp;CHAR(10)&amp;Sheet1!$C$1&amp;'Phân công'!A40&amp;CHAR(10)&amp;Sheet1!$D$1&amp;'Phân công'!#REF!&amp;CHAR(10)&amp;Sheet1!$E$1&amp;'Phân công'!D40&amp;CHAR(10)&amp;Sheet1!$F$1&amp;'Phân công'!#REF!</f>
        <v>#REF!</v>
      </c>
      <c r="C40" s="56" t="e">
        <f>$G$1&amp;'Phân công'!#REF!&amp;CHAR(10)&amp;Sheet1!$H$1&amp;'Phân công'!#REF!&amp;CHAR(10)&amp;Sheet1!$I$1&amp;'Phân công'!#REF!&amp;CHAR(10)&amp;Sheet1!$J$1&amp;'Phân công'!#REF!&amp;CHAR(10)&amp;$K$1&amp;'Phân công'!#REF!</f>
        <v>#REF!</v>
      </c>
    </row>
    <row r="41" spans="1:3" ht="98.25" customHeight="1" x14ac:dyDescent="0.25">
      <c r="A41" s="56">
        <v>40</v>
      </c>
      <c r="B41" s="56" t="e">
        <f>$B$1&amp;'Phân công'!B41&amp;CHAR(10)&amp;Sheet1!$C$1&amp;'Phân công'!A41&amp;CHAR(10)&amp;Sheet1!$D$1&amp;'Phân công'!#REF!&amp;CHAR(10)&amp;Sheet1!$E$1&amp;'Phân công'!D41&amp;CHAR(10)&amp;Sheet1!$F$1&amp;'Phân công'!#REF!</f>
        <v>#REF!</v>
      </c>
      <c r="C41" s="56" t="e">
        <f>$G$1&amp;'Phân công'!#REF!&amp;CHAR(10)&amp;Sheet1!$H$1&amp;'Phân công'!#REF!&amp;CHAR(10)&amp;Sheet1!$I$1&amp;'Phân công'!#REF!&amp;CHAR(10)&amp;Sheet1!$J$1&amp;'Phân công'!#REF!&amp;CHAR(10)&amp;$K$1&amp;'Phân công'!#REF!</f>
        <v>#REF!</v>
      </c>
    </row>
    <row r="42" spans="1:3" ht="98.25" customHeight="1" x14ac:dyDescent="0.25">
      <c r="A42" s="56">
        <v>41</v>
      </c>
      <c r="B42" s="56" t="e">
        <f>$B$1&amp;'Phân công'!B42&amp;CHAR(10)&amp;Sheet1!$C$1&amp;'Phân công'!A42&amp;CHAR(10)&amp;Sheet1!$D$1&amp;'Phân công'!#REF!&amp;CHAR(10)&amp;Sheet1!$E$1&amp;'Phân công'!D42&amp;CHAR(10)&amp;Sheet1!$F$1&amp;'Phân công'!#REF!</f>
        <v>#REF!</v>
      </c>
      <c r="C42" s="56" t="e">
        <f>$G$1&amp;'Phân công'!#REF!&amp;CHAR(10)&amp;Sheet1!$H$1&amp;'Phân công'!#REF!&amp;CHAR(10)&amp;Sheet1!$I$1&amp;'Phân công'!#REF!&amp;CHAR(10)&amp;Sheet1!$J$1&amp;'Phân công'!#REF!&amp;CHAR(10)&amp;$K$1&amp;'Phân công'!#REF!</f>
        <v>#REF!</v>
      </c>
    </row>
    <row r="43" spans="1:3" ht="98.25" customHeight="1" x14ac:dyDescent="0.25">
      <c r="A43" s="56">
        <v>42</v>
      </c>
      <c r="B43" s="56" t="e">
        <f>$B$1&amp;'Phân công'!B43&amp;CHAR(10)&amp;Sheet1!$C$1&amp;'Phân công'!A43&amp;CHAR(10)&amp;Sheet1!$D$1&amp;'Phân công'!#REF!&amp;CHAR(10)&amp;Sheet1!$E$1&amp;'Phân công'!D43&amp;CHAR(10)&amp;Sheet1!$F$1&amp;'Phân công'!#REF!</f>
        <v>#REF!</v>
      </c>
      <c r="C43" s="56" t="e">
        <f>$G$1&amp;'Phân công'!#REF!&amp;CHAR(10)&amp;Sheet1!$H$1&amp;'Phân công'!#REF!&amp;CHAR(10)&amp;Sheet1!$I$1&amp;'Phân công'!#REF!&amp;CHAR(10)&amp;Sheet1!$J$1&amp;'Phân công'!#REF!&amp;CHAR(10)&amp;$K$1&amp;'Phân công'!#REF!</f>
        <v>#REF!</v>
      </c>
    </row>
    <row r="44" spans="1:3" ht="98.25" customHeight="1" x14ac:dyDescent="0.25">
      <c r="A44" s="56">
        <v>43</v>
      </c>
      <c r="B44" s="56" t="e">
        <f>$B$1&amp;'Phân công'!B44&amp;CHAR(10)&amp;Sheet1!$C$1&amp;'Phân công'!A44&amp;CHAR(10)&amp;Sheet1!$D$1&amp;'Phân công'!#REF!&amp;CHAR(10)&amp;Sheet1!$E$1&amp;'Phân công'!D44&amp;CHAR(10)&amp;Sheet1!$F$1&amp;'Phân công'!#REF!</f>
        <v>#REF!</v>
      </c>
      <c r="C44" s="56" t="e">
        <f>$G$1&amp;'Phân công'!#REF!&amp;CHAR(10)&amp;Sheet1!$H$1&amp;'Phân công'!#REF!&amp;CHAR(10)&amp;Sheet1!$I$1&amp;'Phân công'!#REF!&amp;CHAR(10)&amp;Sheet1!$J$1&amp;'Phân công'!#REF!&amp;CHAR(10)&amp;$K$1&amp;'Phân công'!#REF!</f>
        <v>#REF!</v>
      </c>
    </row>
    <row r="45" spans="1:3" ht="98.25" customHeight="1" x14ac:dyDescent="0.25">
      <c r="A45" s="56">
        <v>44</v>
      </c>
      <c r="B45" s="56" t="e">
        <f>$B$1&amp;'Phân công'!B45&amp;CHAR(10)&amp;Sheet1!$C$1&amp;'Phân công'!A45&amp;CHAR(10)&amp;Sheet1!$D$1&amp;'Phân công'!#REF!&amp;CHAR(10)&amp;Sheet1!$E$1&amp;'Phân công'!D45&amp;CHAR(10)&amp;Sheet1!$F$1&amp;'Phân công'!#REF!</f>
        <v>#REF!</v>
      </c>
      <c r="C45" s="56" t="e">
        <f>$G$1&amp;'Phân công'!#REF!&amp;CHAR(10)&amp;Sheet1!$H$1&amp;'Phân công'!#REF!&amp;CHAR(10)&amp;Sheet1!$I$1&amp;'Phân công'!#REF!&amp;CHAR(10)&amp;Sheet1!$J$1&amp;'Phân công'!#REF!&amp;CHAR(10)&amp;$K$1&amp;'Phân công'!#REF!</f>
        <v>#REF!</v>
      </c>
    </row>
    <row r="46" spans="1:3" ht="98.25" customHeight="1" x14ac:dyDescent="0.25">
      <c r="A46" s="56">
        <v>45</v>
      </c>
      <c r="B46" s="56" t="e">
        <f>$B$1&amp;'Phân công'!B46&amp;CHAR(10)&amp;Sheet1!$C$1&amp;'Phân công'!A46&amp;CHAR(10)&amp;Sheet1!$D$1&amp;'Phân công'!#REF!&amp;CHAR(10)&amp;Sheet1!$E$1&amp;'Phân công'!D46&amp;CHAR(10)&amp;Sheet1!$F$1&amp;'Phân công'!#REF!</f>
        <v>#REF!</v>
      </c>
      <c r="C46" s="56" t="e">
        <f>$G$1&amp;'Phân công'!#REF!&amp;CHAR(10)&amp;Sheet1!$H$1&amp;'Phân công'!#REF!&amp;CHAR(10)&amp;Sheet1!$I$1&amp;'Phân công'!#REF!&amp;CHAR(10)&amp;Sheet1!$J$1&amp;'Phân công'!#REF!&amp;CHAR(10)&amp;$K$1&amp;'Phân công'!#REF!</f>
        <v>#REF!</v>
      </c>
    </row>
    <row r="47" spans="1:3" ht="98.25" customHeight="1" x14ac:dyDescent="0.25">
      <c r="A47" s="56">
        <v>46</v>
      </c>
      <c r="B47" s="56" t="e">
        <f>$B$1&amp;'Phân công'!B47&amp;CHAR(10)&amp;Sheet1!$C$1&amp;'Phân công'!A47&amp;CHAR(10)&amp;Sheet1!$D$1&amp;'Phân công'!#REF!&amp;CHAR(10)&amp;Sheet1!$E$1&amp;'Phân công'!D47&amp;CHAR(10)&amp;Sheet1!$F$1&amp;'Phân công'!#REF!</f>
        <v>#REF!</v>
      </c>
      <c r="C47" s="56" t="e">
        <f>$G$1&amp;'Phân công'!#REF!&amp;CHAR(10)&amp;Sheet1!$H$1&amp;'Phân công'!#REF!&amp;CHAR(10)&amp;Sheet1!$I$1&amp;'Phân công'!#REF!&amp;CHAR(10)&amp;Sheet1!$J$1&amp;'Phân công'!#REF!&amp;CHAR(10)&amp;$K$1&amp;'Phân công'!#REF!</f>
        <v>#REF!</v>
      </c>
    </row>
    <row r="48" spans="1:3" ht="98.25" customHeight="1" x14ac:dyDescent="0.25">
      <c r="A48" s="56">
        <v>47</v>
      </c>
      <c r="B48" s="56" t="e">
        <f>$B$1&amp;'Phân công'!B48&amp;CHAR(10)&amp;Sheet1!$C$1&amp;'Phân công'!A48&amp;CHAR(10)&amp;Sheet1!$D$1&amp;'Phân công'!#REF!&amp;CHAR(10)&amp;Sheet1!$E$1&amp;'Phân công'!D48&amp;CHAR(10)&amp;Sheet1!$F$1&amp;'Phân công'!#REF!</f>
        <v>#REF!</v>
      </c>
      <c r="C48" s="56" t="e">
        <f>$G$1&amp;'Phân công'!#REF!&amp;CHAR(10)&amp;Sheet1!$H$1&amp;'Phân công'!#REF!&amp;CHAR(10)&amp;Sheet1!$I$1&amp;'Phân công'!#REF!&amp;CHAR(10)&amp;Sheet1!$J$1&amp;'Phân công'!#REF!&amp;CHAR(10)&amp;$K$1&amp;'Phân công'!#REF!</f>
        <v>#REF!</v>
      </c>
    </row>
    <row r="49" spans="1:3" ht="98.25" customHeight="1" x14ac:dyDescent="0.25">
      <c r="A49" s="56">
        <v>48</v>
      </c>
      <c r="B49" s="56" t="e">
        <f>$B$1&amp;'Phân công'!B49&amp;CHAR(10)&amp;Sheet1!$C$1&amp;'Phân công'!A49&amp;CHAR(10)&amp;Sheet1!$D$1&amp;'Phân công'!#REF!&amp;CHAR(10)&amp;Sheet1!$E$1&amp;'Phân công'!D49&amp;CHAR(10)&amp;Sheet1!$F$1&amp;'Phân công'!#REF!</f>
        <v>#REF!</v>
      </c>
      <c r="C49" s="56" t="e">
        <f>$G$1&amp;'Phân công'!#REF!&amp;CHAR(10)&amp;Sheet1!$H$1&amp;'Phân công'!#REF!&amp;CHAR(10)&amp;Sheet1!$I$1&amp;'Phân công'!#REF!&amp;CHAR(10)&amp;Sheet1!$J$1&amp;'Phân công'!#REF!&amp;CHAR(10)&amp;$K$1&amp;'Phân công'!#REF!</f>
        <v>#REF!</v>
      </c>
    </row>
    <row r="50" spans="1:3" ht="98.25" customHeight="1" x14ac:dyDescent="0.25">
      <c r="A50" s="56">
        <v>49</v>
      </c>
      <c r="B50" s="56" t="e">
        <f>$B$1&amp;'Phân công'!B50&amp;CHAR(10)&amp;Sheet1!$C$1&amp;'Phân công'!A50&amp;CHAR(10)&amp;Sheet1!$D$1&amp;'Phân công'!#REF!&amp;CHAR(10)&amp;Sheet1!$E$1&amp;'Phân công'!D50&amp;CHAR(10)&amp;Sheet1!$F$1&amp;'Phân công'!#REF!</f>
        <v>#REF!</v>
      </c>
      <c r="C50" s="56" t="e">
        <f>$G$1&amp;'Phân công'!#REF!&amp;CHAR(10)&amp;Sheet1!$H$1&amp;'Phân công'!#REF!&amp;CHAR(10)&amp;Sheet1!$I$1&amp;'Phân công'!#REF!&amp;CHAR(10)&amp;Sheet1!$J$1&amp;'Phân công'!#REF!&amp;CHAR(10)&amp;$K$1&amp;'Phân công'!#REF!</f>
        <v>#REF!</v>
      </c>
    </row>
    <row r="51" spans="1:3" ht="98.25" customHeight="1" x14ac:dyDescent="0.25">
      <c r="A51" s="56">
        <v>50</v>
      </c>
      <c r="B51" s="56" t="e">
        <f>$B$1&amp;'Phân công'!B51&amp;CHAR(10)&amp;Sheet1!$C$1&amp;'Phân công'!A51&amp;CHAR(10)&amp;Sheet1!$D$1&amp;'Phân công'!#REF!&amp;CHAR(10)&amp;Sheet1!$E$1&amp;'Phân công'!D51&amp;CHAR(10)&amp;Sheet1!$F$1&amp;'Phân công'!#REF!</f>
        <v>#REF!</v>
      </c>
      <c r="C51" s="56" t="e">
        <f>$G$1&amp;'Phân công'!#REF!&amp;CHAR(10)&amp;Sheet1!$H$1&amp;'Phân công'!#REF!&amp;CHAR(10)&amp;Sheet1!$I$1&amp;'Phân công'!#REF!&amp;CHAR(10)&amp;Sheet1!$J$1&amp;'Phân công'!#REF!&amp;CHAR(10)&amp;$K$1&amp;'Phân công'!#REF!</f>
        <v>#REF!</v>
      </c>
    </row>
    <row r="52" spans="1:3" ht="98.25" customHeight="1" x14ac:dyDescent="0.25">
      <c r="A52" s="56">
        <v>51</v>
      </c>
      <c r="B52" s="56" t="e">
        <f>$B$1&amp;'Phân công'!B52&amp;CHAR(10)&amp;Sheet1!$C$1&amp;'Phân công'!A52&amp;CHAR(10)&amp;Sheet1!$D$1&amp;'Phân công'!#REF!&amp;CHAR(10)&amp;Sheet1!$E$1&amp;'Phân công'!D52&amp;CHAR(10)&amp;Sheet1!$F$1&amp;'Phân công'!#REF!</f>
        <v>#REF!</v>
      </c>
      <c r="C52" s="56" t="e">
        <f>$G$1&amp;'Phân công'!#REF!&amp;CHAR(10)&amp;Sheet1!$H$1&amp;'Phân công'!#REF!&amp;CHAR(10)&amp;Sheet1!$I$1&amp;'Phân công'!#REF!&amp;CHAR(10)&amp;Sheet1!$J$1&amp;'Phân công'!#REF!&amp;CHAR(10)&amp;$K$1&amp;'Phân công'!#REF!</f>
        <v>#REF!</v>
      </c>
    </row>
    <row r="53" spans="1:3" ht="98.25" customHeight="1" x14ac:dyDescent="0.25">
      <c r="A53" s="56">
        <v>52</v>
      </c>
      <c r="B53" s="56" t="e">
        <f>$B$1&amp;'Phân công'!B53&amp;CHAR(10)&amp;Sheet1!$C$1&amp;'Phân công'!A53&amp;CHAR(10)&amp;Sheet1!$D$1&amp;'Phân công'!#REF!&amp;CHAR(10)&amp;Sheet1!$E$1&amp;'Phân công'!D53&amp;CHAR(10)&amp;Sheet1!$F$1&amp;'Phân công'!#REF!</f>
        <v>#REF!</v>
      </c>
      <c r="C53" s="56" t="e">
        <f>$G$1&amp;'Phân công'!#REF!&amp;CHAR(10)&amp;Sheet1!$H$1&amp;'Phân công'!#REF!&amp;CHAR(10)&amp;Sheet1!$I$1&amp;'Phân công'!#REF!&amp;CHAR(10)&amp;Sheet1!$J$1&amp;'Phân công'!#REF!&amp;CHAR(10)&amp;$K$1&amp;'Phân công'!#REF!</f>
        <v>#REF!</v>
      </c>
    </row>
    <row r="54" spans="1:3" ht="98.25" customHeight="1" x14ac:dyDescent="0.25">
      <c r="A54" s="56">
        <v>53</v>
      </c>
      <c r="B54" s="56" t="e">
        <f>$B$1&amp;'Phân công'!B54&amp;CHAR(10)&amp;Sheet1!$C$1&amp;'Phân công'!A54&amp;CHAR(10)&amp;Sheet1!$D$1&amp;'Phân công'!#REF!&amp;CHAR(10)&amp;Sheet1!$E$1&amp;'Phân công'!D54&amp;CHAR(10)&amp;Sheet1!$F$1&amp;'Phân công'!#REF!</f>
        <v>#REF!</v>
      </c>
      <c r="C54" s="56" t="e">
        <f>$G$1&amp;'Phân công'!#REF!&amp;CHAR(10)&amp;Sheet1!$H$1&amp;'Phân công'!#REF!&amp;CHAR(10)&amp;Sheet1!$I$1&amp;'Phân công'!#REF!&amp;CHAR(10)&amp;Sheet1!$J$1&amp;'Phân công'!#REF!&amp;CHAR(10)&amp;$K$1&amp;'Phân công'!#REF!</f>
        <v>#REF!</v>
      </c>
    </row>
    <row r="55" spans="1:3" ht="98.25" customHeight="1" x14ac:dyDescent="0.25">
      <c r="A55" s="56">
        <v>54</v>
      </c>
      <c r="B55" s="56" t="e">
        <f>$B$1&amp;'Phân công'!B55&amp;CHAR(10)&amp;Sheet1!$C$1&amp;'Phân công'!A55&amp;CHAR(10)&amp;Sheet1!$D$1&amp;'Phân công'!#REF!&amp;CHAR(10)&amp;Sheet1!$E$1&amp;'Phân công'!D55&amp;CHAR(10)&amp;Sheet1!$F$1&amp;'Phân công'!#REF!</f>
        <v>#REF!</v>
      </c>
      <c r="C55" s="56" t="e">
        <f>$G$1&amp;'Phân công'!#REF!&amp;CHAR(10)&amp;Sheet1!$H$1&amp;'Phân công'!#REF!&amp;CHAR(10)&amp;Sheet1!$I$1&amp;'Phân công'!#REF!&amp;CHAR(10)&amp;Sheet1!$J$1&amp;'Phân công'!#REF!&amp;CHAR(10)&amp;$K$1&amp;'Phân công'!#REF!</f>
        <v>#REF!</v>
      </c>
    </row>
    <row r="56" spans="1:3" ht="98.25" customHeight="1" x14ac:dyDescent="0.25">
      <c r="A56" s="56">
        <v>55</v>
      </c>
      <c r="B56" s="56" t="e">
        <f>$B$1&amp;'Phân công'!B56&amp;CHAR(10)&amp;Sheet1!$C$1&amp;'Phân công'!A56&amp;CHAR(10)&amp;Sheet1!$D$1&amp;'Phân công'!#REF!&amp;CHAR(10)&amp;Sheet1!$E$1&amp;'Phân công'!D56&amp;CHAR(10)&amp;Sheet1!$F$1&amp;'Phân công'!#REF!</f>
        <v>#REF!</v>
      </c>
      <c r="C56" s="56" t="e">
        <f>$G$1&amp;'Phân công'!#REF!&amp;CHAR(10)&amp;Sheet1!$H$1&amp;'Phân công'!#REF!&amp;CHAR(10)&amp;Sheet1!$I$1&amp;'Phân công'!#REF!&amp;CHAR(10)&amp;Sheet1!$J$1&amp;'Phân công'!#REF!&amp;CHAR(10)&amp;$K$1&amp;'Phân công'!#REF!</f>
        <v>#REF!</v>
      </c>
    </row>
    <row r="57" spans="1:3" ht="98.25" customHeight="1" x14ac:dyDescent="0.25">
      <c r="A57" s="56">
        <v>56</v>
      </c>
      <c r="B57" s="56" t="e">
        <f>$B$1&amp;'Phân công'!B57&amp;CHAR(10)&amp;Sheet1!$C$1&amp;'Phân công'!A57&amp;CHAR(10)&amp;Sheet1!$D$1&amp;'Phân công'!#REF!&amp;CHAR(10)&amp;Sheet1!$E$1&amp;'Phân công'!D57&amp;CHAR(10)&amp;Sheet1!$F$1&amp;'Phân công'!#REF!</f>
        <v>#REF!</v>
      </c>
      <c r="C57" s="56" t="e">
        <f>$G$1&amp;'Phân công'!#REF!&amp;CHAR(10)&amp;Sheet1!$H$1&amp;'Phân công'!#REF!&amp;CHAR(10)&amp;Sheet1!$I$1&amp;'Phân công'!#REF!&amp;CHAR(10)&amp;Sheet1!$J$1&amp;'Phân công'!#REF!&amp;CHAR(10)&amp;$K$1&amp;'Phân công'!#REF!</f>
        <v>#REF!</v>
      </c>
    </row>
    <row r="58" spans="1:3" ht="98.25" customHeight="1" x14ac:dyDescent="0.25">
      <c r="A58" s="56">
        <v>57</v>
      </c>
      <c r="B58" s="56" t="e">
        <f>$B$1&amp;'Phân công'!B58&amp;CHAR(10)&amp;Sheet1!$C$1&amp;'Phân công'!A58&amp;CHAR(10)&amp;Sheet1!$D$1&amp;'Phân công'!#REF!&amp;CHAR(10)&amp;Sheet1!$E$1&amp;'Phân công'!D58&amp;CHAR(10)&amp;Sheet1!$F$1&amp;'Phân công'!#REF!</f>
        <v>#REF!</v>
      </c>
      <c r="C58" s="56" t="e">
        <f>$G$1&amp;'Phân công'!#REF!&amp;CHAR(10)&amp;Sheet1!$H$1&amp;'Phân công'!#REF!&amp;CHAR(10)&amp;Sheet1!$I$1&amp;'Phân công'!#REF!&amp;CHAR(10)&amp;Sheet1!$J$1&amp;'Phân công'!#REF!&amp;CHAR(10)&amp;$K$1&amp;'Phân công'!#REF!</f>
        <v>#REF!</v>
      </c>
    </row>
    <row r="59" spans="1:3" ht="98.25" customHeight="1" x14ac:dyDescent="0.25">
      <c r="A59" s="56">
        <v>58</v>
      </c>
      <c r="B59" s="56" t="e">
        <f>$B$1&amp;'Phân công'!B59&amp;CHAR(10)&amp;Sheet1!$C$1&amp;'Phân công'!A59&amp;CHAR(10)&amp;Sheet1!$D$1&amp;'Phân công'!#REF!&amp;CHAR(10)&amp;Sheet1!$E$1&amp;'Phân công'!D59&amp;CHAR(10)&amp;Sheet1!$F$1&amp;'Phân công'!#REF!</f>
        <v>#REF!</v>
      </c>
      <c r="C59" s="56" t="e">
        <f>$G$1&amp;'Phân công'!#REF!&amp;CHAR(10)&amp;Sheet1!$H$1&amp;'Phân công'!#REF!&amp;CHAR(10)&amp;Sheet1!$I$1&amp;'Phân công'!#REF!&amp;CHAR(10)&amp;Sheet1!$J$1&amp;'Phân công'!#REF!&amp;CHAR(10)&amp;$K$1&amp;'Phân công'!#REF!</f>
        <v>#REF!</v>
      </c>
    </row>
    <row r="60" spans="1:3" ht="98.25" customHeight="1" x14ac:dyDescent="0.25">
      <c r="A60" s="56">
        <v>59</v>
      </c>
      <c r="B60" s="56" t="e">
        <f>$B$1&amp;'Phân công'!B60&amp;CHAR(10)&amp;Sheet1!$C$1&amp;'Phân công'!A60&amp;CHAR(10)&amp;Sheet1!$D$1&amp;'Phân công'!#REF!&amp;CHAR(10)&amp;Sheet1!$E$1&amp;'Phân công'!D60&amp;CHAR(10)&amp;Sheet1!$F$1&amp;'Phân công'!#REF!</f>
        <v>#REF!</v>
      </c>
      <c r="C60" s="56" t="e">
        <f>$G$1&amp;'Phân công'!#REF!&amp;CHAR(10)&amp;Sheet1!$H$1&amp;'Phân công'!#REF!&amp;CHAR(10)&amp;Sheet1!$I$1&amp;'Phân công'!#REF!&amp;CHAR(10)&amp;Sheet1!$J$1&amp;'Phân công'!#REF!&amp;CHAR(10)&amp;$K$1&amp;'Phân công'!#REF!</f>
        <v>#REF!</v>
      </c>
    </row>
    <row r="61" spans="1:3" ht="98.25" customHeight="1" x14ac:dyDescent="0.25">
      <c r="A61" s="56">
        <v>60</v>
      </c>
      <c r="B61" s="56" t="e">
        <f>$B$1&amp;'Phân công'!B61&amp;CHAR(10)&amp;Sheet1!$C$1&amp;'Phân công'!A61&amp;CHAR(10)&amp;Sheet1!$D$1&amp;'Phân công'!#REF!&amp;CHAR(10)&amp;Sheet1!$E$1&amp;'Phân công'!D61&amp;CHAR(10)&amp;Sheet1!$F$1&amp;'Phân công'!#REF!</f>
        <v>#REF!</v>
      </c>
      <c r="C61" s="56" t="e">
        <f>$G$1&amp;'Phân công'!#REF!&amp;CHAR(10)&amp;Sheet1!$H$1&amp;'Phân công'!#REF!&amp;CHAR(10)&amp;Sheet1!$I$1&amp;'Phân công'!#REF!&amp;CHAR(10)&amp;Sheet1!$J$1&amp;'Phân công'!#REF!&amp;CHAR(10)&amp;$K$1&amp;'Phân công'!#REF!</f>
        <v>#REF!</v>
      </c>
    </row>
    <row r="62" spans="1:3" ht="98.25" customHeight="1" x14ac:dyDescent="0.25">
      <c r="A62" s="56">
        <v>61</v>
      </c>
      <c r="B62" s="56" t="e">
        <f>$B$1&amp;'Phân công'!B62&amp;CHAR(10)&amp;Sheet1!$C$1&amp;'Phân công'!A62&amp;CHAR(10)&amp;Sheet1!$D$1&amp;'Phân công'!#REF!&amp;CHAR(10)&amp;Sheet1!$E$1&amp;'Phân công'!D62&amp;CHAR(10)&amp;Sheet1!$F$1&amp;'Phân công'!#REF!</f>
        <v>#REF!</v>
      </c>
      <c r="C62" s="56" t="e">
        <f>$G$1&amp;'Phân công'!#REF!&amp;CHAR(10)&amp;Sheet1!$H$1&amp;'Phân công'!#REF!&amp;CHAR(10)&amp;Sheet1!$I$1&amp;'Phân công'!#REF!&amp;CHAR(10)&amp;Sheet1!$J$1&amp;'Phân công'!#REF!&amp;CHAR(10)&amp;$K$1&amp;'Phân công'!#REF!</f>
        <v>#REF!</v>
      </c>
    </row>
    <row r="63" spans="1:3" ht="98.25" customHeight="1" x14ac:dyDescent="0.25">
      <c r="A63" s="56">
        <v>62</v>
      </c>
      <c r="B63" s="56" t="e">
        <f>$B$1&amp;'Phân công'!B63&amp;CHAR(10)&amp;Sheet1!$C$1&amp;'Phân công'!A63&amp;CHAR(10)&amp;Sheet1!$D$1&amp;'Phân công'!#REF!&amp;CHAR(10)&amp;Sheet1!$E$1&amp;'Phân công'!D63&amp;CHAR(10)&amp;Sheet1!$F$1&amp;'Phân công'!#REF!</f>
        <v>#REF!</v>
      </c>
      <c r="C63" s="56" t="e">
        <f>$G$1&amp;'Phân công'!#REF!&amp;CHAR(10)&amp;Sheet1!$H$1&amp;'Phân công'!#REF!&amp;CHAR(10)&amp;Sheet1!$I$1&amp;'Phân công'!#REF!&amp;CHAR(10)&amp;Sheet1!$J$1&amp;'Phân công'!#REF!&amp;CHAR(10)&amp;$K$1&amp;'Phân công'!#REF!</f>
        <v>#REF!</v>
      </c>
    </row>
    <row r="64" spans="1:3" ht="98.25" customHeight="1" x14ac:dyDescent="0.25">
      <c r="A64" s="56">
        <v>63</v>
      </c>
      <c r="B64" s="56" t="e">
        <f>$B$1&amp;'Phân công'!B64&amp;CHAR(10)&amp;Sheet1!$C$1&amp;'Phân công'!A64&amp;CHAR(10)&amp;Sheet1!$D$1&amp;'Phân công'!#REF!&amp;CHAR(10)&amp;Sheet1!$E$1&amp;'Phân công'!D64&amp;CHAR(10)&amp;Sheet1!$F$1&amp;'Phân công'!#REF!</f>
        <v>#REF!</v>
      </c>
      <c r="C64" s="56" t="e">
        <f>$G$1&amp;'Phân công'!#REF!&amp;CHAR(10)&amp;Sheet1!$H$1&amp;'Phân công'!#REF!&amp;CHAR(10)&amp;Sheet1!$I$1&amp;'Phân công'!#REF!&amp;CHAR(10)&amp;Sheet1!$J$1&amp;'Phân công'!#REF!&amp;CHAR(10)&amp;$K$1&amp;'Phân công'!#REF!</f>
        <v>#REF!</v>
      </c>
    </row>
    <row r="65" spans="1:3" ht="98.25" customHeight="1" x14ac:dyDescent="0.25">
      <c r="A65" s="56">
        <v>64</v>
      </c>
      <c r="B65" s="56" t="e">
        <f>$B$1&amp;'Phân công'!B65&amp;CHAR(10)&amp;Sheet1!$C$1&amp;'Phân công'!A65&amp;CHAR(10)&amp;Sheet1!$D$1&amp;'Phân công'!#REF!&amp;CHAR(10)&amp;Sheet1!$E$1&amp;'Phân công'!D65&amp;CHAR(10)&amp;Sheet1!$F$1&amp;'Phân công'!#REF!</f>
        <v>#REF!</v>
      </c>
      <c r="C65" s="56" t="e">
        <f>$G$1&amp;'Phân công'!#REF!&amp;CHAR(10)&amp;Sheet1!$H$1&amp;'Phân công'!#REF!&amp;CHAR(10)&amp;Sheet1!$I$1&amp;'Phân công'!#REF!&amp;CHAR(10)&amp;Sheet1!$J$1&amp;'Phân công'!#REF!&amp;CHAR(10)&amp;$K$1&amp;'Phân công'!#REF!</f>
        <v>#REF!</v>
      </c>
    </row>
    <row r="66" spans="1:3" ht="98.25" customHeight="1" x14ac:dyDescent="0.25">
      <c r="A66" s="56">
        <v>65</v>
      </c>
      <c r="B66" s="56" t="e">
        <f>$B$1&amp;'Phân công'!B66&amp;CHAR(10)&amp;Sheet1!$C$1&amp;'Phân công'!A66&amp;CHAR(10)&amp;Sheet1!$D$1&amp;'Phân công'!#REF!&amp;CHAR(10)&amp;Sheet1!$E$1&amp;'Phân công'!D66&amp;CHAR(10)&amp;Sheet1!$F$1&amp;'Phân công'!#REF!</f>
        <v>#REF!</v>
      </c>
      <c r="C66" s="56" t="e">
        <f>$G$1&amp;'Phân công'!#REF!&amp;CHAR(10)&amp;Sheet1!$H$1&amp;'Phân công'!#REF!&amp;CHAR(10)&amp;Sheet1!$I$1&amp;'Phân công'!#REF!&amp;CHAR(10)&amp;Sheet1!$J$1&amp;'Phân công'!#REF!&amp;CHAR(10)&amp;$K$1&amp;'Phân công'!#REF!</f>
        <v>#REF!</v>
      </c>
    </row>
    <row r="67" spans="1:3" ht="98.25" customHeight="1" x14ac:dyDescent="0.25">
      <c r="A67" s="56">
        <v>66</v>
      </c>
      <c r="B67" s="56" t="e">
        <f>$B$1&amp;'Phân công'!B67&amp;CHAR(10)&amp;Sheet1!$C$1&amp;'Phân công'!A67&amp;CHAR(10)&amp;Sheet1!$D$1&amp;'Phân công'!#REF!&amp;CHAR(10)&amp;Sheet1!$E$1&amp;'Phân công'!D67&amp;CHAR(10)&amp;Sheet1!$F$1&amp;'Phân công'!#REF!</f>
        <v>#REF!</v>
      </c>
      <c r="C67" s="56" t="e">
        <f>$G$1&amp;'Phân công'!#REF!&amp;CHAR(10)&amp;Sheet1!$H$1&amp;'Phân công'!#REF!&amp;CHAR(10)&amp;Sheet1!$I$1&amp;'Phân công'!#REF!&amp;CHAR(10)&amp;Sheet1!$J$1&amp;'Phân công'!#REF!&amp;CHAR(10)&amp;$K$1&amp;'Phân công'!#REF!</f>
        <v>#REF!</v>
      </c>
    </row>
    <row r="68" spans="1:3" ht="98.25" customHeight="1" x14ac:dyDescent="0.25">
      <c r="A68" s="56">
        <v>67</v>
      </c>
      <c r="B68" s="56" t="e">
        <f>$B$1&amp;'Phân công'!B68&amp;CHAR(10)&amp;Sheet1!$C$1&amp;'Phân công'!A68&amp;CHAR(10)&amp;Sheet1!$D$1&amp;'Phân công'!#REF!&amp;CHAR(10)&amp;Sheet1!$E$1&amp;'Phân công'!D68&amp;CHAR(10)&amp;Sheet1!$F$1&amp;'Phân công'!#REF!</f>
        <v>#REF!</v>
      </c>
      <c r="C68" s="56" t="e">
        <f>$G$1&amp;'Phân công'!#REF!&amp;CHAR(10)&amp;Sheet1!$H$1&amp;'Phân công'!#REF!&amp;CHAR(10)&amp;Sheet1!$I$1&amp;'Phân công'!#REF!&amp;CHAR(10)&amp;Sheet1!$J$1&amp;'Phân công'!#REF!&amp;CHAR(10)&amp;$K$1&amp;'Phân công'!#REF!</f>
        <v>#REF!</v>
      </c>
    </row>
    <row r="69" spans="1:3" ht="98.25" customHeight="1" x14ac:dyDescent="0.25">
      <c r="A69" s="56">
        <v>68</v>
      </c>
      <c r="B69" s="56" t="e">
        <f>$B$1&amp;'Phân công'!B69&amp;CHAR(10)&amp;Sheet1!$C$1&amp;'Phân công'!A69&amp;CHAR(10)&amp;Sheet1!$D$1&amp;'Phân công'!#REF!&amp;CHAR(10)&amp;Sheet1!$E$1&amp;'Phân công'!D69&amp;CHAR(10)&amp;Sheet1!$F$1&amp;'Phân công'!#REF!</f>
        <v>#REF!</v>
      </c>
      <c r="C69" s="56" t="e">
        <f>$G$1&amp;'Phân công'!#REF!&amp;CHAR(10)&amp;Sheet1!$H$1&amp;'Phân công'!#REF!&amp;CHAR(10)&amp;Sheet1!$I$1&amp;'Phân công'!#REF!&amp;CHAR(10)&amp;Sheet1!$J$1&amp;'Phân công'!#REF!&amp;CHAR(10)&amp;$K$1&amp;'Phân công'!#REF!</f>
        <v>#REF!</v>
      </c>
    </row>
    <row r="70" spans="1:3" ht="98.25" customHeight="1" x14ac:dyDescent="0.25">
      <c r="A70" s="56">
        <v>69</v>
      </c>
      <c r="B70" s="56" t="e">
        <f>$B$1&amp;'Phân công'!B70&amp;CHAR(10)&amp;Sheet1!$C$1&amp;'Phân công'!A70&amp;CHAR(10)&amp;Sheet1!$D$1&amp;'Phân công'!#REF!&amp;CHAR(10)&amp;Sheet1!$E$1&amp;'Phân công'!D70&amp;CHAR(10)&amp;Sheet1!$F$1&amp;'Phân công'!#REF!</f>
        <v>#REF!</v>
      </c>
      <c r="C70" s="56" t="e">
        <f>$G$1&amp;'Phân công'!#REF!&amp;CHAR(10)&amp;Sheet1!$H$1&amp;'Phân công'!#REF!&amp;CHAR(10)&amp;Sheet1!$I$1&amp;'Phân công'!#REF!&amp;CHAR(10)&amp;Sheet1!$J$1&amp;'Phân công'!#REF!&amp;CHAR(10)&amp;$K$1&amp;'Phân công'!#REF!</f>
        <v>#REF!</v>
      </c>
    </row>
    <row r="71" spans="1:3" ht="98.25" customHeight="1" x14ac:dyDescent="0.25">
      <c r="A71" s="56">
        <v>70</v>
      </c>
      <c r="B71" s="56" t="e">
        <f>$B$1&amp;'Phân công'!B71&amp;CHAR(10)&amp;Sheet1!$C$1&amp;'Phân công'!A71&amp;CHAR(10)&amp;Sheet1!$D$1&amp;'Phân công'!#REF!&amp;CHAR(10)&amp;Sheet1!$E$1&amp;'Phân công'!D71&amp;CHAR(10)&amp;Sheet1!$F$1&amp;'Phân công'!#REF!</f>
        <v>#REF!</v>
      </c>
      <c r="C71" s="56" t="e">
        <f>$G$1&amp;'Phân công'!#REF!&amp;CHAR(10)&amp;Sheet1!$H$1&amp;'Phân công'!#REF!&amp;CHAR(10)&amp;Sheet1!$I$1&amp;'Phân công'!#REF!&amp;CHAR(10)&amp;Sheet1!$J$1&amp;'Phân công'!#REF!&amp;CHAR(10)&amp;$K$1&amp;'Phân công'!#REF!</f>
        <v>#REF!</v>
      </c>
    </row>
    <row r="72" spans="1:3" ht="98.25" customHeight="1" x14ac:dyDescent="0.25">
      <c r="A72" s="56">
        <v>71</v>
      </c>
      <c r="B72" s="56" t="e">
        <f>$B$1&amp;'Phân công'!B72&amp;CHAR(10)&amp;Sheet1!$C$1&amp;'Phân công'!A72&amp;CHAR(10)&amp;Sheet1!$D$1&amp;'Phân công'!#REF!&amp;CHAR(10)&amp;Sheet1!$E$1&amp;'Phân công'!D72&amp;CHAR(10)&amp;Sheet1!$F$1&amp;'Phân công'!#REF!</f>
        <v>#REF!</v>
      </c>
      <c r="C72" s="56" t="e">
        <f>$G$1&amp;'Phân công'!#REF!&amp;CHAR(10)&amp;Sheet1!$H$1&amp;'Phân công'!#REF!&amp;CHAR(10)&amp;Sheet1!$I$1&amp;'Phân công'!#REF!&amp;CHAR(10)&amp;Sheet1!$J$1&amp;'Phân công'!#REF!&amp;CHAR(10)&amp;$K$1&amp;'Phân công'!#REF!</f>
        <v>#REF!</v>
      </c>
    </row>
    <row r="73" spans="1:3" ht="98.25" customHeight="1" x14ac:dyDescent="0.25">
      <c r="A73" s="56">
        <v>72</v>
      </c>
      <c r="B73" s="56" t="e">
        <f>$B$1&amp;'Phân công'!B73&amp;CHAR(10)&amp;Sheet1!$C$1&amp;'Phân công'!A73&amp;CHAR(10)&amp;Sheet1!$D$1&amp;'Phân công'!#REF!&amp;CHAR(10)&amp;Sheet1!$E$1&amp;'Phân công'!D73&amp;CHAR(10)&amp;Sheet1!$F$1&amp;'Phân công'!#REF!</f>
        <v>#REF!</v>
      </c>
      <c r="C73" s="56" t="e">
        <f>$G$1&amp;'Phân công'!#REF!&amp;CHAR(10)&amp;Sheet1!$H$1&amp;'Phân công'!#REF!&amp;CHAR(10)&amp;Sheet1!$I$1&amp;'Phân công'!#REF!&amp;CHAR(10)&amp;Sheet1!$J$1&amp;'Phân công'!#REF!&amp;CHAR(10)&amp;$K$1&amp;'Phân công'!#REF!</f>
        <v>#REF!</v>
      </c>
    </row>
    <row r="74" spans="1:3" ht="98.25" customHeight="1" x14ac:dyDescent="0.25">
      <c r="A74" s="56">
        <v>73</v>
      </c>
      <c r="B74" s="56" t="e">
        <f>$B$1&amp;'Phân công'!B74&amp;CHAR(10)&amp;Sheet1!$C$1&amp;'Phân công'!A74&amp;CHAR(10)&amp;Sheet1!$D$1&amp;'Phân công'!#REF!&amp;CHAR(10)&amp;Sheet1!$E$1&amp;'Phân công'!D74&amp;CHAR(10)&amp;Sheet1!$F$1&amp;'Phân công'!#REF!</f>
        <v>#REF!</v>
      </c>
      <c r="C74" s="56" t="e">
        <f>$G$1&amp;'Phân công'!#REF!&amp;CHAR(10)&amp;Sheet1!$H$1&amp;'Phân công'!#REF!&amp;CHAR(10)&amp;Sheet1!$I$1&amp;'Phân công'!#REF!&amp;CHAR(10)&amp;Sheet1!$J$1&amp;'Phân công'!#REF!&amp;CHAR(10)&amp;$K$1&amp;'Phân công'!#REF!</f>
        <v>#REF!</v>
      </c>
    </row>
    <row r="75" spans="1:3" ht="98.25" customHeight="1" x14ac:dyDescent="0.25">
      <c r="A75" s="56">
        <v>74</v>
      </c>
      <c r="B75" s="56" t="e">
        <f>$B$1&amp;'Phân công'!B75&amp;CHAR(10)&amp;Sheet1!$C$1&amp;'Phân công'!A75&amp;CHAR(10)&amp;Sheet1!$D$1&amp;'Phân công'!#REF!&amp;CHAR(10)&amp;Sheet1!$E$1&amp;'Phân công'!D75&amp;CHAR(10)&amp;Sheet1!$F$1&amp;'Phân công'!#REF!</f>
        <v>#REF!</v>
      </c>
      <c r="C75" s="56" t="e">
        <f>$G$1&amp;'Phân công'!#REF!&amp;CHAR(10)&amp;Sheet1!$H$1&amp;'Phân công'!#REF!&amp;CHAR(10)&amp;Sheet1!$I$1&amp;'Phân công'!#REF!&amp;CHAR(10)&amp;Sheet1!$J$1&amp;'Phân công'!#REF!&amp;CHAR(10)&amp;$K$1&amp;'Phân công'!#REF!</f>
        <v>#REF!</v>
      </c>
    </row>
    <row r="76" spans="1:3" ht="98.25" customHeight="1" x14ac:dyDescent="0.25">
      <c r="A76" s="56">
        <v>75</v>
      </c>
      <c r="B76" s="56" t="e">
        <f>$B$1&amp;'Phân công'!B76&amp;CHAR(10)&amp;Sheet1!$C$1&amp;'Phân công'!A76&amp;CHAR(10)&amp;Sheet1!$D$1&amp;'Phân công'!#REF!&amp;CHAR(10)&amp;Sheet1!$E$1&amp;'Phân công'!D76&amp;CHAR(10)&amp;Sheet1!$F$1&amp;'Phân công'!#REF!</f>
        <v>#REF!</v>
      </c>
      <c r="C76" s="56" t="e">
        <f>$G$1&amp;'Phân công'!#REF!&amp;CHAR(10)&amp;Sheet1!$H$1&amp;'Phân công'!#REF!&amp;CHAR(10)&amp;Sheet1!$I$1&amp;'Phân công'!#REF!&amp;CHAR(10)&amp;Sheet1!$J$1&amp;'Phân công'!#REF!&amp;CHAR(10)&amp;$K$1&amp;'Phân công'!#REF!</f>
        <v>#REF!</v>
      </c>
    </row>
    <row r="77" spans="1:3" ht="98.25" customHeight="1" x14ac:dyDescent="0.25">
      <c r="A77" s="56">
        <v>76</v>
      </c>
      <c r="B77" s="56" t="e">
        <f>$B$1&amp;'Phân công'!B77&amp;CHAR(10)&amp;Sheet1!$C$1&amp;'Phân công'!A77&amp;CHAR(10)&amp;Sheet1!$D$1&amp;'Phân công'!#REF!&amp;CHAR(10)&amp;Sheet1!$E$1&amp;'Phân công'!D77&amp;CHAR(10)&amp;Sheet1!$F$1&amp;'Phân công'!#REF!</f>
        <v>#REF!</v>
      </c>
      <c r="C77" s="56" t="e">
        <f>$G$1&amp;'Phân công'!#REF!&amp;CHAR(10)&amp;Sheet1!$H$1&amp;'Phân công'!#REF!&amp;CHAR(10)&amp;Sheet1!$I$1&amp;'Phân công'!#REF!&amp;CHAR(10)&amp;Sheet1!$J$1&amp;'Phân công'!#REF!&amp;CHAR(10)&amp;$K$1&amp;'Phân công'!#REF!</f>
        <v>#REF!</v>
      </c>
    </row>
    <row r="78" spans="1:3" ht="98.25" customHeight="1" x14ac:dyDescent="0.25">
      <c r="A78" s="56">
        <v>77</v>
      </c>
      <c r="B78" s="56" t="e">
        <f>$B$1&amp;'Phân công'!B78&amp;CHAR(10)&amp;Sheet1!$C$1&amp;'Phân công'!A78&amp;CHAR(10)&amp;Sheet1!$D$1&amp;'Phân công'!#REF!&amp;CHAR(10)&amp;Sheet1!$E$1&amp;'Phân công'!D78&amp;CHAR(10)&amp;Sheet1!$F$1&amp;'Phân công'!#REF!</f>
        <v>#REF!</v>
      </c>
      <c r="C78" s="56" t="e">
        <f>$G$1&amp;'Phân công'!#REF!&amp;CHAR(10)&amp;Sheet1!$H$1&amp;'Phân công'!#REF!&amp;CHAR(10)&amp;Sheet1!$I$1&amp;'Phân công'!#REF!&amp;CHAR(10)&amp;Sheet1!$J$1&amp;'Phân công'!#REF!&amp;CHAR(10)&amp;$K$1&amp;'Phân công'!#REF!</f>
        <v>#REF!</v>
      </c>
    </row>
    <row r="79" spans="1:3" ht="98.25" customHeight="1" x14ac:dyDescent="0.25">
      <c r="A79" s="56">
        <v>78</v>
      </c>
      <c r="B79" s="56" t="e">
        <f>$B$1&amp;'Phân công'!B79&amp;CHAR(10)&amp;Sheet1!$C$1&amp;'Phân công'!A79&amp;CHAR(10)&amp;Sheet1!$D$1&amp;'Phân công'!#REF!&amp;CHAR(10)&amp;Sheet1!$E$1&amp;'Phân công'!D79&amp;CHAR(10)&amp;Sheet1!$F$1&amp;'Phân công'!#REF!</f>
        <v>#REF!</v>
      </c>
      <c r="C79" s="56" t="e">
        <f>$G$1&amp;'Phân công'!#REF!&amp;CHAR(10)&amp;Sheet1!$H$1&amp;'Phân công'!#REF!&amp;CHAR(10)&amp;Sheet1!$I$1&amp;'Phân công'!#REF!&amp;CHAR(10)&amp;Sheet1!$J$1&amp;'Phân công'!#REF!&amp;CHAR(10)&amp;$K$1&amp;'Phân công'!#REF!</f>
        <v>#REF!</v>
      </c>
    </row>
    <row r="80" spans="1:3" ht="98.25" customHeight="1" x14ac:dyDescent="0.25">
      <c r="A80" s="56">
        <v>79</v>
      </c>
      <c r="B80" s="56" t="e">
        <f>$B$1&amp;'Phân công'!B80&amp;CHAR(10)&amp;Sheet1!$C$1&amp;'Phân công'!A80&amp;CHAR(10)&amp;Sheet1!$D$1&amp;'Phân công'!#REF!&amp;CHAR(10)&amp;Sheet1!$E$1&amp;'Phân công'!D80&amp;CHAR(10)&amp;Sheet1!$F$1&amp;'Phân công'!#REF!</f>
        <v>#REF!</v>
      </c>
      <c r="C80" s="56" t="e">
        <f>$G$1&amp;'Phân công'!#REF!&amp;CHAR(10)&amp;Sheet1!$H$1&amp;'Phân công'!#REF!&amp;CHAR(10)&amp;Sheet1!$I$1&amp;'Phân công'!#REF!&amp;CHAR(10)&amp;Sheet1!$J$1&amp;'Phân công'!#REF!&amp;CHAR(10)&amp;$K$1&amp;'Phân công'!#REF!</f>
        <v>#REF!</v>
      </c>
    </row>
    <row r="81" spans="1:3" ht="98.25" customHeight="1" x14ac:dyDescent="0.25">
      <c r="A81" s="56">
        <v>80</v>
      </c>
      <c r="B81" s="56" t="e">
        <f>$B$1&amp;'Phân công'!B81&amp;CHAR(10)&amp;Sheet1!$C$1&amp;'Phân công'!A81&amp;CHAR(10)&amp;Sheet1!$D$1&amp;'Phân công'!#REF!&amp;CHAR(10)&amp;Sheet1!$E$1&amp;'Phân công'!D81&amp;CHAR(10)&amp;Sheet1!$F$1&amp;'Phân công'!#REF!</f>
        <v>#REF!</v>
      </c>
      <c r="C81" s="56" t="e">
        <f>$G$1&amp;'Phân công'!#REF!&amp;CHAR(10)&amp;Sheet1!$H$1&amp;'Phân công'!#REF!&amp;CHAR(10)&amp;Sheet1!$I$1&amp;'Phân công'!#REF!&amp;CHAR(10)&amp;Sheet1!$J$1&amp;'Phân công'!#REF!&amp;CHAR(10)&amp;$K$1&amp;'Phân công'!#REF!</f>
        <v>#REF!</v>
      </c>
    </row>
    <row r="82" spans="1:3" ht="98.25" customHeight="1" x14ac:dyDescent="0.25">
      <c r="A82" s="56">
        <v>81</v>
      </c>
      <c r="B82" s="56" t="e">
        <f>$B$1&amp;'Phân công'!B82&amp;CHAR(10)&amp;Sheet1!$C$1&amp;'Phân công'!A82&amp;CHAR(10)&amp;Sheet1!$D$1&amp;'Phân công'!#REF!&amp;CHAR(10)&amp;Sheet1!$E$1&amp;'Phân công'!D82&amp;CHAR(10)&amp;Sheet1!$F$1&amp;'Phân công'!#REF!</f>
        <v>#REF!</v>
      </c>
      <c r="C82" s="56" t="e">
        <f>$G$1&amp;'Phân công'!#REF!&amp;CHAR(10)&amp;Sheet1!$H$1&amp;'Phân công'!#REF!&amp;CHAR(10)&amp;Sheet1!$I$1&amp;'Phân công'!#REF!&amp;CHAR(10)&amp;Sheet1!$J$1&amp;'Phân công'!#REF!&amp;CHAR(10)&amp;$K$1&amp;'Phân công'!#REF!</f>
        <v>#REF!</v>
      </c>
    </row>
    <row r="83" spans="1:3" ht="98.25" customHeight="1" x14ac:dyDescent="0.25">
      <c r="A83" s="56">
        <v>82</v>
      </c>
      <c r="B83" s="56" t="e">
        <f>$B$1&amp;'Phân công'!B83&amp;CHAR(10)&amp;Sheet1!$C$1&amp;'Phân công'!A83&amp;CHAR(10)&amp;Sheet1!$D$1&amp;'Phân công'!#REF!&amp;CHAR(10)&amp;Sheet1!$E$1&amp;'Phân công'!D83&amp;CHAR(10)&amp;Sheet1!$F$1&amp;'Phân công'!#REF!</f>
        <v>#REF!</v>
      </c>
      <c r="C83" s="56" t="e">
        <f>$G$1&amp;'Phân công'!#REF!&amp;CHAR(10)&amp;Sheet1!$H$1&amp;'Phân công'!#REF!&amp;CHAR(10)&amp;Sheet1!$I$1&amp;'Phân công'!#REF!&amp;CHAR(10)&amp;Sheet1!$J$1&amp;'Phân công'!#REF!&amp;CHAR(10)&amp;$K$1&amp;'Phân công'!#REF!</f>
        <v>#REF!</v>
      </c>
    </row>
    <row r="84" spans="1:3" ht="98.25" customHeight="1" x14ac:dyDescent="0.25">
      <c r="A84" s="56">
        <v>83</v>
      </c>
      <c r="B84" s="56" t="e">
        <f>$B$1&amp;'Phân công'!B84&amp;CHAR(10)&amp;Sheet1!$C$1&amp;'Phân công'!A84&amp;CHAR(10)&amp;Sheet1!$D$1&amp;'Phân công'!#REF!&amp;CHAR(10)&amp;Sheet1!$E$1&amp;'Phân công'!D84&amp;CHAR(10)&amp;Sheet1!$F$1&amp;'Phân công'!#REF!</f>
        <v>#REF!</v>
      </c>
      <c r="C84" s="56" t="e">
        <f>$G$1&amp;'Phân công'!#REF!&amp;CHAR(10)&amp;Sheet1!$H$1&amp;'Phân công'!#REF!&amp;CHAR(10)&amp;Sheet1!$I$1&amp;'Phân công'!#REF!&amp;CHAR(10)&amp;Sheet1!$J$1&amp;'Phân công'!#REF!&amp;CHAR(10)&amp;$K$1&amp;'Phân công'!#REF!</f>
        <v>#REF!</v>
      </c>
    </row>
    <row r="85" spans="1:3" ht="98.25" customHeight="1" x14ac:dyDescent="0.25">
      <c r="A85" s="56">
        <v>84</v>
      </c>
      <c r="B85" s="56" t="e">
        <f>$B$1&amp;'Phân công'!B85&amp;CHAR(10)&amp;Sheet1!$C$1&amp;'Phân công'!A85&amp;CHAR(10)&amp;Sheet1!$D$1&amp;'Phân công'!#REF!&amp;CHAR(10)&amp;Sheet1!$E$1&amp;'Phân công'!D85&amp;CHAR(10)&amp;Sheet1!$F$1&amp;'Phân công'!#REF!</f>
        <v>#REF!</v>
      </c>
      <c r="C85" s="56" t="e">
        <f>$G$1&amp;'Phân công'!#REF!&amp;CHAR(10)&amp;Sheet1!$H$1&amp;'Phân công'!#REF!&amp;CHAR(10)&amp;Sheet1!$I$1&amp;'Phân công'!#REF!&amp;CHAR(10)&amp;Sheet1!$J$1&amp;'Phân công'!#REF!&amp;CHAR(10)&amp;$K$1&amp;'Phân công'!#REF!</f>
        <v>#REF!</v>
      </c>
    </row>
    <row r="86" spans="1:3" ht="98.25" customHeight="1" x14ac:dyDescent="0.25">
      <c r="A86" s="56">
        <v>85</v>
      </c>
      <c r="B86" s="56" t="e">
        <f>$B$1&amp;'Phân công'!B86&amp;CHAR(10)&amp;Sheet1!$C$1&amp;'Phân công'!A86&amp;CHAR(10)&amp;Sheet1!$D$1&amp;'Phân công'!#REF!&amp;CHAR(10)&amp;Sheet1!$E$1&amp;'Phân công'!D86&amp;CHAR(10)&amp;Sheet1!$F$1&amp;'Phân công'!#REF!</f>
        <v>#REF!</v>
      </c>
      <c r="C86" s="56" t="e">
        <f>$G$1&amp;'Phân công'!#REF!&amp;CHAR(10)&amp;Sheet1!$H$1&amp;'Phân công'!#REF!&amp;CHAR(10)&amp;Sheet1!$I$1&amp;'Phân công'!#REF!&amp;CHAR(10)&amp;Sheet1!$J$1&amp;'Phân công'!#REF!&amp;CHAR(10)&amp;$K$1&amp;'Phân công'!#REF!</f>
        <v>#REF!</v>
      </c>
    </row>
    <row r="87" spans="1:3" ht="98.25" customHeight="1" x14ac:dyDescent="0.25">
      <c r="A87" s="56">
        <v>86</v>
      </c>
      <c r="B87" s="56" t="e">
        <f>$B$1&amp;'Phân công'!B87&amp;CHAR(10)&amp;Sheet1!$C$1&amp;'Phân công'!A87&amp;CHAR(10)&amp;Sheet1!$D$1&amp;'Phân công'!#REF!&amp;CHAR(10)&amp;Sheet1!$E$1&amp;'Phân công'!D87&amp;CHAR(10)&amp;Sheet1!$F$1&amp;'Phân công'!#REF!</f>
        <v>#REF!</v>
      </c>
      <c r="C87" s="56" t="e">
        <f>$G$1&amp;'Phân công'!#REF!&amp;CHAR(10)&amp;Sheet1!$H$1&amp;'Phân công'!#REF!&amp;CHAR(10)&amp;Sheet1!$I$1&amp;'Phân công'!#REF!&amp;CHAR(10)&amp;Sheet1!$J$1&amp;'Phân công'!#REF!&amp;CHAR(10)&amp;$K$1&amp;'Phân công'!#REF!</f>
        <v>#REF!</v>
      </c>
    </row>
    <row r="88" spans="1:3" ht="98.25" customHeight="1" x14ac:dyDescent="0.25">
      <c r="A88" s="56">
        <v>87</v>
      </c>
      <c r="B88" s="56" t="e">
        <f>$B$1&amp;'Phân công'!B88&amp;CHAR(10)&amp;Sheet1!$C$1&amp;'Phân công'!A88&amp;CHAR(10)&amp;Sheet1!$D$1&amp;'Phân công'!#REF!&amp;CHAR(10)&amp;Sheet1!$E$1&amp;'Phân công'!D88&amp;CHAR(10)&amp;Sheet1!$F$1&amp;'Phân công'!#REF!</f>
        <v>#REF!</v>
      </c>
      <c r="C88" s="56" t="e">
        <f>$G$1&amp;'Phân công'!#REF!&amp;CHAR(10)&amp;Sheet1!$H$1&amp;'Phân công'!#REF!&amp;CHAR(10)&amp;Sheet1!$I$1&amp;'Phân công'!#REF!&amp;CHAR(10)&amp;Sheet1!$J$1&amp;'Phân công'!#REF!&amp;CHAR(10)&amp;$K$1&amp;'Phân công'!#REF!</f>
        <v>#REF!</v>
      </c>
    </row>
    <row r="89" spans="1:3" ht="98.25" customHeight="1" x14ac:dyDescent="0.25">
      <c r="A89" s="56">
        <v>88</v>
      </c>
      <c r="B89" s="56" t="e">
        <f>$B$1&amp;'Phân công'!B89&amp;CHAR(10)&amp;Sheet1!$C$1&amp;'Phân công'!A89&amp;CHAR(10)&amp;Sheet1!$D$1&amp;'Phân công'!#REF!&amp;CHAR(10)&amp;Sheet1!$E$1&amp;'Phân công'!D89&amp;CHAR(10)&amp;Sheet1!$F$1&amp;'Phân công'!#REF!</f>
        <v>#REF!</v>
      </c>
      <c r="C89" s="56" t="e">
        <f>$G$1&amp;'Phân công'!#REF!&amp;CHAR(10)&amp;Sheet1!$H$1&amp;'Phân công'!#REF!&amp;CHAR(10)&amp;Sheet1!$I$1&amp;'Phân công'!#REF!&amp;CHAR(10)&amp;Sheet1!$J$1&amp;'Phân công'!#REF!&amp;CHAR(10)&amp;$K$1&amp;'Phân công'!#REF!</f>
        <v>#REF!</v>
      </c>
    </row>
    <row r="90" spans="1:3" ht="98.25" customHeight="1" x14ac:dyDescent="0.25">
      <c r="A90" s="56">
        <v>89</v>
      </c>
      <c r="B90" s="56" t="e">
        <f>$B$1&amp;'Phân công'!B90&amp;CHAR(10)&amp;Sheet1!$C$1&amp;'Phân công'!A90&amp;CHAR(10)&amp;Sheet1!$D$1&amp;'Phân công'!#REF!&amp;CHAR(10)&amp;Sheet1!$E$1&amp;'Phân công'!D90&amp;CHAR(10)&amp;Sheet1!$F$1&amp;'Phân công'!#REF!</f>
        <v>#REF!</v>
      </c>
      <c r="C90" s="56" t="e">
        <f>$G$1&amp;'Phân công'!#REF!&amp;CHAR(10)&amp;Sheet1!$H$1&amp;'Phân công'!#REF!&amp;CHAR(10)&amp;Sheet1!$I$1&amp;'Phân công'!#REF!&amp;CHAR(10)&amp;Sheet1!$J$1&amp;'Phân công'!#REF!&amp;CHAR(10)&amp;$K$1&amp;'Phân công'!#REF!</f>
        <v>#REF!</v>
      </c>
    </row>
    <row r="91" spans="1:3" ht="98.25" customHeight="1" x14ac:dyDescent="0.25">
      <c r="A91" s="56">
        <v>90</v>
      </c>
      <c r="B91" s="56" t="e">
        <f>$B$1&amp;'Phân công'!B91&amp;CHAR(10)&amp;Sheet1!$C$1&amp;'Phân công'!A91&amp;CHAR(10)&amp;Sheet1!$D$1&amp;'Phân công'!#REF!&amp;CHAR(10)&amp;Sheet1!$E$1&amp;'Phân công'!D91&amp;CHAR(10)&amp;Sheet1!$F$1&amp;'Phân công'!#REF!</f>
        <v>#REF!</v>
      </c>
      <c r="C91" s="56" t="e">
        <f>$G$1&amp;'Phân công'!#REF!&amp;CHAR(10)&amp;Sheet1!$H$1&amp;'Phân công'!#REF!&amp;CHAR(10)&amp;Sheet1!$I$1&amp;'Phân công'!#REF!&amp;CHAR(10)&amp;Sheet1!$J$1&amp;'Phân công'!#REF!&amp;CHAR(10)&amp;$K$1&amp;'Phân công'!#REF!</f>
        <v>#REF!</v>
      </c>
    </row>
    <row r="92" spans="1:3" ht="98.25" customHeight="1" x14ac:dyDescent="0.25">
      <c r="A92" s="56">
        <v>91</v>
      </c>
      <c r="B92" s="56" t="e">
        <f>$B$1&amp;'Phân công'!B92&amp;CHAR(10)&amp;Sheet1!$C$1&amp;'Phân công'!A92&amp;CHAR(10)&amp;Sheet1!$D$1&amp;'Phân công'!#REF!&amp;CHAR(10)&amp;Sheet1!$E$1&amp;'Phân công'!D92&amp;CHAR(10)&amp;Sheet1!$F$1&amp;'Phân công'!#REF!</f>
        <v>#REF!</v>
      </c>
      <c r="C92" s="56" t="e">
        <f>$G$1&amp;'Phân công'!#REF!&amp;CHAR(10)&amp;Sheet1!$H$1&amp;'Phân công'!#REF!&amp;CHAR(10)&amp;Sheet1!$I$1&amp;'Phân công'!#REF!&amp;CHAR(10)&amp;Sheet1!$J$1&amp;'Phân công'!#REF!&amp;CHAR(10)&amp;$K$1&amp;'Phân công'!#REF!</f>
        <v>#REF!</v>
      </c>
    </row>
    <row r="93" spans="1:3" ht="98.25" customHeight="1" x14ac:dyDescent="0.25">
      <c r="A93" s="56">
        <v>92</v>
      </c>
      <c r="B93" s="56" t="e">
        <f>$B$1&amp;'Phân công'!B93&amp;CHAR(10)&amp;Sheet1!$C$1&amp;'Phân công'!A93&amp;CHAR(10)&amp;Sheet1!$D$1&amp;'Phân công'!#REF!&amp;CHAR(10)&amp;Sheet1!$E$1&amp;'Phân công'!D93&amp;CHAR(10)&amp;Sheet1!$F$1&amp;'Phân công'!#REF!</f>
        <v>#REF!</v>
      </c>
      <c r="C93" s="56" t="e">
        <f>$G$1&amp;'Phân công'!#REF!&amp;CHAR(10)&amp;Sheet1!$H$1&amp;'Phân công'!#REF!&amp;CHAR(10)&amp;Sheet1!$I$1&amp;'Phân công'!#REF!&amp;CHAR(10)&amp;Sheet1!$J$1&amp;'Phân công'!#REF!&amp;CHAR(10)&amp;$K$1&amp;'Phân công'!#REF!</f>
        <v>#REF!</v>
      </c>
    </row>
    <row r="94" spans="1:3" ht="98.25" customHeight="1" x14ac:dyDescent="0.25">
      <c r="A94" s="56">
        <v>93</v>
      </c>
      <c r="B94" s="56" t="e">
        <f>$B$1&amp;'Phân công'!B94&amp;CHAR(10)&amp;Sheet1!$C$1&amp;'Phân công'!A94&amp;CHAR(10)&amp;Sheet1!$D$1&amp;'Phân công'!#REF!&amp;CHAR(10)&amp;Sheet1!$E$1&amp;'Phân công'!D94&amp;CHAR(10)&amp;Sheet1!$F$1&amp;'Phân công'!#REF!</f>
        <v>#REF!</v>
      </c>
      <c r="C94" s="56" t="e">
        <f>$G$1&amp;'Phân công'!#REF!&amp;CHAR(10)&amp;Sheet1!$H$1&amp;'Phân công'!#REF!&amp;CHAR(10)&amp;Sheet1!$I$1&amp;'Phân công'!#REF!&amp;CHAR(10)&amp;Sheet1!$J$1&amp;'Phân công'!#REF!&amp;CHAR(10)&amp;$K$1&amp;'Phân công'!#REF!</f>
        <v>#REF!</v>
      </c>
    </row>
    <row r="95" spans="1:3" ht="98.25" customHeight="1" x14ac:dyDescent="0.25">
      <c r="A95" s="56">
        <v>94</v>
      </c>
      <c r="B95" s="56" t="e">
        <f>$B$1&amp;'Phân công'!B95&amp;CHAR(10)&amp;Sheet1!$C$1&amp;'Phân công'!A95&amp;CHAR(10)&amp;Sheet1!$D$1&amp;'Phân công'!#REF!&amp;CHAR(10)&amp;Sheet1!$E$1&amp;'Phân công'!D95&amp;CHAR(10)&amp;Sheet1!$F$1&amp;'Phân công'!#REF!</f>
        <v>#REF!</v>
      </c>
      <c r="C95" s="56" t="e">
        <f>$G$1&amp;'Phân công'!#REF!&amp;CHAR(10)&amp;Sheet1!$H$1&amp;'Phân công'!#REF!&amp;CHAR(10)&amp;Sheet1!$I$1&amp;'Phân công'!#REF!&amp;CHAR(10)&amp;Sheet1!$J$1&amp;'Phân công'!#REF!&amp;CHAR(10)&amp;$K$1&amp;'Phân công'!#REF!</f>
        <v>#REF!</v>
      </c>
    </row>
    <row r="96" spans="1:3" ht="98.25" customHeight="1" x14ac:dyDescent="0.25">
      <c r="A96" s="56">
        <v>95</v>
      </c>
      <c r="B96" s="56" t="e">
        <f>$B$1&amp;'Phân công'!B96&amp;CHAR(10)&amp;Sheet1!$C$1&amp;'Phân công'!A96&amp;CHAR(10)&amp;Sheet1!$D$1&amp;'Phân công'!#REF!&amp;CHAR(10)&amp;Sheet1!$E$1&amp;'Phân công'!D96&amp;CHAR(10)&amp;Sheet1!$F$1&amp;'Phân công'!#REF!</f>
        <v>#REF!</v>
      </c>
      <c r="C96" s="56" t="e">
        <f>$G$1&amp;'Phân công'!#REF!&amp;CHAR(10)&amp;Sheet1!$H$1&amp;'Phân công'!#REF!&amp;CHAR(10)&amp;Sheet1!$I$1&amp;'Phân công'!#REF!&amp;CHAR(10)&amp;Sheet1!$J$1&amp;'Phân công'!#REF!&amp;CHAR(10)&amp;$K$1&amp;'Phân công'!#REF!</f>
        <v>#REF!</v>
      </c>
    </row>
    <row r="97" spans="1:3" ht="98.25" customHeight="1" x14ac:dyDescent="0.25">
      <c r="A97" s="56">
        <v>96</v>
      </c>
      <c r="B97" s="56" t="e">
        <f>$B$1&amp;'Phân công'!B97&amp;CHAR(10)&amp;Sheet1!$C$1&amp;'Phân công'!A97&amp;CHAR(10)&amp;Sheet1!$D$1&amp;'Phân công'!#REF!&amp;CHAR(10)&amp;Sheet1!$E$1&amp;'Phân công'!D97&amp;CHAR(10)&amp;Sheet1!$F$1&amp;'Phân công'!#REF!</f>
        <v>#REF!</v>
      </c>
      <c r="C97" s="56" t="e">
        <f>$G$1&amp;'Phân công'!#REF!&amp;CHAR(10)&amp;Sheet1!$H$1&amp;'Phân công'!#REF!&amp;CHAR(10)&amp;Sheet1!$I$1&amp;'Phân công'!#REF!&amp;CHAR(10)&amp;Sheet1!$J$1&amp;'Phân công'!#REF!&amp;CHAR(10)&amp;$K$1&amp;'Phân công'!#REF!</f>
        <v>#REF!</v>
      </c>
    </row>
    <row r="98" spans="1:3" ht="98.25" customHeight="1" x14ac:dyDescent="0.25">
      <c r="A98" s="56">
        <v>97</v>
      </c>
      <c r="B98" s="56" t="e">
        <f>$B$1&amp;'Phân công'!B98&amp;CHAR(10)&amp;Sheet1!$C$1&amp;'Phân công'!A98&amp;CHAR(10)&amp;Sheet1!$D$1&amp;'Phân công'!#REF!&amp;CHAR(10)&amp;Sheet1!$E$1&amp;'Phân công'!D98&amp;CHAR(10)&amp;Sheet1!$F$1&amp;'Phân công'!#REF!</f>
        <v>#REF!</v>
      </c>
      <c r="C98" s="56" t="e">
        <f>$G$1&amp;'Phân công'!#REF!&amp;CHAR(10)&amp;Sheet1!$H$1&amp;'Phân công'!#REF!&amp;CHAR(10)&amp;Sheet1!$I$1&amp;'Phân công'!#REF!&amp;CHAR(10)&amp;Sheet1!$J$1&amp;'Phân công'!#REF!&amp;CHAR(10)&amp;$K$1&amp;'Phân công'!#REF!</f>
        <v>#REF!</v>
      </c>
    </row>
    <row r="99" spans="1:3" ht="98.25" customHeight="1" x14ac:dyDescent="0.25">
      <c r="A99" s="56">
        <v>98</v>
      </c>
      <c r="B99" s="56" t="e">
        <f>$B$1&amp;'Phân công'!B99&amp;CHAR(10)&amp;Sheet1!$C$1&amp;'Phân công'!A99&amp;CHAR(10)&amp;Sheet1!$D$1&amp;'Phân công'!#REF!&amp;CHAR(10)&amp;Sheet1!$E$1&amp;'Phân công'!D99&amp;CHAR(10)&amp;Sheet1!$F$1&amp;'Phân công'!#REF!</f>
        <v>#REF!</v>
      </c>
      <c r="C99" s="56" t="e">
        <f>$G$1&amp;'Phân công'!#REF!&amp;CHAR(10)&amp;Sheet1!$H$1&amp;'Phân công'!#REF!&amp;CHAR(10)&amp;Sheet1!$I$1&amp;'Phân công'!#REF!&amp;CHAR(10)&amp;Sheet1!$J$1&amp;'Phân công'!#REF!&amp;CHAR(10)&amp;$K$1&amp;'Phân công'!#REF!</f>
        <v>#REF!</v>
      </c>
    </row>
    <row r="100" spans="1:3" ht="98.25" customHeight="1" x14ac:dyDescent="0.25">
      <c r="A100" s="56">
        <v>99</v>
      </c>
      <c r="B100" s="56" t="e">
        <f>$B$1&amp;'Phân công'!B100&amp;CHAR(10)&amp;Sheet1!$C$1&amp;'Phân công'!A100&amp;CHAR(10)&amp;Sheet1!$D$1&amp;'Phân công'!#REF!&amp;CHAR(10)&amp;Sheet1!$E$1&amp;'Phân công'!D100&amp;CHAR(10)&amp;Sheet1!$F$1&amp;'Phân công'!#REF!</f>
        <v>#REF!</v>
      </c>
      <c r="C100" s="56" t="e">
        <f>$G$1&amp;'Phân công'!#REF!&amp;CHAR(10)&amp;Sheet1!$H$1&amp;'Phân công'!#REF!&amp;CHAR(10)&amp;Sheet1!$I$1&amp;'Phân công'!#REF!&amp;CHAR(10)&amp;Sheet1!$J$1&amp;'Phân công'!#REF!&amp;CHAR(10)&amp;$K$1&amp;'Phân công'!#REF!</f>
        <v>#REF!</v>
      </c>
    </row>
    <row r="101" spans="1:3" ht="98.25" customHeight="1" x14ac:dyDescent="0.25">
      <c r="A101" s="56">
        <v>100</v>
      </c>
      <c r="B101" s="56" t="e">
        <f>$B$1&amp;'Phân công'!B101&amp;CHAR(10)&amp;Sheet1!$C$1&amp;'Phân công'!A101&amp;CHAR(10)&amp;Sheet1!$D$1&amp;'Phân công'!#REF!&amp;CHAR(10)&amp;Sheet1!$E$1&amp;'Phân công'!D101&amp;CHAR(10)&amp;Sheet1!$F$1&amp;'Phân công'!#REF!</f>
        <v>#REF!</v>
      </c>
      <c r="C101" s="56" t="e">
        <f>$G$1&amp;'Phân công'!#REF!&amp;CHAR(10)&amp;Sheet1!$H$1&amp;'Phân công'!#REF!&amp;CHAR(10)&amp;Sheet1!$I$1&amp;'Phân công'!#REF!&amp;CHAR(10)&amp;Sheet1!$J$1&amp;'Phân công'!#REF!&amp;CHAR(10)&amp;$K$1&amp;'Phân công'!#REF!</f>
        <v>#REF!</v>
      </c>
    </row>
    <row r="102" spans="1:3" ht="98.25" customHeight="1" x14ac:dyDescent="0.25">
      <c r="A102" s="56">
        <v>101</v>
      </c>
      <c r="B102" s="56" t="e">
        <f>$B$1&amp;'Phân công'!B102&amp;CHAR(10)&amp;Sheet1!$C$1&amp;'Phân công'!A102&amp;CHAR(10)&amp;Sheet1!$D$1&amp;'Phân công'!#REF!&amp;CHAR(10)&amp;Sheet1!$E$1&amp;'Phân công'!D102&amp;CHAR(10)&amp;Sheet1!$F$1&amp;'Phân công'!#REF!</f>
        <v>#REF!</v>
      </c>
      <c r="C102" s="56" t="e">
        <f>$G$1&amp;'Phân công'!#REF!&amp;CHAR(10)&amp;Sheet1!$H$1&amp;'Phân công'!#REF!&amp;CHAR(10)&amp;Sheet1!$I$1&amp;'Phân công'!#REF!&amp;CHAR(10)&amp;Sheet1!$J$1&amp;'Phân công'!#REF!&amp;CHAR(10)&amp;$K$1&amp;'Phân công'!#REF!</f>
        <v>#REF!</v>
      </c>
    </row>
    <row r="103" spans="1:3" ht="98.25" customHeight="1" x14ac:dyDescent="0.25">
      <c r="A103" s="56">
        <v>102</v>
      </c>
      <c r="B103" s="56" t="e">
        <f>$B$1&amp;'Phân công'!B103&amp;CHAR(10)&amp;Sheet1!$C$1&amp;'Phân công'!A103&amp;CHAR(10)&amp;Sheet1!$D$1&amp;'Phân công'!#REF!&amp;CHAR(10)&amp;Sheet1!$E$1&amp;'Phân công'!D103&amp;CHAR(10)&amp;Sheet1!$F$1&amp;'Phân công'!#REF!</f>
        <v>#REF!</v>
      </c>
      <c r="C103" s="56" t="e">
        <f>$G$1&amp;'Phân công'!#REF!&amp;CHAR(10)&amp;Sheet1!$H$1&amp;'Phân công'!#REF!&amp;CHAR(10)&amp;Sheet1!$I$1&amp;'Phân công'!#REF!&amp;CHAR(10)&amp;Sheet1!$J$1&amp;'Phân công'!#REF!&amp;CHAR(10)&amp;$K$1&amp;'Phân công'!#REF!</f>
        <v>#REF!</v>
      </c>
    </row>
    <row r="104" spans="1:3" ht="98.25" customHeight="1" x14ac:dyDescent="0.25">
      <c r="A104" s="56">
        <v>103</v>
      </c>
      <c r="B104" s="56" t="e">
        <f>$B$1&amp;'Phân công'!B104&amp;CHAR(10)&amp;Sheet1!$C$1&amp;'Phân công'!A104&amp;CHAR(10)&amp;Sheet1!$D$1&amp;'Phân công'!#REF!&amp;CHAR(10)&amp;Sheet1!$E$1&amp;'Phân công'!D104&amp;CHAR(10)&amp;Sheet1!$F$1&amp;'Phân công'!#REF!</f>
        <v>#REF!</v>
      </c>
      <c r="C104" s="56" t="e">
        <f>$G$1&amp;'Phân công'!#REF!&amp;CHAR(10)&amp;Sheet1!$H$1&amp;'Phân công'!#REF!&amp;CHAR(10)&amp;Sheet1!$I$1&amp;'Phân công'!#REF!&amp;CHAR(10)&amp;Sheet1!$J$1&amp;'Phân công'!#REF!&amp;CHAR(10)&amp;$K$1&amp;'Phân công'!#REF!</f>
        <v>#REF!</v>
      </c>
    </row>
    <row r="105" spans="1:3" ht="98.25" customHeight="1" x14ac:dyDescent="0.25">
      <c r="A105" s="56">
        <v>104</v>
      </c>
      <c r="B105" s="56" t="e">
        <f>$B$1&amp;'Phân công'!B105&amp;CHAR(10)&amp;Sheet1!$C$1&amp;'Phân công'!A105&amp;CHAR(10)&amp;Sheet1!$D$1&amp;'Phân công'!#REF!&amp;CHAR(10)&amp;Sheet1!$E$1&amp;'Phân công'!D105&amp;CHAR(10)&amp;Sheet1!$F$1&amp;'Phân công'!#REF!</f>
        <v>#REF!</v>
      </c>
      <c r="C105" s="56" t="e">
        <f>$G$1&amp;'Phân công'!#REF!&amp;CHAR(10)&amp;Sheet1!$H$1&amp;'Phân công'!#REF!&amp;CHAR(10)&amp;Sheet1!$I$1&amp;'Phân công'!#REF!&amp;CHAR(10)&amp;Sheet1!$J$1&amp;'Phân công'!#REF!&amp;CHAR(10)&amp;$K$1&amp;'Phân công'!#REF!</f>
        <v>#REF!</v>
      </c>
    </row>
    <row r="106" spans="1:3" ht="98.25" customHeight="1" x14ac:dyDescent="0.25">
      <c r="A106" s="56">
        <v>105</v>
      </c>
      <c r="B106" s="56" t="e">
        <f>$B$1&amp;'Phân công'!B106&amp;CHAR(10)&amp;Sheet1!$C$1&amp;'Phân công'!A106&amp;CHAR(10)&amp;Sheet1!$D$1&amp;'Phân công'!#REF!&amp;CHAR(10)&amp;Sheet1!$E$1&amp;'Phân công'!D106&amp;CHAR(10)&amp;Sheet1!$F$1&amp;'Phân công'!#REF!</f>
        <v>#REF!</v>
      </c>
      <c r="C106" s="56" t="e">
        <f>$G$1&amp;'Phân công'!#REF!&amp;CHAR(10)&amp;Sheet1!$H$1&amp;'Phân công'!#REF!&amp;CHAR(10)&amp;Sheet1!$I$1&amp;'Phân công'!#REF!&amp;CHAR(10)&amp;Sheet1!$J$1&amp;'Phân công'!#REF!&amp;CHAR(10)&amp;$K$1&amp;'Phân công'!#REF!</f>
        <v>#REF!</v>
      </c>
    </row>
    <row r="107" spans="1:3" ht="98.25" customHeight="1" x14ac:dyDescent="0.25">
      <c r="A107" s="56">
        <v>106</v>
      </c>
      <c r="B107" s="56" t="e">
        <f>$B$1&amp;'Phân công'!B107&amp;CHAR(10)&amp;Sheet1!$C$1&amp;'Phân công'!A107&amp;CHAR(10)&amp;Sheet1!$D$1&amp;'Phân công'!#REF!&amp;CHAR(10)&amp;Sheet1!$E$1&amp;'Phân công'!D107&amp;CHAR(10)&amp;Sheet1!$F$1&amp;'Phân công'!#REF!</f>
        <v>#REF!</v>
      </c>
      <c r="C107" s="56" t="e">
        <f>$G$1&amp;'Phân công'!#REF!&amp;CHAR(10)&amp;Sheet1!$H$1&amp;'Phân công'!#REF!&amp;CHAR(10)&amp;Sheet1!$I$1&amp;'Phân công'!#REF!&amp;CHAR(10)&amp;Sheet1!$J$1&amp;'Phân công'!#REF!&amp;CHAR(10)&amp;$K$1&amp;'Phân công'!#REF!</f>
        <v>#REF!</v>
      </c>
    </row>
    <row r="108" spans="1:3" ht="98.25" customHeight="1" x14ac:dyDescent="0.25">
      <c r="A108" s="56">
        <v>107</v>
      </c>
      <c r="B108" s="56" t="e">
        <f>$B$1&amp;'Phân công'!B108&amp;CHAR(10)&amp;Sheet1!$C$1&amp;'Phân công'!A108&amp;CHAR(10)&amp;Sheet1!$D$1&amp;'Phân công'!#REF!&amp;CHAR(10)&amp;Sheet1!$E$1&amp;'Phân công'!D108&amp;CHAR(10)&amp;Sheet1!$F$1&amp;'Phân công'!#REF!</f>
        <v>#REF!</v>
      </c>
      <c r="C108" s="56" t="e">
        <f>$G$1&amp;'Phân công'!#REF!&amp;CHAR(10)&amp;Sheet1!$H$1&amp;'Phân công'!#REF!&amp;CHAR(10)&amp;Sheet1!$I$1&amp;'Phân công'!#REF!&amp;CHAR(10)&amp;Sheet1!$J$1&amp;'Phân công'!#REF!&amp;CHAR(10)&amp;$K$1&amp;'Phân công'!#REF!</f>
        <v>#REF!</v>
      </c>
    </row>
    <row r="109" spans="1:3" ht="98.25" customHeight="1" x14ac:dyDescent="0.25">
      <c r="A109" s="56">
        <v>108</v>
      </c>
      <c r="B109" s="56" t="e">
        <f>$B$1&amp;'Phân công'!B109&amp;CHAR(10)&amp;Sheet1!$C$1&amp;'Phân công'!A109&amp;CHAR(10)&amp;Sheet1!$D$1&amp;'Phân công'!#REF!&amp;CHAR(10)&amp;Sheet1!$E$1&amp;'Phân công'!D109&amp;CHAR(10)&amp;Sheet1!$F$1&amp;'Phân công'!#REF!</f>
        <v>#REF!</v>
      </c>
      <c r="C109" s="56" t="e">
        <f>$G$1&amp;'Phân công'!#REF!&amp;CHAR(10)&amp;Sheet1!$H$1&amp;'Phân công'!#REF!&amp;CHAR(10)&amp;Sheet1!$I$1&amp;'Phân công'!#REF!&amp;CHAR(10)&amp;Sheet1!$J$1&amp;'Phân công'!#REF!&amp;CHAR(10)&amp;$K$1&amp;'Phân công'!#REF!</f>
        <v>#REF!</v>
      </c>
    </row>
    <row r="110" spans="1:3" ht="98.25" customHeight="1" x14ac:dyDescent="0.25">
      <c r="A110" s="56">
        <v>109</v>
      </c>
      <c r="B110" s="56" t="e">
        <f>$B$1&amp;'Phân công'!B110&amp;CHAR(10)&amp;Sheet1!$C$1&amp;'Phân công'!A110&amp;CHAR(10)&amp;Sheet1!$D$1&amp;'Phân công'!#REF!&amp;CHAR(10)&amp;Sheet1!$E$1&amp;'Phân công'!D110&amp;CHAR(10)&amp;Sheet1!$F$1&amp;'Phân công'!#REF!</f>
        <v>#REF!</v>
      </c>
      <c r="C110" s="56" t="e">
        <f>$G$1&amp;'Phân công'!#REF!&amp;CHAR(10)&amp;Sheet1!$H$1&amp;'Phân công'!#REF!&amp;CHAR(10)&amp;Sheet1!$I$1&amp;'Phân công'!#REF!&amp;CHAR(10)&amp;Sheet1!$J$1&amp;'Phân công'!#REF!&amp;CHAR(10)&amp;$K$1&amp;'Phân công'!#REF!</f>
        <v>#REF!</v>
      </c>
    </row>
    <row r="111" spans="1:3" ht="98.25" customHeight="1" x14ac:dyDescent="0.25">
      <c r="A111" s="56">
        <v>110</v>
      </c>
      <c r="B111" s="56" t="e">
        <f>$B$1&amp;'Phân công'!B111&amp;CHAR(10)&amp;Sheet1!$C$1&amp;'Phân công'!A111&amp;CHAR(10)&amp;Sheet1!$D$1&amp;'Phân công'!#REF!&amp;CHAR(10)&amp;Sheet1!$E$1&amp;'Phân công'!D111&amp;CHAR(10)&amp;Sheet1!$F$1&amp;'Phân công'!#REF!</f>
        <v>#REF!</v>
      </c>
      <c r="C111" s="56" t="e">
        <f>$G$1&amp;'Phân công'!#REF!&amp;CHAR(10)&amp;Sheet1!$H$1&amp;'Phân công'!#REF!&amp;CHAR(10)&amp;Sheet1!$I$1&amp;'Phân công'!#REF!&amp;CHAR(10)&amp;Sheet1!$J$1&amp;'Phân công'!#REF!&amp;CHAR(10)&amp;$K$1&amp;'Phân công'!#REF!</f>
        <v>#REF!</v>
      </c>
    </row>
    <row r="112" spans="1:3" ht="98.25" customHeight="1" x14ac:dyDescent="0.25">
      <c r="A112" s="56">
        <v>111</v>
      </c>
      <c r="B112" s="56" t="e">
        <f>$B$1&amp;'Phân công'!B112&amp;CHAR(10)&amp;Sheet1!$C$1&amp;'Phân công'!A112&amp;CHAR(10)&amp;Sheet1!$D$1&amp;'Phân công'!#REF!&amp;CHAR(10)&amp;Sheet1!$E$1&amp;'Phân công'!D112&amp;CHAR(10)&amp;Sheet1!$F$1&amp;'Phân công'!#REF!</f>
        <v>#REF!</v>
      </c>
      <c r="C112" s="56" t="e">
        <f>$G$1&amp;'Phân công'!#REF!&amp;CHAR(10)&amp;Sheet1!$H$1&amp;'Phân công'!#REF!&amp;CHAR(10)&amp;Sheet1!$I$1&amp;'Phân công'!#REF!&amp;CHAR(10)&amp;Sheet1!$J$1&amp;'Phân công'!#REF!&amp;CHAR(10)&amp;$K$1&amp;'Phân công'!#REF!</f>
        <v>#REF!</v>
      </c>
    </row>
    <row r="113" spans="1:3" ht="98.25" customHeight="1" x14ac:dyDescent="0.25">
      <c r="A113" s="56">
        <v>112</v>
      </c>
      <c r="B113" s="56" t="e">
        <f>$B$1&amp;'Phân công'!B113&amp;CHAR(10)&amp;Sheet1!$C$1&amp;'Phân công'!A113&amp;CHAR(10)&amp;Sheet1!$D$1&amp;'Phân công'!#REF!&amp;CHAR(10)&amp;Sheet1!$E$1&amp;'Phân công'!D113&amp;CHAR(10)&amp;Sheet1!$F$1&amp;'Phân công'!#REF!</f>
        <v>#REF!</v>
      </c>
      <c r="C113" s="56" t="e">
        <f>$G$1&amp;'Phân công'!#REF!&amp;CHAR(10)&amp;Sheet1!$H$1&amp;'Phân công'!#REF!&amp;CHAR(10)&amp;Sheet1!$I$1&amp;'Phân công'!#REF!&amp;CHAR(10)&amp;Sheet1!$J$1&amp;'Phân công'!#REF!&amp;CHAR(10)&amp;$K$1&amp;'Phân công'!#REF!</f>
        <v>#REF!</v>
      </c>
    </row>
    <row r="114" spans="1:3" ht="98.25" customHeight="1" x14ac:dyDescent="0.25">
      <c r="A114" s="56">
        <v>113</v>
      </c>
      <c r="B114" s="56" t="e">
        <f>$B$1&amp;'Phân công'!B114&amp;CHAR(10)&amp;Sheet1!$C$1&amp;'Phân công'!A114&amp;CHAR(10)&amp;Sheet1!$D$1&amp;'Phân công'!#REF!&amp;CHAR(10)&amp;Sheet1!$E$1&amp;'Phân công'!D114&amp;CHAR(10)&amp;Sheet1!$F$1&amp;'Phân công'!#REF!</f>
        <v>#REF!</v>
      </c>
      <c r="C114" s="56" t="e">
        <f>$G$1&amp;'Phân công'!#REF!&amp;CHAR(10)&amp;Sheet1!$H$1&amp;'Phân công'!#REF!&amp;CHAR(10)&amp;Sheet1!$I$1&amp;'Phân công'!#REF!&amp;CHAR(10)&amp;Sheet1!$J$1&amp;'Phân công'!#REF!&amp;CHAR(10)&amp;$K$1&amp;'Phân công'!#REF!</f>
        <v>#REF!</v>
      </c>
    </row>
    <row r="115" spans="1:3" ht="98.25" customHeight="1" x14ac:dyDescent="0.25">
      <c r="A115" s="56">
        <v>114</v>
      </c>
      <c r="B115" s="56" t="e">
        <f>$B$1&amp;'Phân công'!B115&amp;CHAR(10)&amp;Sheet1!$C$1&amp;'Phân công'!A115&amp;CHAR(10)&amp;Sheet1!$D$1&amp;'Phân công'!#REF!&amp;CHAR(10)&amp;Sheet1!$E$1&amp;'Phân công'!D115&amp;CHAR(10)&amp;Sheet1!$F$1&amp;'Phân công'!#REF!</f>
        <v>#REF!</v>
      </c>
      <c r="C115" s="56" t="e">
        <f>$G$1&amp;'Phân công'!#REF!&amp;CHAR(10)&amp;Sheet1!$H$1&amp;'Phân công'!#REF!&amp;CHAR(10)&amp;Sheet1!$I$1&amp;'Phân công'!#REF!&amp;CHAR(10)&amp;Sheet1!$J$1&amp;'Phân công'!#REF!&amp;CHAR(10)&amp;$K$1&amp;'Phân công'!#REF!</f>
        <v>#REF!</v>
      </c>
    </row>
    <row r="116" spans="1:3" ht="98.25" customHeight="1" x14ac:dyDescent="0.25">
      <c r="A116" s="56">
        <v>115</v>
      </c>
      <c r="B116" s="56" t="e">
        <f>$B$1&amp;'Phân công'!B116&amp;CHAR(10)&amp;Sheet1!$C$1&amp;'Phân công'!A116&amp;CHAR(10)&amp;Sheet1!$D$1&amp;'Phân công'!#REF!&amp;CHAR(10)&amp;Sheet1!$E$1&amp;'Phân công'!D116&amp;CHAR(10)&amp;Sheet1!$F$1&amp;'Phân công'!#REF!</f>
        <v>#REF!</v>
      </c>
      <c r="C116" s="56" t="e">
        <f>$G$1&amp;'Phân công'!#REF!&amp;CHAR(10)&amp;Sheet1!$H$1&amp;'Phân công'!#REF!&amp;CHAR(10)&amp;Sheet1!$I$1&amp;'Phân công'!#REF!&amp;CHAR(10)&amp;Sheet1!$J$1&amp;'Phân công'!#REF!&amp;CHAR(10)&amp;$K$1&amp;'Phân công'!#REF!</f>
        <v>#REF!</v>
      </c>
    </row>
    <row r="117" spans="1:3" ht="98.25" customHeight="1" x14ac:dyDescent="0.25">
      <c r="A117" s="56">
        <v>116</v>
      </c>
      <c r="B117" s="56" t="e">
        <f>$B$1&amp;'Phân công'!B117&amp;CHAR(10)&amp;Sheet1!$C$1&amp;'Phân công'!A117&amp;CHAR(10)&amp;Sheet1!$D$1&amp;'Phân công'!#REF!&amp;CHAR(10)&amp;Sheet1!$E$1&amp;'Phân công'!D117&amp;CHAR(10)&amp;Sheet1!$F$1&amp;'Phân công'!#REF!</f>
        <v>#REF!</v>
      </c>
      <c r="C117" s="56" t="e">
        <f>$G$1&amp;'Phân công'!#REF!&amp;CHAR(10)&amp;Sheet1!$H$1&amp;'Phân công'!#REF!&amp;CHAR(10)&amp;Sheet1!$I$1&amp;'Phân công'!#REF!&amp;CHAR(10)&amp;Sheet1!$J$1&amp;'Phân công'!#REF!&amp;CHAR(10)&amp;$K$1&amp;'Phân công'!#REF!</f>
        <v>#REF!</v>
      </c>
    </row>
    <row r="118" spans="1:3" ht="98.25" customHeight="1" x14ac:dyDescent="0.25">
      <c r="A118" s="56">
        <v>117</v>
      </c>
      <c r="B118" s="56" t="e">
        <f>$B$1&amp;'Phân công'!B118&amp;CHAR(10)&amp;Sheet1!$C$1&amp;'Phân công'!A118&amp;CHAR(10)&amp;Sheet1!$D$1&amp;'Phân công'!#REF!&amp;CHAR(10)&amp;Sheet1!$E$1&amp;'Phân công'!D118&amp;CHAR(10)&amp;Sheet1!$F$1&amp;'Phân công'!#REF!</f>
        <v>#REF!</v>
      </c>
      <c r="C118" s="56" t="e">
        <f>$G$1&amp;'Phân công'!#REF!&amp;CHAR(10)&amp;Sheet1!$H$1&amp;'Phân công'!#REF!&amp;CHAR(10)&amp;Sheet1!$I$1&amp;'Phân công'!#REF!&amp;CHAR(10)&amp;Sheet1!$J$1&amp;'Phân công'!#REF!&amp;CHAR(10)&amp;$K$1&amp;'Phân công'!#REF!</f>
        <v>#REF!</v>
      </c>
    </row>
    <row r="119" spans="1:3" ht="98.25" customHeight="1" x14ac:dyDescent="0.25">
      <c r="A119" s="56">
        <v>118</v>
      </c>
      <c r="B119" s="56" t="e">
        <f>$B$1&amp;'Phân công'!B119&amp;CHAR(10)&amp;Sheet1!$C$1&amp;'Phân công'!A119&amp;CHAR(10)&amp;Sheet1!$D$1&amp;'Phân công'!#REF!&amp;CHAR(10)&amp;Sheet1!$E$1&amp;'Phân công'!D119&amp;CHAR(10)&amp;Sheet1!$F$1&amp;'Phân công'!#REF!</f>
        <v>#REF!</v>
      </c>
      <c r="C119" s="56" t="e">
        <f>$G$1&amp;'Phân công'!#REF!&amp;CHAR(10)&amp;Sheet1!$H$1&amp;'Phân công'!#REF!&amp;CHAR(10)&amp;Sheet1!$I$1&amp;'Phân công'!#REF!&amp;CHAR(10)&amp;Sheet1!$J$1&amp;'Phân công'!#REF!&amp;CHAR(10)&amp;$K$1&amp;'Phân công'!#REF!</f>
        <v>#REF!</v>
      </c>
    </row>
    <row r="120" spans="1:3" ht="98.25" customHeight="1" x14ac:dyDescent="0.25">
      <c r="A120" s="56">
        <v>119</v>
      </c>
      <c r="B120" s="56" t="e">
        <f>$B$1&amp;'Phân công'!B120&amp;CHAR(10)&amp;Sheet1!$C$1&amp;'Phân công'!A120&amp;CHAR(10)&amp;Sheet1!$D$1&amp;'Phân công'!#REF!&amp;CHAR(10)&amp;Sheet1!$E$1&amp;'Phân công'!D120&amp;CHAR(10)&amp;Sheet1!$F$1&amp;'Phân công'!#REF!</f>
        <v>#REF!</v>
      </c>
      <c r="C120" s="56" t="e">
        <f>$G$1&amp;'Phân công'!#REF!&amp;CHAR(10)&amp;Sheet1!$H$1&amp;'Phân công'!#REF!&amp;CHAR(10)&amp;Sheet1!$I$1&amp;'Phân công'!#REF!&amp;CHAR(10)&amp;Sheet1!$J$1&amp;'Phân công'!#REF!&amp;CHAR(10)&amp;$K$1&amp;'Phân công'!#REF!</f>
        <v>#REF!</v>
      </c>
    </row>
    <row r="121" spans="1:3" ht="98.25" customHeight="1" x14ac:dyDescent="0.25">
      <c r="A121" s="56">
        <v>120</v>
      </c>
      <c r="B121" s="56" t="e">
        <f>$B$1&amp;'Phân công'!B121&amp;CHAR(10)&amp;Sheet1!$C$1&amp;'Phân công'!A121&amp;CHAR(10)&amp;Sheet1!$D$1&amp;'Phân công'!#REF!&amp;CHAR(10)&amp;Sheet1!$E$1&amp;'Phân công'!D121&amp;CHAR(10)&amp;Sheet1!$F$1&amp;'Phân công'!#REF!</f>
        <v>#REF!</v>
      </c>
      <c r="C121" s="56" t="e">
        <f>$G$1&amp;'Phân công'!#REF!&amp;CHAR(10)&amp;Sheet1!$H$1&amp;'Phân công'!#REF!&amp;CHAR(10)&amp;Sheet1!$I$1&amp;'Phân công'!#REF!&amp;CHAR(10)&amp;Sheet1!$J$1&amp;'Phân công'!#REF!&amp;CHAR(10)&amp;$K$1&amp;'Phân công'!#REF!</f>
        <v>#REF!</v>
      </c>
    </row>
    <row r="122" spans="1:3" ht="98.25" customHeight="1" x14ac:dyDescent="0.25">
      <c r="A122" s="56">
        <v>121</v>
      </c>
      <c r="B122" s="56" t="e">
        <f>$B$1&amp;'Phân công'!B122&amp;CHAR(10)&amp;Sheet1!$C$1&amp;'Phân công'!A122&amp;CHAR(10)&amp;Sheet1!$D$1&amp;'Phân công'!#REF!&amp;CHAR(10)&amp;Sheet1!$E$1&amp;'Phân công'!D122&amp;CHAR(10)&amp;Sheet1!$F$1&amp;'Phân công'!#REF!</f>
        <v>#REF!</v>
      </c>
      <c r="C122" s="56" t="e">
        <f>$G$1&amp;'Phân công'!#REF!&amp;CHAR(10)&amp;Sheet1!$H$1&amp;'Phân công'!#REF!&amp;CHAR(10)&amp;Sheet1!$I$1&amp;'Phân công'!#REF!&amp;CHAR(10)&amp;Sheet1!$J$1&amp;'Phân công'!#REF!&amp;CHAR(10)&amp;$K$1&amp;'Phân công'!#REF!</f>
        <v>#REF!</v>
      </c>
    </row>
    <row r="123" spans="1:3" ht="98.25" customHeight="1" x14ac:dyDescent="0.25">
      <c r="A123" s="56">
        <v>122</v>
      </c>
      <c r="B123" s="56" t="e">
        <f>$B$1&amp;'Phân công'!B123&amp;CHAR(10)&amp;Sheet1!$C$1&amp;'Phân công'!A123&amp;CHAR(10)&amp;Sheet1!$D$1&amp;'Phân công'!#REF!&amp;CHAR(10)&amp;Sheet1!$E$1&amp;'Phân công'!D123&amp;CHAR(10)&amp;Sheet1!$F$1&amp;'Phân công'!#REF!</f>
        <v>#REF!</v>
      </c>
      <c r="C123" s="56" t="e">
        <f>$G$1&amp;'Phân công'!#REF!&amp;CHAR(10)&amp;Sheet1!$H$1&amp;'Phân công'!#REF!&amp;CHAR(10)&amp;Sheet1!$I$1&amp;'Phân công'!#REF!&amp;CHAR(10)&amp;Sheet1!$J$1&amp;'Phân công'!#REF!&amp;CHAR(10)&amp;$K$1&amp;'Phân công'!#REF!</f>
        <v>#REF!</v>
      </c>
    </row>
    <row r="124" spans="1:3" ht="98.25" customHeight="1" x14ac:dyDescent="0.25">
      <c r="A124" s="56">
        <v>123</v>
      </c>
      <c r="B124" s="56" t="e">
        <f>$B$1&amp;'Phân công'!B124&amp;CHAR(10)&amp;Sheet1!$C$1&amp;'Phân công'!A124&amp;CHAR(10)&amp;Sheet1!$D$1&amp;'Phân công'!#REF!&amp;CHAR(10)&amp;Sheet1!$E$1&amp;'Phân công'!D124&amp;CHAR(10)&amp;Sheet1!$F$1&amp;'Phân công'!#REF!</f>
        <v>#REF!</v>
      </c>
      <c r="C124" s="56" t="e">
        <f>$G$1&amp;'Phân công'!#REF!&amp;CHAR(10)&amp;Sheet1!$H$1&amp;'Phân công'!#REF!&amp;CHAR(10)&amp;Sheet1!$I$1&amp;'Phân công'!#REF!&amp;CHAR(10)&amp;Sheet1!$J$1&amp;'Phân công'!#REF!&amp;CHAR(10)&amp;$K$1&amp;'Phân công'!#REF!</f>
        <v>#REF!</v>
      </c>
    </row>
    <row r="125" spans="1:3" ht="98.25" customHeight="1" x14ac:dyDescent="0.25">
      <c r="A125" s="56">
        <v>124</v>
      </c>
      <c r="B125" s="56" t="e">
        <f>$B$1&amp;'Phân công'!B125&amp;CHAR(10)&amp;Sheet1!$C$1&amp;'Phân công'!A125&amp;CHAR(10)&amp;Sheet1!$D$1&amp;'Phân công'!#REF!&amp;CHAR(10)&amp;Sheet1!$E$1&amp;'Phân công'!D125&amp;CHAR(10)&amp;Sheet1!$F$1&amp;'Phân công'!#REF!</f>
        <v>#REF!</v>
      </c>
      <c r="C125" s="56" t="e">
        <f>$G$1&amp;'Phân công'!#REF!&amp;CHAR(10)&amp;Sheet1!$H$1&amp;'Phân công'!#REF!&amp;CHAR(10)&amp;Sheet1!$I$1&amp;'Phân công'!#REF!&amp;CHAR(10)&amp;Sheet1!$J$1&amp;'Phân công'!#REF!&amp;CHAR(10)&amp;$K$1&amp;'Phân công'!#REF!</f>
        <v>#REF!</v>
      </c>
    </row>
    <row r="126" spans="1:3" ht="98.25" customHeight="1" x14ac:dyDescent="0.25">
      <c r="A126" s="56">
        <v>125</v>
      </c>
      <c r="B126" s="56" t="e">
        <f>$B$1&amp;'Phân công'!B126&amp;CHAR(10)&amp;Sheet1!$C$1&amp;'Phân công'!A126&amp;CHAR(10)&amp;Sheet1!$D$1&amp;'Phân công'!#REF!&amp;CHAR(10)&amp;Sheet1!$E$1&amp;'Phân công'!D126&amp;CHAR(10)&amp;Sheet1!$F$1&amp;'Phân công'!#REF!</f>
        <v>#REF!</v>
      </c>
      <c r="C126" s="56" t="e">
        <f>$G$1&amp;'Phân công'!#REF!&amp;CHAR(10)&amp;Sheet1!$H$1&amp;'Phân công'!#REF!&amp;CHAR(10)&amp;Sheet1!$I$1&amp;'Phân công'!#REF!&amp;CHAR(10)&amp;Sheet1!$J$1&amp;'Phân công'!#REF!&amp;CHAR(10)&amp;$K$1&amp;'Phân công'!#REF!</f>
        <v>#REF!</v>
      </c>
    </row>
    <row r="127" spans="1:3" ht="98.25" customHeight="1" x14ac:dyDescent="0.25">
      <c r="A127" s="56">
        <v>126</v>
      </c>
      <c r="B127" s="56" t="e">
        <f>$B$1&amp;'Phân công'!B127&amp;CHAR(10)&amp;Sheet1!$C$1&amp;'Phân công'!A127&amp;CHAR(10)&amp;Sheet1!$D$1&amp;'Phân công'!#REF!&amp;CHAR(10)&amp;Sheet1!$E$1&amp;'Phân công'!D127&amp;CHAR(10)&amp;Sheet1!$F$1&amp;'Phân công'!#REF!</f>
        <v>#REF!</v>
      </c>
      <c r="C127" s="56" t="e">
        <f>$G$1&amp;'Phân công'!#REF!&amp;CHAR(10)&amp;Sheet1!$H$1&amp;'Phân công'!#REF!&amp;CHAR(10)&amp;Sheet1!$I$1&amp;'Phân công'!#REF!&amp;CHAR(10)&amp;Sheet1!$J$1&amp;'Phân công'!#REF!&amp;CHAR(10)&amp;$K$1&amp;'Phân công'!#REF!</f>
        <v>#REF!</v>
      </c>
    </row>
    <row r="128" spans="1:3" ht="98.25" customHeight="1" x14ac:dyDescent="0.25">
      <c r="A128" s="56">
        <v>127</v>
      </c>
      <c r="B128" s="56" t="e">
        <f>$B$1&amp;'Phân công'!B128&amp;CHAR(10)&amp;Sheet1!$C$1&amp;'Phân công'!A128&amp;CHAR(10)&amp;Sheet1!$D$1&amp;'Phân công'!#REF!&amp;CHAR(10)&amp;Sheet1!$E$1&amp;'Phân công'!D128&amp;CHAR(10)&amp;Sheet1!$F$1&amp;'Phân công'!#REF!</f>
        <v>#REF!</v>
      </c>
      <c r="C128" s="56" t="e">
        <f>$G$1&amp;'Phân công'!#REF!&amp;CHAR(10)&amp;Sheet1!$H$1&amp;'Phân công'!#REF!&amp;CHAR(10)&amp;Sheet1!$I$1&amp;'Phân công'!#REF!&amp;CHAR(10)&amp;Sheet1!$J$1&amp;'Phân công'!#REF!&amp;CHAR(10)&amp;$K$1&amp;'Phân công'!#REF!</f>
        <v>#REF!</v>
      </c>
    </row>
    <row r="129" spans="1:3" ht="98.25" customHeight="1" x14ac:dyDescent="0.25">
      <c r="A129" s="56">
        <v>128</v>
      </c>
      <c r="B129" s="56" t="e">
        <f>$B$1&amp;'Phân công'!B129&amp;CHAR(10)&amp;Sheet1!$C$1&amp;'Phân công'!A129&amp;CHAR(10)&amp;Sheet1!$D$1&amp;'Phân công'!#REF!&amp;CHAR(10)&amp;Sheet1!$E$1&amp;'Phân công'!D129&amp;CHAR(10)&amp;Sheet1!$F$1&amp;'Phân công'!#REF!</f>
        <v>#REF!</v>
      </c>
      <c r="C129" s="56" t="e">
        <f>$G$1&amp;'Phân công'!#REF!&amp;CHAR(10)&amp;Sheet1!$H$1&amp;'Phân công'!#REF!&amp;CHAR(10)&amp;Sheet1!$I$1&amp;'Phân công'!#REF!&amp;CHAR(10)&amp;Sheet1!$J$1&amp;'Phân công'!#REF!&amp;CHAR(10)&amp;$K$1&amp;'Phân công'!#REF!</f>
        <v>#REF!</v>
      </c>
    </row>
    <row r="130" spans="1:3" ht="98.25" customHeight="1" x14ac:dyDescent="0.25">
      <c r="A130" s="56">
        <v>129</v>
      </c>
      <c r="B130" s="56" t="e">
        <f>$B$1&amp;'Phân công'!B130&amp;CHAR(10)&amp;Sheet1!$C$1&amp;'Phân công'!A130&amp;CHAR(10)&amp;Sheet1!$D$1&amp;'Phân công'!#REF!&amp;CHAR(10)&amp;Sheet1!$E$1&amp;'Phân công'!D130&amp;CHAR(10)&amp;Sheet1!$F$1&amp;'Phân công'!#REF!</f>
        <v>#REF!</v>
      </c>
      <c r="C130" s="56" t="e">
        <f>$G$1&amp;'Phân công'!#REF!&amp;CHAR(10)&amp;Sheet1!$H$1&amp;'Phân công'!#REF!&amp;CHAR(10)&amp;Sheet1!$I$1&amp;'Phân công'!#REF!&amp;CHAR(10)&amp;Sheet1!$J$1&amp;'Phân công'!#REF!&amp;CHAR(10)&amp;$K$1&amp;'Phân công'!#REF!</f>
        <v>#REF!</v>
      </c>
    </row>
    <row r="131" spans="1:3" ht="98.25" customHeight="1" x14ac:dyDescent="0.25">
      <c r="A131" s="56">
        <v>130</v>
      </c>
      <c r="B131" s="56" t="e">
        <f>$B$1&amp;'Phân công'!B131&amp;CHAR(10)&amp;Sheet1!$C$1&amp;'Phân công'!A131&amp;CHAR(10)&amp;Sheet1!$D$1&amp;'Phân công'!#REF!&amp;CHAR(10)&amp;Sheet1!$E$1&amp;'Phân công'!D131&amp;CHAR(10)&amp;Sheet1!$F$1&amp;'Phân công'!#REF!</f>
        <v>#REF!</v>
      </c>
      <c r="C131" s="56" t="e">
        <f>$G$1&amp;'Phân công'!#REF!&amp;CHAR(10)&amp;Sheet1!$H$1&amp;'Phân công'!#REF!&amp;CHAR(10)&amp;Sheet1!$I$1&amp;'Phân công'!#REF!&amp;CHAR(10)&amp;Sheet1!$J$1&amp;'Phân công'!#REF!&amp;CHAR(10)&amp;$K$1&amp;'Phân công'!#REF!</f>
        <v>#REF!</v>
      </c>
    </row>
    <row r="132" spans="1:3" ht="98.25" customHeight="1" x14ac:dyDescent="0.25">
      <c r="A132" s="56">
        <v>131</v>
      </c>
      <c r="B132" s="56" t="e">
        <f>$B$1&amp;'Phân công'!B132&amp;CHAR(10)&amp;Sheet1!$C$1&amp;'Phân công'!A132&amp;CHAR(10)&amp;Sheet1!$D$1&amp;'Phân công'!#REF!&amp;CHAR(10)&amp;Sheet1!$E$1&amp;'Phân công'!D132&amp;CHAR(10)&amp;Sheet1!$F$1&amp;'Phân công'!#REF!</f>
        <v>#REF!</v>
      </c>
      <c r="C132" s="56" t="e">
        <f>$G$1&amp;'Phân công'!#REF!&amp;CHAR(10)&amp;Sheet1!$H$1&amp;'Phân công'!#REF!&amp;CHAR(10)&amp;Sheet1!$I$1&amp;'Phân công'!#REF!&amp;CHAR(10)&amp;Sheet1!$J$1&amp;'Phân công'!#REF!&amp;CHAR(10)&amp;$K$1&amp;'Phân công'!#REF!</f>
        <v>#REF!</v>
      </c>
    </row>
    <row r="133" spans="1:3" ht="98.25" customHeight="1" x14ac:dyDescent="0.25">
      <c r="A133" s="56">
        <v>132</v>
      </c>
      <c r="B133" s="56" t="e">
        <f>$B$1&amp;'Phân công'!B133&amp;CHAR(10)&amp;Sheet1!$C$1&amp;'Phân công'!A133&amp;CHAR(10)&amp;Sheet1!$D$1&amp;'Phân công'!#REF!&amp;CHAR(10)&amp;Sheet1!$E$1&amp;'Phân công'!D133&amp;CHAR(10)&amp;Sheet1!$F$1&amp;'Phân công'!#REF!</f>
        <v>#REF!</v>
      </c>
      <c r="C133" s="56" t="e">
        <f>$G$1&amp;'Phân công'!#REF!&amp;CHAR(10)&amp;Sheet1!$H$1&amp;'Phân công'!#REF!&amp;CHAR(10)&amp;Sheet1!$I$1&amp;'Phân công'!#REF!&amp;CHAR(10)&amp;Sheet1!$J$1&amp;'Phân công'!#REF!&amp;CHAR(10)&amp;$K$1&amp;'Phân công'!#REF!</f>
        <v>#REF!</v>
      </c>
    </row>
    <row r="134" spans="1:3" ht="98.25" customHeight="1" x14ac:dyDescent="0.25">
      <c r="A134" s="56">
        <v>133</v>
      </c>
      <c r="B134" s="56" t="e">
        <f>$B$1&amp;'Phân công'!B134&amp;CHAR(10)&amp;Sheet1!$C$1&amp;'Phân công'!A134&amp;CHAR(10)&amp;Sheet1!$D$1&amp;'Phân công'!#REF!&amp;CHAR(10)&amp;Sheet1!$E$1&amp;'Phân công'!D134&amp;CHAR(10)&amp;Sheet1!$F$1&amp;'Phân công'!#REF!</f>
        <v>#REF!</v>
      </c>
      <c r="C134" s="56" t="e">
        <f>$G$1&amp;'Phân công'!#REF!&amp;CHAR(10)&amp;Sheet1!$H$1&amp;'Phân công'!#REF!&amp;CHAR(10)&amp;Sheet1!$I$1&amp;'Phân công'!#REF!&amp;CHAR(10)&amp;Sheet1!$J$1&amp;'Phân công'!#REF!&amp;CHAR(10)&amp;$K$1&amp;'Phân công'!#REF!</f>
        <v>#REF!</v>
      </c>
    </row>
    <row r="135" spans="1:3" ht="98.25" customHeight="1" x14ac:dyDescent="0.25">
      <c r="A135" s="56">
        <v>134</v>
      </c>
      <c r="B135" s="56" t="e">
        <f>$B$1&amp;'Phân công'!B135&amp;CHAR(10)&amp;Sheet1!$C$1&amp;'Phân công'!A135&amp;CHAR(10)&amp;Sheet1!$D$1&amp;'Phân công'!#REF!&amp;CHAR(10)&amp;Sheet1!$E$1&amp;'Phân công'!D135&amp;CHAR(10)&amp;Sheet1!$F$1&amp;'Phân công'!#REF!</f>
        <v>#REF!</v>
      </c>
      <c r="C135" s="56" t="e">
        <f>$G$1&amp;'Phân công'!#REF!&amp;CHAR(10)&amp;Sheet1!$H$1&amp;'Phân công'!#REF!&amp;CHAR(10)&amp;Sheet1!$I$1&amp;'Phân công'!#REF!&amp;CHAR(10)&amp;Sheet1!$J$1&amp;'Phân công'!#REF!&amp;CHAR(10)&amp;$K$1&amp;'Phân công'!#REF!</f>
        <v>#REF!</v>
      </c>
    </row>
    <row r="136" spans="1:3" ht="98.25" customHeight="1" x14ac:dyDescent="0.25">
      <c r="A136" s="56">
        <v>135</v>
      </c>
      <c r="B136" s="56" t="e">
        <f>$B$1&amp;'Phân công'!B136&amp;CHAR(10)&amp;Sheet1!$C$1&amp;'Phân công'!A136&amp;CHAR(10)&amp;Sheet1!$D$1&amp;'Phân công'!#REF!&amp;CHAR(10)&amp;Sheet1!$E$1&amp;'Phân công'!D136&amp;CHAR(10)&amp;Sheet1!$F$1&amp;'Phân công'!#REF!</f>
        <v>#REF!</v>
      </c>
      <c r="C136" s="56" t="e">
        <f>$G$1&amp;'Phân công'!#REF!&amp;CHAR(10)&amp;Sheet1!$H$1&amp;'Phân công'!#REF!&amp;CHAR(10)&amp;Sheet1!$I$1&amp;'Phân công'!#REF!&amp;CHAR(10)&amp;Sheet1!$J$1&amp;'Phân công'!#REF!&amp;CHAR(10)&amp;$K$1&amp;'Phân công'!#REF!</f>
        <v>#REF!</v>
      </c>
    </row>
    <row r="137" spans="1:3" ht="98.25" customHeight="1" x14ac:dyDescent="0.25">
      <c r="A137" s="56"/>
      <c r="B137" s="56" t="e">
        <f>$B$1&amp;'Phân công'!B137&amp;CHAR(10)&amp;Sheet1!$C$1&amp;'Phân công'!A137&amp;CHAR(10)&amp;Sheet1!$D$1&amp;'Phân công'!#REF!&amp;CHAR(10)&amp;Sheet1!$E$1&amp;'Phân công'!D137&amp;CHAR(10)&amp;Sheet1!$F$1&amp;'Phân công'!#REF!</f>
        <v>#REF!</v>
      </c>
      <c r="C137" s="56" t="e">
        <f>$G$1&amp;'Phân công'!#REF!&amp;CHAR(10)&amp;Sheet1!$H$1&amp;'Phân công'!#REF!&amp;CHAR(10)&amp;Sheet1!$I$1&amp;'Phân công'!#REF!&amp;CHAR(10)&amp;Sheet1!$J$1&amp;'Phân công'!#REF!&amp;CHAR(10)&amp;$K$1&amp;'Phân công'!#REF!</f>
        <v>#REF!</v>
      </c>
    </row>
    <row r="138" spans="1:3" ht="98.25" customHeight="1" x14ac:dyDescent="0.25">
      <c r="A138" s="56"/>
      <c r="B138" s="56" t="e">
        <f>$B$1&amp;'Phân công'!B138&amp;CHAR(10)&amp;Sheet1!$C$1&amp;'Phân công'!A138&amp;CHAR(10)&amp;Sheet1!$D$1&amp;'Phân công'!#REF!&amp;CHAR(10)&amp;Sheet1!$E$1&amp;'Phân công'!D138&amp;CHAR(10)&amp;Sheet1!$F$1&amp;'Phân công'!#REF!</f>
        <v>#REF!</v>
      </c>
      <c r="C138" s="56" t="e">
        <f>$G$1&amp;'Phân công'!#REF!&amp;CHAR(10)&amp;Sheet1!$H$1&amp;'Phân công'!#REF!&amp;CHAR(10)&amp;Sheet1!$I$1&amp;'Phân công'!#REF!&amp;CHAR(10)&amp;Sheet1!$J$1&amp;'Phân công'!#REF!&amp;CHAR(10)&amp;$K$1&amp;'Phân công'!#REF!</f>
        <v>#REF!</v>
      </c>
    </row>
    <row r="139" spans="1:3" ht="12.75" customHeight="1" x14ac:dyDescent="0.25">
      <c r="A139" s="56"/>
      <c r="B139" s="56"/>
    </row>
    <row r="140" spans="1:3" ht="12.75" customHeight="1" x14ac:dyDescent="0.25">
      <c r="A140" s="56"/>
      <c r="B140" s="56"/>
    </row>
    <row r="141" spans="1:3" ht="12.75" customHeight="1" x14ac:dyDescent="0.25">
      <c r="A141" s="56"/>
      <c r="B141" s="56"/>
    </row>
    <row r="142" spans="1:3" ht="12.75" customHeight="1" x14ac:dyDescent="0.25">
      <c r="A142" s="56"/>
      <c r="B142" s="56"/>
    </row>
    <row r="143" spans="1:3" ht="12.75" customHeight="1" x14ac:dyDescent="0.25">
      <c r="A143" s="56"/>
      <c r="B143" s="56"/>
    </row>
    <row r="144" spans="1:3" ht="12.75" customHeight="1" x14ac:dyDescent="0.25">
      <c r="A144" s="56"/>
      <c r="B144" s="56"/>
    </row>
    <row r="145" spans="1:2" ht="12.75" customHeight="1" x14ac:dyDescent="0.25">
      <c r="A145" s="56"/>
      <c r="B145" s="56"/>
    </row>
    <row r="146" spans="1:2" ht="12.75" customHeight="1" x14ac:dyDescent="0.25">
      <c r="A146" s="56"/>
      <c r="B146" s="56"/>
    </row>
    <row r="147" spans="1:2" ht="12.75" customHeight="1" x14ac:dyDescent="0.25">
      <c r="A147" s="56"/>
      <c r="B147" s="56"/>
    </row>
    <row r="148" spans="1:2" ht="12.75" customHeight="1" x14ac:dyDescent="0.25">
      <c r="A148" s="56"/>
      <c r="B148" s="56"/>
    </row>
    <row r="149" spans="1:2" ht="12.75" customHeight="1" x14ac:dyDescent="0.25">
      <c r="A149" s="56"/>
      <c r="B149" s="56"/>
    </row>
    <row r="150" spans="1:2" ht="12.75" customHeight="1" x14ac:dyDescent="0.25"/>
    <row r="151" spans="1:2" ht="12.75" customHeight="1" x14ac:dyDescent="0.25"/>
    <row r="152" spans="1:2" ht="12.75" customHeight="1" x14ac:dyDescent="0.25"/>
    <row r="153" spans="1:2" ht="12.75" customHeight="1" x14ac:dyDescent="0.25"/>
    <row r="154" spans="1:2" ht="12.75" customHeight="1" x14ac:dyDescent="0.25"/>
    <row r="155" spans="1:2" ht="12.75" customHeight="1" x14ac:dyDescent="0.25"/>
    <row r="156" spans="1:2" ht="12.75" customHeight="1" x14ac:dyDescent="0.25"/>
    <row r="157" spans="1:2" ht="12.75" customHeight="1" x14ac:dyDescent="0.25"/>
    <row r="158" spans="1:2" ht="12.75" customHeight="1" x14ac:dyDescent="0.25"/>
    <row r="159" spans="1:2" ht="12.75" customHeight="1" x14ac:dyDescent="0.25"/>
    <row r="160" spans="1:2"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công</vt:lpstr>
      <vt:lpstr>Sheet5</vt:lpstr>
      <vt:lpstr>Số bài mỗi hội đồng</vt:lpstr>
      <vt:lpstr>Thù lao</vt:lpstr>
      <vt:lpstr>Bài nộp</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Quang Thuy</dc:creator>
  <cp:lastModifiedBy>Chu Quang Thuy</cp:lastModifiedBy>
  <dcterms:created xsi:type="dcterms:W3CDTF">2025-11-11T02:09:54Z</dcterms:created>
  <dcterms:modified xsi:type="dcterms:W3CDTF">2026-03-07T03:16:48Z</dcterms:modified>
</cp:coreProperties>
</file>