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q\Desktop\KLTN_Project\"/>
    </mc:Choice>
  </mc:AlternateContent>
  <xr:revisionPtr revIDLastSave="0" documentId="8_{37AFF8B8-624E-4AA1-98A0-64601D9A8454}" xr6:coauthVersionLast="47" xr6:coauthVersionMax="47" xr10:uidLastSave="{00000000-0000-0000-0000-000000000000}"/>
  <bookViews>
    <workbookView xWindow="-110" yWindow="-110" windowWidth="19420" windowHeight="11500" xr2:uid="{00000000-000D-0000-FFFF-FFFF00000000}"/>
  </bookViews>
  <sheets>
    <sheet name="Phân công" sheetId="1" r:id="rId1"/>
    <sheet name="Sheet5" sheetId="2" r:id="rId2"/>
    <sheet name="Số bài mỗi hội đồng" sheetId="3" state="hidden" r:id="rId3"/>
    <sheet name="Thù lao" sheetId="4" r:id="rId4"/>
    <sheet name="Bài nộp" sheetId="5" state="hidden" r:id="rId5"/>
    <sheet name="Sheet1" sheetId="6" state="hidden" r:id="rId6"/>
  </sheets>
  <externalReferences>
    <externalReference r:id="rId7"/>
  </externalReferences>
  <definedNames>
    <definedName name="_xlnm._FilterDatabase" localSheetId="0" hidden="1">'Phân công'!$A$1:$H$136</definedName>
    <definedName name="_xlnm._FilterDatabase" localSheetId="3" hidden="1">'Thù lao'!$AL$2:$AL$23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zpv3uZ/Yybc5tUpUpbZnoMHXtd8yDGTGkUHUMGmc9ik="/>
    </ext>
  </extLst>
</workbook>
</file>

<file path=xl/calcChain.xml><?xml version="1.0" encoding="utf-8"?>
<calcChain xmlns="http://schemas.openxmlformats.org/spreadsheetml/2006/main">
  <c r="B3" i="1" l="1"/>
  <c r="C3" i="1"/>
  <c r="D3" i="1"/>
  <c r="E3" i="1"/>
  <c r="F3" i="1"/>
  <c r="B4" i="1"/>
  <c r="C4" i="1"/>
  <c r="D4" i="1"/>
  <c r="E4" i="1"/>
  <c r="F4" i="1"/>
  <c r="B5" i="1"/>
  <c r="C5" i="1"/>
  <c r="D5" i="1"/>
  <c r="E5" i="1"/>
  <c r="F5" i="1"/>
  <c r="B6" i="1"/>
  <c r="C6" i="1"/>
  <c r="D6" i="1"/>
  <c r="E6" i="1"/>
  <c r="F6" i="1"/>
  <c r="B7" i="1"/>
  <c r="C7" i="1"/>
  <c r="D7" i="1"/>
  <c r="E7" i="1"/>
  <c r="F7" i="1"/>
  <c r="B8" i="1"/>
  <c r="C8" i="1"/>
  <c r="D8" i="1"/>
  <c r="E8" i="1"/>
  <c r="F8" i="1"/>
  <c r="B9" i="1"/>
  <c r="C9" i="1"/>
  <c r="D9" i="1"/>
  <c r="E9" i="1"/>
  <c r="F9" i="1"/>
  <c r="B10" i="1"/>
  <c r="C10" i="1"/>
  <c r="D10" i="1"/>
  <c r="E10" i="1"/>
  <c r="F10" i="1"/>
  <c r="B11" i="1"/>
  <c r="C11" i="1"/>
  <c r="D11" i="1"/>
  <c r="E11" i="1"/>
  <c r="F11" i="1"/>
  <c r="B12" i="1"/>
  <c r="C12" i="1"/>
  <c r="D12" i="1"/>
  <c r="E12" i="1"/>
  <c r="F12" i="1"/>
  <c r="B13" i="1"/>
  <c r="C13" i="1"/>
  <c r="D13" i="1"/>
  <c r="E13" i="1"/>
  <c r="F13" i="1"/>
  <c r="B14" i="1"/>
  <c r="C14" i="1"/>
  <c r="D14" i="1"/>
  <c r="E14" i="1"/>
  <c r="F14" i="1"/>
  <c r="B15" i="1"/>
  <c r="C15" i="1"/>
  <c r="D15" i="1"/>
  <c r="E15" i="1"/>
  <c r="F15" i="1"/>
  <c r="B16" i="1"/>
  <c r="C16" i="1"/>
  <c r="D16" i="1"/>
  <c r="E16" i="1"/>
  <c r="F16" i="1"/>
  <c r="B17" i="1"/>
  <c r="C17" i="1"/>
  <c r="D17" i="1"/>
  <c r="E17" i="1"/>
  <c r="F17" i="1"/>
  <c r="B18" i="1"/>
  <c r="C18" i="1"/>
  <c r="D18" i="1"/>
  <c r="E18" i="1"/>
  <c r="F18" i="1"/>
  <c r="B19" i="1"/>
  <c r="C19" i="1"/>
  <c r="D19" i="1"/>
  <c r="E19" i="1"/>
  <c r="F19" i="1"/>
  <c r="B20" i="1"/>
  <c r="C20" i="1"/>
  <c r="D20" i="1"/>
  <c r="E20" i="1"/>
  <c r="F20" i="1"/>
  <c r="B21" i="1"/>
  <c r="C21" i="1"/>
  <c r="D21" i="1"/>
  <c r="E21" i="1"/>
  <c r="F21" i="1"/>
  <c r="B22" i="1"/>
  <c r="C22" i="1"/>
  <c r="D22" i="1"/>
  <c r="E22" i="1"/>
  <c r="F22" i="1"/>
  <c r="B23" i="1"/>
  <c r="C23" i="1"/>
  <c r="D23" i="1"/>
  <c r="E23" i="1"/>
  <c r="F23" i="1"/>
  <c r="B24" i="1"/>
  <c r="C24" i="1"/>
  <c r="D24" i="1"/>
  <c r="E24" i="1"/>
  <c r="F24" i="1"/>
  <c r="B25" i="1"/>
  <c r="C25" i="1"/>
  <c r="D25" i="1"/>
  <c r="E25" i="1"/>
  <c r="F25" i="1"/>
  <c r="B26" i="1"/>
  <c r="C26" i="1"/>
  <c r="D26" i="1"/>
  <c r="E26" i="1"/>
  <c r="F26" i="1"/>
  <c r="B27" i="1"/>
  <c r="C27" i="1"/>
  <c r="D27" i="1"/>
  <c r="E27" i="1"/>
  <c r="F27" i="1"/>
  <c r="B28" i="1"/>
  <c r="C28" i="1"/>
  <c r="D28" i="1"/>
  <c r="E28" i="1"/>
  <c r="F28" i="1"/>
  <c r="B29" i="1"/>
  <c r="C29" i="1"/>
  <c r="D29" i="1"/>
  <c r="E29" i="1"/>
  <c r="F29" i="1"/>
  <c r="B30" i="1"/>
  <c r="C30" i="1"/>
  <c r="D30" i="1"/>
  <c r="E30" i="1"/>
  <c r="F30" i="1"/>
  <c r="B31" i="1"/>
  <c r="C31" i="1"/>
  <c r="D31" i="1"/>
  <c r="E31" i="1"/>
  <c r="F31" i="1"/>
  <c r="B32" i="1"/>
  <c r="C32" i="1"/>
  <c r="D32" i="1"/>
  <c r="E32" i="1"/>
  <c r="F32" i="1"/>
  <c r="B33" i="1"/>
  <c r="C33" i="1"/>
  <c r="D33" i="1"/>
  <c r="E33" i="1"/>
  <c r="F33" i="1"/>
  <c r="B34" i="1"/>
  <c r="C34" i="1"/>
  <c r="D34" i="1"/>
  <c r="E34" i="1"/>
  <c r="F34" i="1"/>
  <c r="B35" i="1"/>
  <c r="C35" i="1"/>
  <c r="D35" i="1"/>
  <c r="E35" i="1"/>
  <c r="F35" i="1"/>
  <c r="B36" i="1"/>
  <c r="C36" i="1"/>
  <c r="D36" i="1"/>
  <c r="E36" i="1"/>
  <c r="F36" i="1"/>
  <c r="B37" i="1"/>
  <c r="C37" i="1"/>
  <c r="D37" i="1"/>
  <c r="E37" i="1"/>
  <c r="F37" i="1"/>
  <c r="B38" i="1"/>
  <c r="C38" i="1"/>
  <c r="D38" i="1"/>
  <c r="E38" i="1"/>
  <c r="F38" i="1"/>
  <c r="B39" i="1"/>
  <c r="C39" i="1"/>
  <c r="D39" i="1"/>
  <c r="E39" i="1"/>
  <c r="F39" i="1"/>
  <c r="B40" i="1"/>
  <c r="C40" i="1"/>
  <c r="D40" i="1"/>
  <c r="E40" i="1"/>
  <c r="F40" i="1"/>
  <c r="B41" i="1"/>
  <c r="C41" i="1"/>
  <c r="D41" i="1"/>
  <c r="E41" i="1"/>
  <c r="F41" i="1"/>
  <c r="B42" i="1"/>
  <c r="C42" i="1"/>
  <c r="D42" i="1"/>
  <c r="E42" i="1"/>
  <c r="F42" i="1"/>
  <c r="B43" i="1"/>
  <c r="C43" i="1"/>
  <c r="D43" i="1"/>
  <c r="E43" i="1"/>
  <c r="F43" i="1"/>
  <c r="B44" i="1"/>
  <c r="C44" i="1"/>
  <c r="D44" i="1"/>
  <c r="E44" i="1"/>
  <c r="F44" i="1"/>
  <c r="B45" i="1"/>
  <c r="C45" i="1"/>
  <c r="D45" i="1"/>
  <c r="E45" i="1"/>
  <c r="F45" i="1"/>
  <c r="B46" i="1"/>
  <c r="C46" i="1"/>
  <c r="D46" i="1"/>
  <c r="E46" i="1"/>
  <c r="F46" i="1"/>
  <c r="B47" i="1"/>
  <c r="C47" i="1"/>
  <c r="D47" i="1"/>
  <c r="E47" i="1"/>
  <c r="F47" i="1"/>
  <c r="B48" i="1"/>
  <c r="C48" i="1"/>
  <c r="D48" i="1"/>
  <c r="E48" i="1"/>
  <c r="F48" i="1"/>
  <c r="B49" i="1"/>
  <c r="C49" i="1"/>
  <c r="D49" i="1"/>
  <c r="E49" i="1"/>
  <c r="F49" i="1"/>
  <c r="B50" i="1"/>
  <c r="C50" i="1"/>
  <c r="D50" i="1"/>
  <c r="E50" i="1"/>
  <c r="F50" i="1"/>
  <c r="B51" i="1"/>
  <c r="C51" i="1"/>
  <c r="D51" i="1"/>
  <c r="E51" i="1"/>
  <c r="F51" i="1"/>
  <c r="B52" i="1"/>
  <c r="C52" i="1"/>
  <c r="D52" i="1"/>
  <c r="E52" i="1"/>
  <c r="F52" i="1"/>
  <c r="B53" i="1"/>
  <c r="C53" i="1"/>
  <c r="D53" i="1"/>
  <c r="E53" i="1"/>
  <c r="F53" i="1"/>
  <c r="B54" i="1"/>
  <c r="C54" i="1"/>
  <c r="D54" i="1"/>
  <c r="E54" i="1"/>
  <c r="F54" i="1"/>
  <c r="B55" i="1"/>
  <c r="C55" i="1"/>
  <c r="D55" i="1"/>
  <c r="E55" i="1"/>
  <c r="F55" i="1"/>
  <c r="B56" i="1"/>
  <c r="C56" i="1"/>
  <c r="D56" i="1"/>
  <c r="E56" i="1"/>
  <c r="F56" i="1"/>
  <c r="B57" i="1"/>
  <c r="C57" i="1"/>
  <c r="D57" i="1"/>
  <c r="E57" i="1"/>
  <c r="F57" i="1"/>
  <c r="B58" i="1"/>
  <c r="C58" i="1"/>
  <c r="D58" i="1"/>
  <c r="E58" i="1"/>
  <c r="F58" i="1"/>
  <c r="B59" i="1"/>
  <c r="C59" i="1"/>
  <c r="D59" i="1"/>
  <c r="E59" i="1"/>
  <c r="F59" i="1"/>
  <c r="B60" i="1"/>
  <c r="C60" i="1"/>
  <c r="D60" i="1"/>
  <c r="E60" i="1"/>
  <c r="F60" i="1"/>
  <c r="B61" i="1"/>
  <c r="C61" i="1"/>
  <c r="D61" i="1"/>
  <c r="E61" i="1"/>
  <c r="F61" i="1"/>
  <c r="B62" i="1"/>
  <c r="C62" i="1"/>
  <c r="D62" i="1"/>
  <c r="E62" i="1"/>
  <c r="F62" i="1"/>
  <c r="B63" i="1"/>
  <c r="C63" i="1"/>
  <c r="D63" i="1"/>
  <c r="E63" i="1"/>
  <c r="F63" i="1"/>
  <c r="B64" i="1"/>
  <c r="C64" i="1"/>
  <c r="D64" i="1"/>
  <c r="E64" i="1"/>
  <c r="F64" i="1"/>
  <c r="B65" i="1"/>
  <c r="C65" i="1"/>
  <c r="D65" i="1"/>
  <c r="E65" i="1"/>
  <c r="F65" i="1"/>
  <c r="B66" i="1"/>
  <c r="C66" i="1"/>
  <c r="D66" i="1"/>
  <c r="E66" i="1"/>
  <c r="F66" i="1"/>
  <c r="B67" i="1"/>
  <c r="C67" i="1"/>
  <c r="D67" i="1"/>
  <c r="E67" i="1"/>
  <c r="F67" i="1"/>
  <c r="B68" i="1"/>
  <c r="C68" i="1"/>
  <c r="D68" i="1"/>
  <c r="E68" i="1"/>
  <c r="F68" i="1"/>
  <c r="B69" i="1"/>
  <c r="C69" i="1"/>
  <c r="D69" i="1"/>
  <c r="E69" i="1"/>
  <c r="F69" i="1"/>
  <c r="B70" i="1"/>
  <c r="C70" i="1"/>
  <c r="D70" i="1"/>
  <c r="E70" i="1"/>
  <c r="F70" i="1"/>
  <c r="B71" i="1"/>
  <c r="C71" i="1"/>
  <c r="D71" i="1"/>
  <c r="E71" i="1"/>
  <c r="F71" i="1"/>
  <c r="B72" i="1"/>
  <c r="C72" i="1"/>
  <c r="D72" i="1"/>
  <c r="E72" i="1"/>
  <c r="F72" i="1"/>
  <c r="B73" i="1"/>
  <c r="C73" i="1"/>
  <c r="D73" i="1"/>
  <c r="E73" i="1"/>
  <c r="F73" i="1"/>
  <c r="B74" i="1"/>
  <c r="C74" i="1"/>
  <c r="D74" i="1"/>
  <c r="E74" i="1"/>
  <c r="F74" i="1"/>
  <c r="B75" i="1"/>
  <c r="C75" i="1"/>
  <c r="D75" i="1"/>
  <c r="E75" i="1"/>
  <c r="F75" i="1"/>
  <c r="B76" i="1"/>
  <c r="C76" i="1"/>
  <c r="D76" i="1"/>
  <c r="E76" i="1"/>
  <c r="F76" i="1"/>
  <c r="B77" i="1"/>
  <c r="C77" i="1"/>
  <c r="D77" i="1"/>
  <c r="E77" i="1"/>
  <c r="F77" i="1"/>
  <c r="B78" i="1"/>
  <c r="C78" i="1"/>
  <c r="D78" i="1"/>
  <c r="E78" i="1"/>
  <c r="F78" i="1"/>
  <c r="B79" i="1"/>
  <c r="C79" i="1"/>
  <c r="D79" i="1"/>
  <c r="E79" i="1"/>
  <c r="F79" i="1"/>
  <c r="B80" i="1"/>
  <c r="C80" i="1"/>
  <c r="D80" i="1"/>
  <c r="E80" i="1"/>
  <c r="F80" i="1"/>
  <c r="B81" i="1"/>
  <c r="C81" i="1"/>
  <c r="D81" i="1"/>
  <c r="E81" i="1"/>
  <c r="F81" i="1"/>
  <c r="B82" i="1"/>
  <c r="C82" i="1"/>
  <c r="D82" i="1"/>
  <c r="E82" i="1"/>
  <c r="F82" i="1"/>
  <c r="B83" i="1"/>
  <c r="C83" i="1"/>
  <c r="D83" i="1"/>
  <c r="E83" i="1"/>
  <c r="F83" i="1"/>
  <c r="B84" i="1"/>
  <c r="C84" i="1"/>
  <c r="D84" i="1"/>
  <c r="E84" i="1"/>
  <c r="F84" i="1"/>
  <c r="B85" i="1"/>
  <c r="C85" i="1"/>
  <c r="D85" i="1"/>
  <c r="E85" i="1"/>
  <c r="F85" i="1"/>
  <c r="B86" i="1"/>
  <c r="C86" i="1"/>
  <c r="D86" i="1"/>
  <c r="E86" i="1"/>
  <c r="F86" i="1"/>
  <c r="B87" i="1"/>
  <c r="C87" i="1"/>
  <c r="D87" i="1"/>
  <c r="E87" i="1"/>
  <c r="F87" i="1"/>
  <c r="B88" i="1"/>
  <c r="C88" i="1"/>
  <c r="D88" i="1"/>
  <c r="E88" i="1"/>
  <c r="F88" i="1"/>
  <c r="B89" i="1"/>
  <c r="C89" i="1"/>
  <c r="D89" i="1"/>
  <c r="E89" i="1"/>
  <c r="F89" i="1"/>
  <c r="B90" i="1"/>
  <c r="C90" i="1"/>
  <c r="D90" i="1"/>
  <c r="E90" i="1"/>
  <c r="F90" i="1"/>
  <c r="B91" i="1"/>
  <c r="C91" i="1"/>
  <c r="D91" i="1"/>
  <c r="E91" i="1"/>
  <c r="F91" i="1"/>
  <c r="B92" i="1"/>
  <c r="C92" i="1"/>
  <c r="D92" i="1"/>
  <c r="E92" i="1"/>
  <c r="F92" i="1"/>
  <c r="B93" i="1"/>
  <c r="C93" i="1"/>
  <c r="D93" i="1"/>
  <c r="E93" i="1"/>
  <c r="F93" i="1"/>
  <c r="B94" i="1"/>
  <c r="C94" i="1"/>
  <c r="D94" i="1"/>
  <c r="E94" i="1"/>
  <c r="F94" i="1"/>
  <c r="B95" i="1"/>
  <c r="C95" i="1"/>
  <c r="D95" i="1"/>
  <c r="E95" i="1"/>
  <c r="F95" i="1"/>
  <c r="B96" i="1"/>
  <c r="C96" i="1"/>
  <c r="D96" i="1"/>
  <c r="E96" i="1"/>
  <c r="F96" i="1"/>
  <c r="B97" i="1"/>
  <c r="C97" i="1"/>
  <c r="D97" i="1"/>
  <c r="E97" i="1"/>
  <c r="F97" i="1"/>
  <c r="B98" i="1"/>
  <c r="C98" i="1"/>
  <c r="D98" i="1"/>
  <c r="E98" i="1"/>
  <c r="F98" i="1"/>
  <c r="B99" i="1"/>
  <c r="C99" i="1"/>
  <c r="D99" i="1"/>
  <c r="E99" i="1"/>
  <c r="F99" i="1"/>
  <c r="B100" i="1"/>
  <c r="C100" i="1"/>
  <c r="D100" i="1"/>
  <c r="E100" i="1"/>
  <c r="F100" i="1"/>
  <c r="B101" i="1"/>
  <c r="C101" i="1"/>
  <c r="D101" i="1"/>
  <c r="E101" i="1"/>
  <c r="F101" i="1"/>
  <c r="B102" i="1"/>
  <c r="C102" i="1"/>
  <c r="D102" i="1"/>
  <c r="E102" i="1"/>
  <c r="F102" i="1"/>
  <c r="B103" i="1"/>
  <c r="C103" i="1"/>
  <c r="D103" i="1"/>
  <c r="E103" i="1"/>
  <c r="F103" i="1"/>
  <c r="B104" i="1"/>
  <c r="C104" i="1"/>
  <c r="D104" i="1"/>
  <c r="E104" i="1"/>
  <c r="F104" i="1"/>
  <c r="B105" i="1"/>
  <c r="C105" i="1"/>
  <c r="D105" i="1"/>
  <c r="E105" i="1"/>
  <c r="F105" i="1"/>
  <c r="B106" i="1"/>
  <c r="C106" i="1"/>
  <c r="D106" i="1"/>
  <c r="E106" i="1"/>
  <c r="F106" i="1"/>
  <c r="B107" i="1"/>
  <c r="C107" i="1"/>
  <c r="D107" i="1"/>
  <c r="E107" i="1"/>
  <c r="F107" i="1"/>
  <c r="B108" i="1"/>
  <c r="C108" i="1"/>
  <c r="D108" i="1"/>
  <c r="E108" i="1"/>
  <c r="F108" i="1"/>
  <c r="B109" i="1"/>
  <c r="C109" i="1"/>
  <c r="D109" i="1"/>
  <c r="E109" i="1"/>
  <c r="F109" i="1"/>
  <c r="B110" i="1"/>
  <c r="C110" i="1"/>
  <c r="D110" i="1"/>
  <c r="E110" i="1"/>
  <c r="F110" i="1"/>
  <c r="B111" i="1"/>
  <c r="C111" i="1"/>
  <c r="D111" i="1"/>
  <c r="E111" i="1"/>
  <c r="F111" i="1"/>
  <c r="B112" i="1"/>
  <c r="C112" i="1"/>
  <c r="D112" i="1"/>
  <c r="E112" i="1"/>
  <c r="F112" i="1"/>
  <c r="B113" i="1"/>
  <c r="C113" i="1"/>
  <c r="D113" i="1"/>
  <c r="E113" i="1"/>
  <c r="F113" i="1"/>
  <c r="B114" i="1"/>
  <c r="C114" i="1"/>
  <c r="D114" i="1"/>
  <c r="E114" i="1"/>
  <c r="F114" i="1"/>
  <c r="B115" i="1"/>
  <c r="C115" i="1"/>
  <c r="D115" i="1"/>
  <c r="E115" i="1"/>
  <c r="F115" i="1"/>
  <c r="B116" i="1"/>
  <c r="C116" i="1"/>
  <c r="D116" i="1"/>
  <c r="E116" i="1"/>
  <c r="F116" i="1"/>
  <c r="B117" i="1"/>
  <c r="C117" i="1"/>
  <c r="D117" i="1"/>
  <c r="E117" i="1"/>
  <c r="F117" i="1"/>
  <c r="B118" i="1"/>
  <c r="C118" i="1"/>
  <c r="D118" i="1"/>
  <c r="E118" i="1"/>
  <c r="F118" i="1"/>
  <c r="B119" i="1"/>
  <c r="C119" i="1"/>
  <c r="D119" i="1"/>
  <c r="E119" i="1"/>
  <c r="F119" i="1"/>
  <c r="B120" i="1"/>
  <c r="C120" i="1"/>
  <c r="D120" i="1"/>
  <c r="E120" i="1"/>
  <c r="F120" i="1"/>
  <c r="B121" i="1"/>
  <c r="C121" i="1"/>
  <c r="D121" i="1"/>
  <c r="E121" i="1"/>
  <c r="F121" i="1"/>
  <c r="B122" i="1"/>
  <c r="C122" i="1"/>
  <c r="D122" i="1"/>
  <c r="E122" i="1"/>
  <c r="F122" i="1"/>
  <c r="B123" i="1"/>
  <c r="C123" i="1"/>
  <c r="D123" i="1"/>
  <c r="E123" i="1"/>
  <c r="F123" i="1"/>
  <c r="B124" i="1"/>
  <c r="C124" i="1"/>
  <c r="D124" i="1"/>
  <c r="E124" i="1"/>
  <c r="F124" i="1"/>
  <c r="B125" i="1"/>
  <c r="C125" i="1"/>
  <c r="D125" i="1"/>
  <c r="E125" i="1"/>
  <c r="F125" i="1"/>
  <c r="B126" i="1"/>
  <c r="C126" i="1"/>
  <c r="D126" i="1"/>
  <c r="E126" i="1"/>
  <c r="F126" i="1"/>
  <c r="B127" i="1"/>
  <c r="C127" i="1"/>
  <c r="D127" i="1"/>
  <c r="E127" i="1"/>
  <c r="F127" i="1"/>
  <c r="B128" i="1"/>
  <c r="C128" i="1"/>
  <c r="D128" i="1"/>
  <c r="E128" i="1"/>
  <c r="F128" i="1"/>
  <c r="B129" i="1"/>
  <c r="C129" i="1"/>
  <c r="D129" i="1"/>
  <c r="E129" i="1"/>
  <c r="F129" i="1"/>
  <c r="B130" i="1"/>
  <c r="C130" i="1"/>
  <c r="D130" i="1"/>
  <c r="E130" i="1"/>
  <c r="F130" i="1"/>
  <c r="B131" i="1"/>
  <c r="C131" i="1"/>
  <c r="D131" i="1"/>
  <c r="E131" i="1"/>
  <c r="F131" i="1"/>
  <c r="B132" i="1"/>
  <c r="C132" i="1"/>
  <c r="D132" i="1"/>
  <c r="E132" i="1"/>
  <c r="F132" i="1"/>
  <c r="B133" i="1"/>
  <c r="C133" i="1"/>
  <c r="D133" i="1"/>
  <c r="E133" i="1"/>
  <c r="F133" i="1"/>
  <c r="B134" i="1"/>
  <c r="C134" i="1"/>
  <c r="D134" i="1"/>
  <c r="E134" i="1"/>
  <c r="F134" i="1"/>
  <c r="B135" i="1"/>
  <c r="C135" i="1"/>
  <c r="D135" i="1"/>
  <c r="E135" i="1"/>
  <c r="F135" i="1"/>
  <c r="B136" i="1"/>
  <c r="C136" i="1"/>
  <c r="D136" i="1"/>
  <c r="E136" i="1"/>
  <c r="F136" i="1"/>
  <c r="F2" i="1"/>
  <c r="E2" i="1"/>
  <c r="D2" i="1"/>
  <c r="C2" i="1"/>
  <c r="B2" i="1"/>
  <c r="C138" i="6" l="1"/>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B21"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B20"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B19"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8" i="4"/>
  <c r="BF18" i="4" s="1"/>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B17"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B15"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W13" i="4"/>
  <c r="AV13" i="4"/>
  <c r="AU13" i="4"/>
  <c r="AT13" i="4"/>
  <c r="AS13" i="4"/>
  <c r="AR13" i="4"/>
  <c r="AQ13" i="4"/>
  <c r="AP13" i="4"/>
  <c r="BJ13" i="4" s="1"/>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B13" i="4"/>
  <c r="AW12" i="4"/>
  <c r="AV12" i="4"/>
  <c r="AU12" i="4"/>
  <c r="AT12" i="4"/>
  <c r="AS12" i="4"/>
  <c r="AR12" i="4"/>
  <c r="AQ12" i="4"/>
  <c r="AP12" i="4"/>
  <c r="BJ12" i="4" s="1"/>
  <c r="AO12" i="4"/>
  <c r="AN12" i="4"/>
  <c r="AM12" i="4"/>
  <c r="AL12" i="4"/>
  <c r="AK12" i="4"/>
  <c r="AJ12" i="4"/>
  <c r="AI12" i="4"/>
  <c r="AH12" i="4"/>
  <c r="AG12" i="4"/>
  <c r="AF12" i="4"/>
  <c r="AE12" i="4"/>
  <c r="AD12" i="4"/>
  <c r="AC12" i="4"/>
  <c r="AB12" i="4"/>
  <c r="AA12" i="4"/>
  <c r="Z12" i="4"/>
  <c r="Y12" i="4"/>
  <c r="X12" i="4"/>
  <c r="W12" i="4"/>
  <c r="V12" i="4"/>
  <c r="U12" i="4"/>
  <c r="T12" i="4"/>
  <c r="S12" i="4"/>
  <c r="R12" i="4"/>
  <c r="BG12" i="4" s="1"/>
  <c r="Q12" i="4"/>
  <c r="P12" i="4"/>
  <c r="O12" i="4"/>
  <c r="N12" i="4"/>
  <c r="M12" i="4"/>
  <c r="L12" i="4"/>
  <c r="K12" i="4"/>
  <c r="J12" i="4"/>
  <c r="I12" i="4"/>
  <c r="H12" i="4"/>
  <c r="G12" i="4"/>
  <c r="F12" i="4"/>
  <c r="E12" i="4"/>
  <c r="D12" i="4"/>
  <c r="C12" i="4"/>
  <c r="B12"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B11" i="4"/>
  <c r="AW10" i="4"/>
  <c r="AV10" i="4"/>
  <c r="AU10" i="4"/>
  <c r="AT10" i="4"/>
  <c r="AS10" i="4"/>
  <c r="AR10" i="4"/>
  <c r="AQ10" i="4"/>
  <c r="AP10" i="4"/>
  <c r="BJ10" i="4" s="1"/>
  <c r="AO10" i="4"/>
  <c r="AN10" i="4"/>
  <c r="AM10" i="4"/>
  <c r="AL10" i="4"/>
  <c r="AK10" i="4"/>
  <c r="AJ10" i="4"/>
  <c r="AI10" i="4"/>
  <c r="AH10" i="4"/>
  <c r="AG10" i="4"/>
  <c r="AF10" i="4"/>
  <c r="AE10" i="4"/>
  <c r="AD10" i="4"/>
  <c r="AC10" i="4"/>
  <c r="AB10" i="4"/>
  <c r="AA10" i="4"/>
  <c r="Z10" i="4"/>
  <c r="Y10" i="4"/>
  <c r="X10" i="4"/>
  <c r="W10" i="4"/>
  <c r="V10" i="4"/>
  <c r="U10" i="4"/>
  <c r="T10" i="4"/>
  <c r="S10" i="4"/>
  <c r="R10" i="4"/>
  <c r="BG10" i="4" s="1"/>
  <c r="Q10" i="4"/>
  <c r="P10" i="4"/>
  <c r="O10" i="4"/>
  <c r="N10" i="4"/>
  <c r="M10" i="4"/>
  <c r="L10" i="4"/>
  <c r="K10" i="4"/>
  <c r="J10" i="4"/>
  <c r="I10" i="4"/>
  <c r="H10" i="4"/>
  <c r="G10" i="4"/>
  <c r="F10" i="4"/>
  <c r="E10" i="4"/>
  <c r="D10" i="4"/>
  <c r="C10" i="4"/>
  <c r="B10" i="4"/>
  <c r="AW9" i="4"/>
  <c r="AV9" i="4"/>
  <c r="AU9" i="4"/>
  <c r="AT9" i="4"/>
  <c r="AS9" i="4"/>
  <c r="AR9" i="4"/>
  <c r="AQ9" i="4"/>
  <c r="AP9" i="4"/>
  <c r="AO9" i="4"/>
  <c r="AN9" i="4"/>
  <c r="AM9" i="4"/>
  <c r="AL9" i="4"/>
  <c r="AK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B9" i="4"/>
  <c r="AW8" i="4"/>
  <c r="AV8" i="4"/>
  <c r="AU8" i="4"/>
  <c r="AT8" i="4"/>
  <c r="AS8" i="4"/>
  <c r="AR8" i="4"/>
  <c r="AQ8" i="4"/>
  <c r="AP8" i="4"/>
  <c r="AO8" i="4"/>
  <c r="AN8" i="4"/>
  <c r="AM8"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B8"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B7" i="4"/>
  <c r="AW6" i="4"/>
  <c r="AV6" i="4"/>
  <c r="AU6" i="4"/>
  <c r="AT6" i="4"/>
  <c r="AS6" i="4"/>
  <c r="AR6" i="4"/>
  <c r="AQ6" i="4"/>
  <c r="AP6" i="4"/>
  <c r="AO6" i="4"/>
  <c r="AN6" i="4"/>
  <c r="AM6" i="4"/>
  <c r="AL6" i="4"/>
  <c r="AK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B6"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B5" i="4"/>
  <c r="AW4" i="4"/>
  <c r="AV4" i="4"/>
  <c r="AU4" i="4"/>
  <c r="AU23" i="4" s="1"/>
  <c r="AT4" i="4"/>
  <c r="AT23" i="4" s="1"/>
  <c r="AS4" i="4"/>
  <c r="AS23" i="4" s="1"/>
  <c r="AR4" i="4"/>
  <c r="AQ4" i="4"/>
  <c r="AP4" i="4"/>
  <c r="AP23" i="4" s="1"/>
  <c r="AO4" i="4"/>
  <c r="AN4" i="4"/>
  <c r="AN23" i="4" s="1"/>
  <c r="AM4" i="4"/>
  <c r="AL4" i="4"/>
  <c r="AL23" i="4" s="1"/>
  <c r="AK4" i="4"/>
  <c r="AJ4" i="4"/>
  <c r="AJ23" i="4" s="1"/>
  <c r="AI4" i="4"/>
  <c r="AH4" i="4"/>
  <c r="AH23" i="4" s="1"/>
  <c r="AG4" i="4"/>
  <c r="AG23" i="4" s="1"/>
  <c r="AF4" i="4"/>
  <c r="AF23" i="4" s="1"/>
  <c r="AE4" i="4"/>
  <c r="AD4" i="4"/>
  <c r="AD23" i="4" s="1"/>
  <c r="AC4" i="4"/>
  <c r="AB4" i="4"/>
  <c r="AB23" i="4" s="1"/>
  <c r="AA4" i="4"/>
  <c r="Z4" i="4"/>
  <c r="Z23" i="4" s="1"/>
  <c r="Y4" i="4"/>
  <c r="X4" i="4"/>
  <c r="X23" i="4" s="1"/>
  <c r="W4" i="4"/>
  <c r="V4" i="4"/>
  <c r="V23" i="4" s="1"/>
  <c r="U4" i="4"/>
  <c r="U23" i="4" s="1"/>
  <c r="T4" i="4"/>
  <c r="T23" i="4" s="1"/>
  <c r="S4" i="4"/>
  <c r="R4" i="4"/>
  <c r="R23" i="4" s="1"/>
  <c r="Q4" i="4"/>
  <c r="P4" i="4"/>
  <c r="P23" i="4" s="1"/>
  <c r="O4" i="4"/>
  <c r="N4" i="4"/>
  <c r="N23" i="4" s="1"/>
  <c r="M4" i="4"/>
  <c r="L4" i="4"/>
  <c r="L23" i="4" s="1"/>
  <c r="K4" i="4"/>
  <c r="J4" i="4"/>
  <c r="J23" i="4" s="1"/>
  <c r="I4" i="4"/>
  <c r="I23" i="4" s="1"/>
  <c r="H4" i="4"/>
  <c r="H23" i="4" s="1"/>
  <c r="G4" i="4"/>
  <c r="F4" i="4"/>
  <c r="F23" i="4" s="1"/>
  <c r="E4" i="4"/>
  <c r="D4" i="4"/>
  <c r="D23" i="4" s="1"/>
  <c r="C4" i="4"/>
  <c r="B4" i="4"/>
  <c r="C13" i="3"/>
  <c r="C12" i="3"/>
  <c r="C11" i="3"/>
  <c r="C10" i="3"/>
  <c r="C9" i="3"/>
  <c r="C8" i="3"/>
  <c r="C7" i="3"/>
  <c r="C6" i="3"/>
  <c r="C5" i="3"/>
  <c r="C4" i="3"/>
  <c r="C3" i="3"/>
  <c r="C2" i="3"/>
  <c r="BC16" i="4" l="1"/>
  <c r="BI13" i="4"/>
  <c r="BA14" i="4"/>
  <c r="BA15" i="4"/>
  <c r="BA16" i="4"/>
  <c r="AZ17" i="4"/>
  <c r="AZ19" i="4"/>
  <c r="AZ21" i="4"/>
  <c r="BI11" i="4"/>
  <c r="BH12" i="4"/>
  <c r="BH16" i="4"/>
  <c r="BH5" i="4"/>
  <c r="BH19" i="4"/>
  <c r="BB6" i="4"/>
  <c r="BB7" i="4"/>
  <c r="BB8" i="4"/>
  <c r="BB9" i="4"/>
  <c r="BB10" i="4"/>
  <c r="BH11" i="4"/>
  <c r="BB12" i="4"/>
  <c r="BB13" i="4"/>
  <c r="BB14" i="4"/>
  <c r="BB15" i="4"/>
  <c r="BB16" i="4"/>
  <c r="BB19" i="4"/>
  <c r="BB20" i="4"/>
  <c r="BB21" i="4"/>
  <c r="BG5" i="4"/>
  <c r="BC5" i="4"/>
  <c r="BC6" i="4"/>
  <c r="BC7" i="4"/>
  <c r="BC9" i="4"/>
  <c r="BC10" i="4"/>
  <c r="BC11" i="4"/>
  <c r="BH7" i="4"/>
  <c r="BC8" i="4"/>
  <c r="BH6" i="4"/>
  <c r="BH8" i="4"/>
  <c r="BF9" i="4"/>
  <c r="BF11" i="4"/>
  <c r="BA12" i="4"/>
  <c r="BE12" i="4"/>
  <c r="BE14" i="4"/>
  <c r="BE16" i="4"/>
  <c r="BD17" i="4"/>
  <c r="BD18" i="4"/>
  <c r="BD19" i="4"/>
  <c r="BD20" i="4"/>
  <c r="BD21" i="4"/>
  <c r="BD22" i="4"/>
  <c r="AO23" i="4"/>
  <c r="BH10" i="4"/>
  <c r="BF13" i="4"/>
  <c r="BF15" i="4"/>
  <c r="BF16" i="4"/>
  <c r="BA18" i="4"/>
  <c r="BE18" i="4"/>
  <c r="BA19" i="4"/>
  <c r="BE19" i="4"/>
  <c r="BI20" i="4"/>
  <c r="BE20" i="4"/>
  <c r="BI21" i="4"/>
  <c r="BE21" i="4"/>
  <c r="BE22" i="4"/>
  <c r="BH14" i="4"/>
  <c r="BF17" i="4"/>
  <c r="BF19" i="4"/>
  <c r="BF20" i="4"/>
  <c r="BF21" i="4"/>
  <c r="BF22" i="4"/>
  <c r="BH22" i="4"/>
  <c r="BG6" i="4"/>
  <c r="BJ6" i="4"/>
  <c r="BH9" i="4"/>
  <c r="BH20" i="4"/>
  <c r="AY7" i="4"/>
  <c r="BH13" i="4"/>
  <c r="BH15" i="4"/>
  <c r="AZ5" i="4"/>
  <c r="AZ6" i="4"/>
  <c r="AZ7" i="4"/>
  <c r="AZ8" i="4"/>
  <c r="AY9" i="4"/>
  <c r="AY11" i="4"/>
  <c r="BG13" i="4"/>
  <c r="BM13" i="4" s="1"/>
  <c r="BG14" i="4"/>
  <c r="BJ14" i="4"/>
  <c r="BJ15" i="4"/>
  <c r="BH17" i="4"/>
  <c r="AZ9" i="4"/>
  <c r="AZ10" i="4"/>
  <c r="AZ11" i="4"/>
  <c r="BC12" i="4"/>
  <c r="BC13" i="4"/>
  <c r="AY13" i="4"/>
  <c r="BC14" i="4"/>
  <c r="BC15" i="4"/>
  <c r="AY15" i="4"/>
  <c r="BB17" i="4"/>
  <c r="BJ17" i="4"/>
  <c r="BG18" i="4"/>
  <c r="BB18" i="4"/>
  <c r="BJ18" i="4"/>
  <c r="BG19" i="4"/>
  <c r="BJ19" i="4"/>
  <c r="BG20" i="4"/>
  <c r="BJ20" i="4"/>
  <c r="BG21" i="4"/>
  <c r="BM21" i="4" s="1"/>
  <c r="BJ21" i="4"/>
  <c r="BG22" i="4"/>
  <c r="BJ22" i="4"/>
  <c r="BK8" i="4"/>
  <c r="BA11" i="4"/>
  <c r="AZ12" i="4"/>
  <c r="AZ13" i="4"/>
  <c r="AZ14" i="4"/>
  <c r="AZ16" i="4"/>
  <c r="BC17" i="4"/>
  <c r="AY17" i="4"/>
  <c r="BC18" i="4"/>
  <c r="AY18" i="4"/>
  <c r="BC19" i="4"/>
  <c r="AY19" i="4"/>
  <c r="BC20" i="4"/>
  <c r="AY20" i="4"/>
  <c r="BH21" i="4"/>
  <c r="AY21" i="4"/>
  <c r="AY22" i="4"/>
  <c r="BI5" i="4"/>
  <c r="BK6" i="4"/>
  <c r="BI6" i="4"/>
  <c r="BK10" i="4"/>
  <c r="BK11" i="4"/>
  <c r="BA13" i="4"/>
  <c r="AZ18" i="4"/>
  <c r="AZ20" i="4"/>
  <c r="AZ22" i="4"/>
  <c r="BD6" i="4"/>
  <c r="BD7" i="4"/>
  <c r="BD8" i="4"/>
  <c r="BK12" i="4"/>
  <c r="BK14" i="4"/>
  <c r="BK16" i="4"/>
  <c r="BA20" i="4"/>
  <c r="BA21" i="4"/>
  <c r="BA22" i="4"/>
  <c r="BA6" i="4"/>
  <c r="BE6" i="4"/>
  <c r="BA7" i="4"/>
  <c r="BA8" i="4"/>
  <c r="BE8" i="4"/>
  <c r="BD9" i="4"/>
  <c r="BD10" i="4"/>
  <c r="BD11" i="4"/>
  <c r="BK18" i="4"/>
  <c r="BL18" i="4" s="1"/>
  <c r="BK19" i="4"/>
  <c r="BK20" i="4"/>
  <c r="BK21" i="4"/>
  <c r="BK22" i="4"/>
  <c r="BI22" i="4"/>
  <c r="BB22" i="4"/>
  <c r="BI4" i="4"/>
  <c r="C23" i="4"/>
  <c r="O23" i="4"/>
  <c r="AA23" i="4"/>
  <c r="AM23" i="4"/>
  <c r="BB5" i="4"/>
  <c r="BF7" i="4"/>
  <c r="BF8" i="4"/>
  <c r="BA9" i="4"/>
  <c r="BA10" i="4"/>
  <c r="BE10" i="4"/>
  <c r="BD12" i="4"/>
  <c r="BD13" i="4"/>
  <c r="BD14" i="4"/>
  <c r="AZ15" i="4"/>
  <c r="BD15" i="4"/>
  <c r="BD16" i="4"/>
  <c r="BC22" i="4"/>
  <c r="AY6" i="4"/>
  <c r="BI9" i="4"/>
  <c r="AY14" i="4"/>
  <c r="AZ4" i="4"/>
  <c r="AZ23" i="4" s="1"/>
  <c r="AI23" i="4"/>
  <c r="BD5" i="4"/>
  <c r="BJ7" i="4"/>
  <c r="BF10" i="4"/>
  <c r="BG15" i="4"/>
  <c r="BE9" i="4"/>
  <c r="K23" i="4"/>
  <c r="BK4" i="4"/>
  <c r="BD4" i="4"/>
  <c r="AV23" i="4"/>
  <c r="BA5" i="4"/>
  <c r="BE5" i="4"/>
  <c r="BG7" i="4"/>
  <c r="BG8" i="4"/>
  <c r="BJ8" i="4"/>
  <c r="BE11" i="4"/>
  <c r="BK13" i="4"/>
  <c r="BG16" i="4"/>
  <c r="BJ16" i="4"/>
  <c r="BJ4" i="4"/>
  <c r="BK5" i="4"/>
  <c r="BA17" i="4"/>
  <c r="BI17" i="4"/>
  <c r="BE17" i="4"/>
  <c r="AY8" i="4"/>
  <c r="AY16" i="4"/>
  <c r="BG4" i="4"/>
  <c r="AK23" i="4"/>
  <c r="BF4" i="4"/>
  <c r="B23" i="4"/>
  <c r="AX4" i="4"/>
  <c r="BG9" i="4"/>
  <c r="BJ9" i="4"/>
  <c r="BF12" i="4"/>
  <c r="BG17" i="4"/>
  <c r="W23" i="4"/>
  <c r="M23" i="4"/>
  <c r="BE4" i="4"/>
  <c r="AW23" i="4"/>
  <c r="BF5" i="4"/>
  <c r="BA4" i="4"/>
  <c r="BK7" i="4"/>
  <c r="BE13" i="4"/>
  <c r="BK15" i="4"/>
  <c r="AY10" i="4"/>
  <c r="Y23" i="4"/>
  <c r="BB4" i="4"/>
  <c r="E23" i="4"/>
  <c r="Q23" i="4"/>
  <c r="AC23" i="4"/>
  <c r="BC4" i="4"/>
  <c r="BJ5" i="4"/>
  <c r="BF6" i="4"/>
  <c r="BG11" i="4"/>
  <c r="BJ11" i="4"/>
  <c r="BF14" i="4"/>
  <c r="AY5" i="4"/>
  <c r="BE7" i="4"/>
  <c r="BK9" i="4"/>
  <c r="BE15" i="4"/>
  <c r="BK17" i="4"/>
  <c r="G23" i="4"/>
  <c r="S23" i="4"/>
  <c r="AE23" i="4"/>
  <c r="AY4" i="4"/>
  <c r="AQ23" i="4"/>
  <c r="BH4" i="4"/>
  <c r="BI7" i="4"/>
  <c r="AY12" i="4"/>
  <c r="BI15" i="4"/>
  <c r="BB11" i="4"/>
  <c r="BH18" i="4"/>
  <c r="BI8" i="4"/>
  <c r="BI10" i="4"/>
  <c r="BM10" i="4" s="1"/>
  <c r="BI12" i="4"/>
  <c r="BM12" i="4" s="1"/>
  <c r="BI14" i="4"/>
  <c r="BI16" i="4"/>
  <c r="BI18" i="4"/>
  <c r="BC21" i="4"/>
  <c r="AX6" i="4"/>
  <c r="AX8" i="4"/>
  <c r="AX10" i="4"/>
  <c r="AX12" i="4"/>
  <c r="AX14" i="4"/>
  <c r="AX16" i="4"/>
  <c r="AX18" i="4"/>
  <c r="AX20" i="4"/>
  <c r="AX22" i="4"/>
  <c r="AR23" i="4"/>
  <c r="BI19" i="4"/>
  <c r="BM19" i="4" s="1"/>
  <c r="AX5" i="4"/>
  <c r="AX7" i="4"/>
  <c r="AX9" i="4"/>
  <c r="AX11" i="4"/>
  <c r="AX13" i="4"/>
  <c r="AX15" i="4"/>
  <c r="AX17" i="4"/>
  <c r="AX19" i="4"/>
  <c r="AX21" i="4"/>
  <c r="BL17" i="4" l="1"/>
  <c r="BL12" i="4"/>
  <c r="BO12" i="4" s="1"/>
  <c r="BL15" i="4"/>
  <c r="BL14" i="4"/>
  <c r="BM5" i="4"/>
  <c r="BN5" i="4" s="1"/>
  <c r="BN12" i="4"/>
  <c r="BM20" i="4"/>
  <c r="BN20" i="4" s="1"/>
  <c r="BM22" i="4"/>
  <c r="BN22" i="4" s="1"/>
  <c r="BL13" i="4"/>
  <c r="BO13" i="4" s="1"/>
  <c r="BL9" i="4"/>
  <c r="BL11" i="4"/>
  <c r="BN21" i="4"/>
  <c r="BL7" i="4"/>
  <c r="BL6" i="4"/>
  <c r="BL5" i="4"/>
  <c r="BL20" i="4"/>
  <c r="BL10" i="4"/>
  <c r="BO10" i="4" s="1"/>
  <c r="BM14" i="4"/>
  <c r="BN14" i="4" s="1"/>
  <c r="BL16" i="4"/>
  <c r="BN10" i="4"/>
  <c r="BM18" i="4"/>
  <c r="BN18" i="4" s="1"/>
  <c r="BI23" i="4"/>
  <c r="BC23" i="4"/>
  <c r="BL22" i="4"/>
  <c r="BL21" i="4"/>
  <c r="BO21" i="4" s="1"/>
  <c r="BH23" i="4"/>
  <c r="BL19" i="4"/>
  <c r="BO19" i="4" s="1"/>
  <c r="BM7" i="4"/>
  <c r="BN7" i="4" s="1"/>
  <c r="BA23" i="4"/>
  <c r="BL8" i="4"/>
  <c r="BN13" i="4"/>
  <c r="BM6" i="4"/>
  <c r="BN6" i="4" s="1"/>
  <c r="BN19" i="4"/>
  <c r="BE23" i="4"/>
  <c r="AX23" i="4"/>
  <c r="BJ23" i="4"/>
  <c r="BM9" i="4"/>
  <c r="BN9" i="4" s="1"/>
  <c r="BB23" i="4"/>
  <c r="BD23" i="4"/>
  <c r="BF23" i="4"/>
  <c r="BL4" i="4"/>
  <c r="BG23" i="4"/>
  <c r="BM4" i="4"/>
  <c r="BM16" i="4"/>
  <c r="BK23" i="4"/>
  <c r="AY23" i="4"/>
  <c r="BM11" i="4"/>
  <c r="BN11" i="4" s="1"/>
  <c r="BM15" i="4"/>
  <c r="BN15" i="4" s="1"/>
  <c r="BM17" i="4"/>
  <c r="BN17" i="4" s="1"/>
  <c r="BM8" i="4"/>
  <c r="BO18" i="4" l="1"/>
  <c r="BO5" i="4"/>
  <c r="BO22" i="4"/>
  <c r="BO15" i="4"/>
  <c r="BO7" i="4"/>
  <c r="BO20" i="4"/>
  <c r="BO9" i="4"/>
  <c r="BO11" i="4"/>
  <c r="BO14" i="4"/>
  <c r="BO6" i="4"/>
  <c r="BO17" i="4"/>
  <c r="BN16" i="4"/>
  <c r="BO16" i="4"/>
  <c r="BM23" i="4"/>
  <c r="BN4" i="4"/>
  <c r="BN8" i="4"/>
  <c r="BO8" i="4"/>
  <c r="BL23" i="4"/>
  <c r="BO4" i="4"/>
  <c r="BO23" i="4" l="1"/>
  <c r="BN23" i="4"/>
</calcChain>
</file>

<file path=xl/sharedStrings.xml><?xml version="1.0" encoding="utf-8"?>
<sst xmlns="http://schemas.openxmlformats.org/spreadsheetml/2006/main" count="6025" uniqueCount="2647">
  <si>
    <t>STT</t>
  </si>
  <si>
    <t>MSSV</t>
  </si>
  <si>
    <t>BCTT</t>
  </si>
  <si>
    <t>Hội đồng</t>
  </si>
  <si>
    <t>K224141715</t>
  </si>
  <si>
    <t>Phạm Thụy Phương Dung</t>
  </si>
  <si>
    <t>K22414C</t>
  </si>
  <si>
    <t>Tiếng Anh</t>
  </si>
  <si>
    <t>PGS. TS Lê Đức Quang Tú</t>
  </si>
  <si>
    <t>TS Nguyễn Thanh Liêm</t>
  </si>
  <si>
    <t>TS Nguyễn Trung Hiếu</t>
  </si>
  <si>
    <t>ThS Ngô Phú Thanh</t>
  </si>
  <si>
    <t>K224141738</t>
  </si>
  <si>
    <t>Vũ Ngọc Thuỷ Tiên</t>
  </si>
  <si>
    <t>Tiếng Việt</t>
  </si>
  <si>
    <t>K224141652</t>
  </si>
  <si>
    <t>Lê Phúc Chí</t>
  </si>
  <si>
    <t>K22414</t>
  </si>
  <si>
    <t>ỨNG DỤNG MÔ HÌNH HỌC SÂU VÀ HỆ THỐNG TRUY XUẤT THÔNG TIN ĐA CHỈ MỤC TRONG TƯ VẤN ĐẦU TƯ</t>
  </si>
  <si>
    <t>PGS. TS Nguyễn Anh Phong</t>
  </si>
  <si>
    <t>K224141654</t>
  </si>
  <si>
    <t>Đào Mỹ Duyên</t>
  </si>
  <si>
    <t>XÂY DỰNG KHUNG THEO DÕI TRẠNG THÁI TÀI CHÍNH CỦA CÁC DOANH NGHIỆP PHI TÀI CHÍNH NIÊM YẾT TRÊN SỞ GIAO DỊCH CHỨNG KHOÁN THÀNH PHỐ HỒ CHÍ MINH TRONG GIAI ĐOẠN 2020-2024</t>
  </si>
  <si>
    <t>K224141658</t>
  </si>
  <si>
    <t>Đào Ngọc Hà</t>
  </si>
  <si>
    <t>ỨNG DỤNG HỌC MÁY TRONG DỰ BÁO RỦI RO QUẢN TRỊ LỢI NHUẬN VÀ TÁC ĐỘNG ĐẾN TỶ SUẤT SINH LỜI CỔ PHIẾU: BẰNG CHỨNG THỰC NGHIỆM TẠI VIỆT NAM</t>
  </si>
  <si>
    <t>K224040570</t>
  </si>
  <si>
    <t>Nguyễn Yến Linh</t>
  </si>
  <si>
    <t>K22404C</t>
  </si>
  <si>
    <t>K224040583</t>
  </si>
  <si>
    <t>Tô Như Quỳnh</t>
  </si>
  <si>
    <t>K224040584</t>
  </si>
  <si>
    <t>Trần Ngọc Lan Thanh</t>
  </si>
  <si>
    <t>K224040585</t>
  </si>
  <si>
    <t>Ngô Nguyễn Quỳnh Thơ</t>
  </si>
  <si>
    <t>K224141659</t>
  </si>
  <si>
    <t>Mai Thị Thanh Hà</t>
  </si>
  <si>
    <t>DỰ BÁO KHẢ NĂNG ĐẠT HIỆU QUẢ SỬ DỤNG TÀI SẢN TRÊN MỨC TRUNG VỊ NGÀNH CỦA CÁC DOANH NGHIỆP BẤT ĐỘNG SẢN NIÊM YẾT TẠI VIỆT NAM - SỬ DỤNG MÔ HÌNH HỌC MÁY</t>
  </si>
  <si>
    <t>K224141667</t>
  </si>
  <si>
    <t>Lê Thị Hương</t>
  </si>
  <si>
    <t>K224141714</t>
  </si>
  <si>
    <t>Lê Danh Bách</t>
  </si>
  <si>
    <t>PGS. TS Phạm Thị Thanh Xuân</t>
  </si>
  <si>
    <t>K224141730</t>
  </si>
  <si>
    <t>Đoàn Tuấn Nghĩa</t>
  </si>
  <si>
    <t>K224141733</t>
  </si>
  <si>
    <t>Bùi Đặng Quỳnh Như</t>
  </si>
  <si>
    <t>K224141711</t>
  </si>
  <si>
    <t>Lê Phú An</t>
  </si>
  <si>
    <t>ỨNG DỤNG SURROGATE ML/DL DỰ BÁO EVE VÀ EAR TRONG QUẢN LÝ IRRBB</t>
  </si>
  <si>
    <t>TS Nguyễn Thôn Dã</t>
  </si>
  <si>
    <t>K224141655</t>
  </si>
  <si>
    <t>Lê Thị Mỹ Duyên</t>
  </si>
  <si>
    <t>TS Võ Thị Ngọc Trinh</t>
  </si>
  <si>
    <t>K224141668</t>
  </si>
  <si>
    <t>Phan Vũ Đình Khang</t>
  </si>
  <si>
    <t>K224141703</t>
  </si>
  <si>
    <t>Thông Thị Quế Trân</t>
  </si>
  <si>
    <t>DỰ BÁO TỶ SUẤT SINH LỜI VỐN CHỦ SỞ HỮU CỦA NGÀNH BẤT ĐỘNG SẢN BẰNG MACHINE LEARNING</t>
  </si>
  <si>
    <t>K224141649</t>
  </si>
  <si>
    <t>Trần Lê Quang An</t>
  </si>
  <si>
    <t>K224141657</t>
  </si>
  <si>
    <t>Bùi Thị Ngọc Hà</t>
  </si>
  <si>
    <t>K224141717</t>
  </si>
  <si>
    <t>Trần Đức Duy</t>
  </si>
  <si>
    <t>MỨC ĐỘ TÁC ĐỘNG CỦA FINTECH ĐẾN HIỆU QUẢ HOẠT ĐỘNG CỦA NGÂN HÀNG THƯƠNG MẠI NIÊM YẾT TẠI VIỆT NAM TRONG GIAI ĐOẠN 2014 - 2024</t>
  </si>
  <si>
    <t>ThS Phạm Chí Khoa</t>
  </si>
  <si>
    <t>K224141741</t>
  </si>
  <si>
    <t>Nguyễn Ngọc Thảo Trâm</t>
  </si>
  <si>
    <t>APPLICATION OF MACHINE LEARNING IN BREAKOUT SIGNAL IDENTIFICATION IN THE VIETNAMESE STOCK MARKET</t>
  </si>
  <si>
    <t>K214142085</t>
  </si>
  <si>
    <t>Phan Minh Thức</t>
  </si>
  <si>
    <t>K21414</t>
  </si>
  <si>
    <t>BUILDING A MULTI-LEVEL FINANCIAL RISK RANKING AND EARLY WARNING SYSTEM FOR VIETNAMESE LISTED COMPANIES: APPLYING MACHINE LEARNING AND DEPLOYING A WEB DASHBOARD TO SUPPORT DIGITAL TRANSFORMATION</t>
  </si>
  <si>
    <t>ThS Phan Huy Tâm</t>
  </si>
  <si>
    <t>K224141650</t>
  </si>
  <si>
    <t>Lưu Quỳnh Anh</t>
  </si>
  <si>
    <t>K224141651</t>
  </si>
  <si>
    <t>Nguyễn Ngọc Bảo Châu</t>
  </si>
  <si>
    <t>INTEGRATING CONDITIONAL VALUE AT RISK INTO HIERARCHICAL RISK PARITY: EVIDENCE FROM THE VIETNAMESE MULTI-ASSET MARKET</t>
  </si>
  <si>
    <t>K224141653</t>
  </si>
  <si>
    <t>Trần Nguyên Diễm</t>
  </si>
  <si>
    <t>K224141656</t>
  </si>
  <si>
    <t>Ngô Lam Giang</t>
  </si>
  <si>
    <t>K224141690</t>
  </si>
  <si>
    <t>Bùi Bạch Đoan Tâm</t>
  </si>
  <si>
    <t>TÁC ĐỘNG CỦA CÁC YẾU TỐ VĨ MÔ ĐẾN TỶ GIÁ TRONG GIAI ĐOẠN 2014-2023 : ỨNG DỤNG VECM VÀ MACHINE LEARNING DỰ TRONG DỰ BÁO</t>
  </si>
  <si>
    <t>K224141709</t>
  </si>
  <si>
    <t>Hồ Nguyễn Nhật Vy</t>
  </si>
  <si>
    <t>K224141724</t>
  </si>
  <si>
    <t>Lê Thị Hường</t>
  </si>
  <si>
    <t>K224141725</t>
  </si>
  <si>
    <t>Phạm Hữu Khương</t>
  </si>
  <si>
    <t>APPLYING THE DEEP LEARNING MODEL (LSTM, GRU) IN BITCOIN'S VOLATILITY FORECASTING AND RISK MEASUREMENT (VAR)</t>
  </si>
  <si>
    <t>K224141727</t>
  </si>
  <si>
    <t>TÁC ĐỘNG CỦA CẢM XÚC TIN TỨC ĐẾN KHẢ NĂNG DỰ BÁO BIẾN ĐỘNG LỢI SUẤT CỔ PHIẾU: BẰNG CHỨNG THỰC NGHIỆM TỪ CÁC CỔ PHIẾU THUỘC NGÀNH BẤT ĐỘNG SẢN</t>
  </si>
  <si>
    <t>K224141713</t>
  </si>
  <si>
    <t>Nguyễn Thương Kỳ Anh</t>
  </si>
  <si>
    <t>K224040575</t>
  </si>
  <si>
    <t>Phan Quang Minh</t>
  </si>
  <si>
    <t>PGS. TS Nguyễn Thị Ánh Như</t>
  </si>
  <si>
    <t>K224040586</t>
  </si>
  <si>
    <t>Đặng Hoài Minh Thư</t>
  </si>
  <si>
    <t>K224040591</t>
  </si>
  <si>
    <t>Nguyễn Hà Trâm</t>
  </si>
  <si>
    <t>K224040593</t>
  </si>
  <si>
    <t>Phạm Văn Trọng</t>
  </si>
  <si>
    <t>K224040594</t>
  </si>
  <si>
    <t>Nguyễn Thành Trung</t>
  </si>
  <si>
    <t>K224040595</t>
  </si>
  <si>
    <t>Lê Nguyễn Thanh Trúc</t>
  </si>
  <si>
    <t>K224141726</t>
  </si>
  <si>
    <t>CONSTRUCTING AN OPTIMAL VN30 PORTFOLIO USING THE SINGLE INDEX MODEL</t>
  </si>
  <si>
    <t>K224141744</t>
  </si>
  <si>
    <t>Lâm Thanh Vi</t>
  </si>
  <si>
    <t>MACHINE LEARNING APPROACHES TO MORTGAGE DEFAULT PREDICTION: AN EMPIRICAL STUDY</t>
  </si>
  <si>
    <t>K224141710</t>
  </si>
  <si>
    <t>Lê Hoàng Phi Yến</t>
  </si>
  <si>
    <t>K224141716</t>
  </si>
  <si>
    <t>Nguyễn Quang Duy</t>
  </si>
  <si>
    <t>K224141673</t>
  </si>
  <si>
    <t>Phạm Gia Linh</t>
  </si>
  <si>
    <t>DỰ BÁO TÌNH TRẠNG KIỆT QUỆ TÀI CHÍNH CỦA CÁC DOANH NGHIỆP SẢN XUẤT VIỆT NAM</t>
  </si>
  <si>
    <t>K224141677</t>
  </si>
  <si>
    <t>Nguyễn Bùi Kim Ngân</t>
  </si>
  <si>
    <t>K224040550</t>
  </si>
  <si>
    <t>Nguyễn Thị Hải Tiên</t>
  </si>
  <si>
    <t>K22404</t>
  </si>
  <si>
    <t>K224040553</t>
  </si>
  <si>
    <t>Lý Bảo Trân</t>
  </si>
  <si>
    <t>K224040555</t>
  </si>
  <si>
    <t>Nguyễn Trần Ngọc Trúc</t>
  </si>
  <si>
    <t>K224040580</t>
  </si>
  <si>
    <t>Vũ Thị Hồng Phúc</t>
  </si>
  <si>
    <t>K224040581</t>
  </si>
  <si>
    <t>Đoàn Hà Phương</t>
  </si>
  <si>
    <t>K224141679</t>
  </si>
  <si>
    <t>Trần Khánh Ngọc</t>
  </si>
  <si>
    <t>XÂY DỰNG HỆ THỐNG REGTECH HỖ TRỢ CHẨM ĐIỂM RỦI RO BẤT ĐỘNG SẢN VÀ TÍNH NGHĨA VỤ TÀI CHÍNH THEO BẢNG GIÁ ĐẤT TP.HCM 2026</t>
  </si>
  <si>
    <t>K224141687</t>
  </si>
  <si>
    <t>Hứa Nguyễn Như Quỳnh</t>
  </si>
  <si>
    <t>K224141688</t>
  </si>
  <si>
    <t>Mai Như Quỳnh</t>
  </si>
  <si>
    <t>K224141737</t>
  </si>
  <si>
    <t>Lê Vũ Minh Thông</t>
  </si>
  <si>
    <t>ỨNG DỤNG MÁY HỌC TRONG CHẤM ĐIỂM RỦI RO QUÁ HẠN KHOẢN VAY TẠI BIDV - CHI NHÁNH THỦ DẦU MỘT</t>
  </si>
  <si>
    <t>K224141743</t>
  </si>
  <si>
    <t>Lê Việt Tố Uyên</t>
  </si>
  <si>
    <t>ỨNG DỤNG MACHINE LEARNING TRONG DỰ BÁO ROA CỦA CÁC DOANH NGHIỆP PHI TÀI CHÍNH NIÊM YẾT TẠI VIỆT NAM GIAI ĐOẠN 2018–2024</t>
  </si>
  <si>
    <t>K224040556</t>
  </si>
  <si>
    <t>Đinh Quang Tuấn</t>
  </si>
  <si>
    <t>PGS. TS Trần Hùng Sơn</t>
  </si>
  <si>
    <t>K224040558</t>
  </si>
  <si>
    <t>Trần Thị Trúc Uyên</t>
  </si>
  <si>
    <t>K224040560</t>
  </si>
  <si>
    <t>Nguyễn Thị Hà Vy</t>
  </si>
  <si>
    <t>K224040569</t>
  </si>
  <si>
    <t>Phạm Thị Thu Hương</t>
  </si>
  <si>
    <t>K224040587</t>
  </si>
  <si>
    <t>Nguyễn Thị Minh Thư</t>
  </si>
  <si>
    <t>K224040589</t>
  </si>
  <si>
    <t>Hồ Nguyễn Anh Thy</t>
  </si>
  <si>
    <t>K224141722</t>
  </si>
  <si>
    <t>Nguyễn Thị Mai Hạnh</t>
  </si>
  <si>
    <t>PHÂN TÍCH CẢM XÚC CỦA NGƯỜI DÙNG BIDV MINI APP TRÊN NỀN TẢNG VNPAY BẰNG CÁC PHƯƠNG PHÁP HỌC MÁY</t>
  </si>
  <si>
    <t>K224141729</t>
  </si>
  <si>
    <t>Trần Phương Nghi</t>
  </si>
  <si>
    <t>K224141740</t>
  </si>
  <si>
    <t>Phạm Hoàng Ngọc Trang</t>
  </si>
  <si>
    <t>K224040483</t>
  </si>
  <si>
    <t>Phan Thúy Ngân</t>
  </si>
  <si>
    <t>ThS Hồ Thị Hồng Minh</t>
  </si>
  <si>
    <t>K224040484</t>
  </si>
  <si>
    <t>Trần Huỳnh Phương Nghi</t>
  </si>
  <si>
    <t>K224040486</t>
  </si>
  <si>
    <t>Hoàng Thị Huệ Nhi</t>
  </si>
  <si>
    <t>K224040488</t>
  </si>
  <si>
    <t>Nguyễn Thị Thanh Nhung</t>
  </si>
  <si>
    <t>K224040492</t>
  </si>
  <si>
    <t>Lê Mạnh Quân</t>
  </si>
  <si>
    <t>K224040561</t>
  </si>
  <si>
    <t>Hà Thị Lan Anh</t>
  </si>
  <si>
    <t>K224040563</t>
  </si>
  <si>
    <t>Nguyễn Hồng Ánh</t>
  </si>
  <si>
    <t>K224040582</t>
  </si>
  <si>
    <t>Phạm Thị Phương</t>
  </si>
  <si>
    <t>K224040590</t>
  </si>
  <si>
    <t>Nguyễn Ngọc Thiên Trang</t>
  </si>
  <si>
    <t>K224040592</t>
  </si>
  <si>
    <t>Nguyễn Hoài Tuyết Trân</t>
  </si>
  <si>
    <t>K224141661</t>
  </si>
  <si>
    <t>Nguyễn Hạo</t>
  </si>
  <si>
    <t>K224141665</t>
  </si>
  <si>
    <t>Phan Thị Thu Huyền</t>
  </si>
  <si>
    <t>K224141671</t>
  </si>
  <si>
    <t>Bùi Ngọc Thiên Kim</t>
  </si>
  <si>
    <t>XÂY DỰNG BẢNG ĐIỀU KHIỂN DANH MỤC ĐẦU TƯ TỐI ƯU THEO KHẨU VỊ RỦI RO"</t>
  </si>
  <si>
    <t>K224141674</t>
  </si>
  <si>
    <t>Nguyễn Đồng Mạnh</t>
  </si>
  <si>
    <t>ỨNG DỤNG DỮ LIỆU GIAO DỊCH CỦA KHỐI NGOẠI TRONG DỰ BÁO XU HƯỚNG BIẾN ĐỘNG GIÁ CỔ PHIẾU TẠI THỊ TRƯỜNG CHỨNG KHOÁN VIỆT NAM</t>
  </si>
  <si>
    <t>K224141676</t>
  </si>
  <si>
    <t>Nguyễn Ngọc Kim Nga</t>
  </si>
  <si>
    <t>K224141723</t>
  </si>
  <si>
    <t>Nguyễn Thị Ngọc Huyền</t>
  </si>
  <si>
    <t>K224141660</t>
  </si>
  <si>
    <t>Trần Bích Hà</t>
  </si>
  <si>
    <t>PHÂN TÍCH CẢM XÚC NGƯỜI DÙNG TỪ ĐÁNH GIÁ TRÊN ỨNG DỤNG NGÂN HÀNG SỐ VÀ MỐI LIÊN HỆ VỚI BIẾN ĐỘNG GIÁ CỔ PHIẾU NGÂN HÀNG TẠI VIỆT NAM</t>
  </si>
  <si>
    <t>K224141662</t>
  </si>
  <si>
    <t>Nguyễn Lâm Xuân Hân</t>
  </si>
  <si>
    <t>PHÁT HIỆN SỰ CHUYỂN PHA TRẠNG THÁI THỊ TRƯỜNG CHỨNG KHOÁN VIỆT NAM BẰNG HỌC MÁY KHÔNG GIÁM SÁT VÀ MÔ HÌNH TRẠNG THÁI ẨN HIDDEN MARKOV MODEL</t>
  </si>
  <si>
    <t>K224141666</t>
  </si>
  <si>
    <t>Trần Thị Thu Huỳnh</t>
  </si>
  <si>
    <t>K224141669</t>
  </si>
  <si>
    <t>Bùi Trung Kiên</t>
  </si>
  <si>
    <t>K224141670</t>
  </si>
  <si>
    <t>Nguyễn Hữu Kiên</t>
  </si>
  <si>
    <t>K224141718</t>
  </si>
  <si>
    <t>Huỳnh Thị Mỹ Duyên</t>
  </si>
  <si>
    <t>K224141739</t>
  </si>
  <si>
    <t>Dương Ngọc Trang</t>
  </si>
  <si>
    <t>K224141745</t>
  </si>
  <si>
    <t>Châu Hải Vy</t>
  </si>
  <si>
    <t>K224141728</t>
  </si>
  <si>
    <t>Nguyễn Nhật Nam</t>
  </si>
  <si>
    <t>DỰ BÁO BIẾN ĐỘNG CÁC MÃ CỔ PHIẾU CỦA THỊ TRƯỜNG VIỆT NAM BẰNG MÔ HÌNH GARCH TĂNG CƯỜNG HỌC SÂU LSTM VỚI THÔNG TIN THỊ TRƯỜNG VÀ SENTIMENT TIN TỨC</t>
  </si>
  <si>
    <t>K224141731</t>
  </si>
  <si>
    <t>Nguyễn Trọng Nghĩa</t>
  </si>
  <si>
    <t>XÂY DỰNG MÔ HÌNH DỰ BÁO GIÁ ĐÓNG CỬA NGẮN HẠN CHO CÁC MÃ CỔ PHIẾU THUỘC VN30 BẰNG DEEP LEARNING VÀ ỨNG DỤNG TRONG HỆ THỐNG HỖ TRỢ GIAO DỊCH FINTECH</t>
  </si>
  <si>
    <t>K224141732</t>
  </si>
  <si>
    <t>Cao Hoàng Nhã</t>
  </si>
  <si>
    <t>DỰ BÁO BIẾN ĐỘNG LỢI NHUẬN VÀ RỦI RO SUY GIẢM LỢI NHUẬN CỦA CÁC DOANH NGHIỆP NIÊM YẾT PHI TÀI CHÍNH TẠI VIỆT NAM BẰNG HỌC MÁY</t>
  </si>
  <si>
    <t>K224141734</t>
  </si>
  <si>
    <t>Hoàng Thị Quỳnh Như</t>
  </si>
  <si>
    <t>ỨNG DỤNG MACHINE LEARNING TRONG DỰ BÁO RỦI RO THANH KHOẢN CỦA NGÂN HÀNG THƯƠNG MẠI TẠI VIỆT NAM</t>
  </si>
  <si>
    <t>K224141735</t>
  </si>
  <si>
    <t>Liêu Hoài Phúc</t>
  </si>
  <si>
    <t>K224141719</t>
  </si>
  <si>
    <t>Nguyễn Khánh Hà</t>
  </si>
  <si>
    <t>PHÂN TÍCH CÁC YẾU TỐ TÁC ĐỘNG ĐẾN CĂNG THẲNG TÀI CHÍNH CỦA DOANH NGHIỆP NGÀNH NGUYÊN VẬT LIỆU NIÊM YẾT TRÊN SỞ GIAO DỊCH CHỨNG KHOÁN TP. HỒ CHÍ MINH GIAI ĐOẠN 2014–2024</t>
  </si>
  <si>
    <t>K224141720</t>
  </si>
  <si>
    <t>Phạm Thị Duyên Hải</t>
  </si>
  <si>
    <t>PHÂN TÍCH HIỆU SUẤT TÀI CHÍNH VÀ CHI PHÍ CƠ HỘI CỦA DANH MỤC ĐẦU TƯ TÍCH HỢP TIÊU CHÍ ESG TẠI THỊ TRƯỜNG CHỨNG KHOÁN VIỆT NAM: TIẾP CẬN TỪ MÔ HÌNH MARKOWITZ VÀ THUẬT TOÁN NSGA-II</t>
  </si>
  <si>
    <t>K224141680</t>
  </si>
  <si>
    <t>ỨNG DỤNG MACHINE LEARNING TRONG XÂY DỰNG HỆ THỐNG DỰ BÁO RỦI RO CỔ PHIẾU TRÊN THỊ TRƯỜNG CHỨNG KHOÁN VIỆT NAM</t>
  </si>
  <si>
    <t>K224141683</t>
  </si>
  <si>
    <t>Huỳnh Quế Nhu</t>
  </si>
  <si>
    <t>K224141684</t>
  </si>
  <si>
    <t>Phan Kiều Oanh</t>
  </si>
  <si>
    <t>K224141689</t>
  </si>
  <si>
    <t>Trần Ngọc Như Quỳnh</t>
  </si>
  <si>
    <t>K204041141</t>
  </si>
  <si>
    <t>Nguyễn Ngọc Hoàng</t>
  </si>
  <si>
    <t>K20404</t>
  </si>
  <si>
    <t>ThS Nguyễn Thị Diễm Hiền</t>
  </si>
  <si>
    <t>K214041625</t>
  </si>
  <si>
    <t>Nguyễn Hoàng Tuân</t>
  </si>
  <si>
    <t>K21404</t>
  </si>
  <si>
    <t>K224040466</t>
  </si>
  <si>
    <t>Nguyễn Đình Thiên Ân</t>
  </si>
  <si>
    <t>K22412</t>
  </si>
  <si>
    <t>K224040467</t>
  </si>
  <si>
    <t>Tô Gia Bảo</t>
  </si>
  <si>
    <t>K224040468</t>
  </si>
  <si>
    <t>Phạm Mai Chi</t>
  </si>
  <si>
    <t>K224040478</t>
  </si>
  <si>
    <t>Nguyễn Tuấn Kiệt</t>
  </si>
  <si>
    <t>K224040487</t>
  </si>
  <si>
    <t>Nghiêm Thùy Yến Nhi</t>
  </si>
  <si>
    <t>K224040489</t>
  </si>
  <si>
    <t>Thiều Thị Ngọc Oanh</t>
  </si>
  <si>
    <t>K224040490</t>
  </si>
  <si>
    <t>Nguyễn Ngọc Châu Phương</t>
  </si>
  <si>
    <t>K224040491</t>
  </si>
  <si>
    <t>Nguyễn Duy Phúc</t>
  </si>
  <si>
    <t>K224040495</t>
  </si>
  <si>
    <t>Hà Huy Tân</t>
  </si>
  <si>
    <t>K224040501</t>
  </si>
  <si>
    <t>Lê Thị Thủy Tiên</t>
  </si>
  <si>
    <t>K224040502</t>
  </si>
  <si>
    <t>Nguyễn Thủy Tiên</t>
  </si>
  <si>
    <t>K224040504</t>
  </si>
  <si>
    <t>Hồ Thị Ngọc Trâm</t>
  </si>
  <si>
    <t>K224040506</t>
  </si>
  <si>
    <t>Nguyễn Thanh Trúc</t>
  </si>
  <si>
    <t>K224040519</t>
  </si>
  <si>
    <t>Hoàng Thị Đông Hà</t>
  </si>
  <si>
    <t>K224040523</t>
  </si>
  <si>
    <t>Phí Nhật Hoàng</t>
  </si>
  <si>
    <t>K224040528</t>
  </si>
  <si>
    <t>Trần Nhật Linh</t>
  </si>
  <si>
    <t>K224042344</t>
  </si>
  <si>
    <t>Đỗ Kim Anh</t>
  </si>
  <si>
    <t>K224042345</t>
  </si>
  <si>
    <t>K224042346</t>
  </si>
  <si>
    <t>Phommavong Thipsouda</t>
  </si>
  <si>
    <t>K224042347</t>
  </si>
  <si>
    <t>Cheemeng Vangchiaxar</t>
  </si>
  <si>
    <t>K224141697</t>
  </si>
  <si>
    <t>Lâm Chánh Tín</t>
  </si>
  <si>
    <t>K224141692</t>
  </si>
  <si>
    <t>Nguyễn Thị Ngọc Thanh</t>
  </si>
  <si>
    <t>K224141672</t>
  </si>
  <si>
    <t>Phan Ánh Linh</t>
  </si>
  <si>
    <t>K224040464</t>
  </si>
  <si>
    <t>Phạm Vũ Tú Anh</t>
  </si>
  <si>
    <t>ThS Nguyễn Thị Hai Hằng</t>
  </si>
  <si>
    <t>K224040469</t>
  </si>
  <si>
    <t>Nguyễn Thị Thúy Diễm</t>
  </si>
  <si>
    <t>K224040482</t>
  </si>
  <si>
    <t>Dương Công Nam</t>
  </si>
  <si>
    <t>K224040485</t>
  </si>
  <si>
    <t>Triệu Hoàng Kim Nguyên</t>
  </si>
  <si>
    <t>K224040494</t>
  </si>
  <si>
    <t>Huỳnh Thị Thanh Tâm</t>
  </si>
  <si>
    <t>K224040497</t>
  </si>
  <si>
    <t>Phan Như Thành</t>
  </si>
  <si>
    <t>K224040498</t>
  </si>
  <si>
    <t>Lê Hưng Thịnh</t>
  </si>
  <si>
    <t>K224040499</t>
  </si>
  <si>
    <t>Bùi Anh Thư</t>
  </si>
  <si>
    <t>K224040500</t>
  </si>
  <si>
    <t>Nguyễn Thị Thương</t>
  </si>
  <si>
    <t>K224040505</t>
  </si>
  <si>
    <t>Nguyễn Ngọc Huyền Trân</t>
  </si>
  <si>
    <t>K224040509</t>
  </si>
  <si>
    <t>Phan Ngọc Khánh Uyên</t>
  </si>
  <si>
    <t>K224040510</t>
  </si>
  <si>
    <t>Lê Trịnh Thảo Vi</t>
  </si>
  <si>
    <t>K224040512</t>
  </si>
  <si>
    <t>Nguyễn Tường Vy</t>
  </si>
  <si>
    <t>K224040518</t>
  </si>
  <si>
    <t>Nguyễn Triệu Duy</t>
  </si>
  <si>
    <t>K224040521</t>
  </si>
  <si>
    <t>Nguyễn Huy Thu Hằng</t>
  </si>
  <si>
    <t>K224040522</t>
  </si>
  <si>
    <t>Đỗ Thu Hiền</t>
  </si>
  <si>
    <t>K224040525</t>
  </si>
  <si>
    <t>Nguyễn Đỗ Thiên Hương</t>
  </si>
  <si>
    <t>K224040527</t>
  </si>
  <si>
    <t>Chu Thị Mỹ Linh</t>
  </si>
  <si>
    <t>K224040531</t>
  </si>
  <si>
    <t>Lê Bảo Ngân</t>
  </si>
  <si>
    <t>K224040533</t>
  </si>
  <si>
    <t>Lê Hà Bảo Ngọc</t>
  </si>
  <si>
    <t>K224040534</t>
  </si>
  <si>
    <t>Nguyễn Trần Ái Nguyệt</t>
  </si>
  <si>
    <t>K224040535</t>
  </si>
  <si>
    <t>Lê Thị Kiều Nhi</t>
  </si>
  <si>
    <t>K224040537</t>
  </si>
  <si>
    <t>Đặng Kiều Oanh</t>
  </si>
  <si>
    <t>K224040552</t>
  </si>
  <si>
    <t>Huỳnh Mai Huyền Trang</t>
  </si>
  <si>
    <t>K224040554</t>
  </si>
  <si>
    <t>Lê Thanh Trúc</t>
  </si>
  <si>
    <t>K224040557</t>
  </si>
  <si>
    <t>Nguyễn Văn Tuyên</t>
  </si>
  <si>
    <t>K224040559</t>
  </si>
  <si>
    <t>Vũ Hoàng Vi</t>
  </si>
  <si>
    <t>K224141675</t>
  </si>
  <si>
    <t>Huỳnh Thị Thanh Nga</t>
  </si>
  <si>
    <t>K224141682</t>
  </si>
  <si>
    <t>Hồ Minh Nhí</t>
  </si>
  <si>
    <t>K224141686</t>
  </si>
  <si>
    <t>Phạm Ngọc Quang</t>
  </si>
  <si>
    <t>K224141742</t>
  </si>
  <si>
    <t>Nguyễn Sơn Trường</t>
  </si>
  <si>
    <t>ỨNG DỤNG THUẬT TOÁN K-MEANS TRONG VIỆC PHÂN NHÓM CỔ PHIẾU VÀ TẠO LẬP DANH MỤC ĐẦU TƯ.</t>
  </si>
  <si>
    <t>K224141699</t>
  </si>
  <si>
    <t>Phan Nguyễn Xuân Toàn</t>
  </si>
  <si>
    <t>THIẾT KẾ VÀ TRIỂN KHAI HỆ THỐNG GIAO DỊCH ĐỊNH LƯỢNG THÍCH NGHI (ADAPTIVE) TRÊN THỊ TRƯỜNG TIỀN MÃ HÓA ỨNG DỤNG BỘ LỌC KALMAN VÀ TỐI ƯU HÓA DANH MỤC THEO KELLY CRITERION</t>
  </si>
  <si>
    <t>K224141707</t>
  </si>
  <si>
    <t>Lê Thị Mỹ Uyên</t>
  </si>
  <si>
    <t>K224141708</t>
  </si>
  <si>
    <t>Phạm Thị Điệp Vân</t>
  </si>
  <si>
    <t>K224040574</t>
  </si>
  <si>
    <t>Nguyễn Lê Nhật Minh</t>
  </si>
  <si>
    <t>K224142348</t>
  </si>
  <si>
    <t>Nguyễn Duy Ngọc</t>
  </si>
  <si>
    <t>K224141693</t>
  </si>
  <si>
    <t>Vy Đặng Thanh Thảo</t>
  </si>
  <si>
    <t>FORECASTING VN-INDEX RETURNS USING TRADITIONAL MODELS, MACHINE LEARNING AND DEEP LEARNING IN AN EMERGING MARKET</t>
  </si>
  <si>
    <t>K224141696</t>
  </si>
  <si>
    <t>Bùi Việt Hoàng Tín</t>
  </si>
  <si>
    <t>PREDICTING FUTURE GOLD PRICES AND SUGGESTING SUITABLE DERIVATIVE CONTRACTS</t>
  </si>
  <si>
    <t>K224141700</t>
  </si>
  <si>
    <t>Phan Viết Toàn</t>
  </si>
  <si>
    <t>K224141701</t>
  </si>
  <si>
    <t>Nguyễn Thị Mai Trâm</t>
  </si>
  <si>
    <t>K224141705</t>
  </si>
  <si>
    <t>Lê Nam Tuyên</t>
  </si>
  <si>
    <t>K224141746</t>
  </si>
  <si>
    <t>Lê Nguyễn Tường Vy</t>
  </si>
  <si>
    <t>K224040565</t>
  </si>
  <si>
    <t>Mai Đức Dương</t>
  </si>
  <si>
    <t>TÁC ĐỘNG CỦA ĐA DẠNG HÓA NGUỒN VỐN ĐẾN LỢI NHUẬN VÀ RỦI RO CỦA CÁC NGÂN HÀNG THƯƠNG MẠI TẠI VIỆT NAM.</t>
  </si>
  <si>
    <t>ThS Tô Thị Thanh Trúc</t>
  </si>
  <si>
    <t>K224040579</t>
  </si>
  <si>
    <t>Huỳnh Trí Nhân</t>
  </si>
  <si>
    <t>TÁC ĐỘNG CỦA CẤU TRÚC VỐN ĐẾN KHẢ NĂNG SINH LỜI CỦA CÁC NGÂN HÀNG THƯƠNG MẠI TẠI VIỆT NAM</t>
  </si>
  <si>
    <t>K224040562</t>
  </si>
  <si>
    <t>Nguyễn Đức Anh</t>
  </si>
  <si>
    <t>K224040481</t>
  </si>
  <si>
    <t>Vũ Nhật Minh</t>
  </si>
  <si>
    <t>BANK–FINTECH COOPERATION, OWNERSHIP STRUCTURE, AND OVERALL BANK RISK: EMPIRICAL EVIDENCE FROM VIETNAM</t>
  </si>
  <si>
    <t>K224040493</t>
  </si>
  <si>
    <t>Nguyễn Ngọc Quỳnh</t>
  </si>
  <si>
    <t>ẢNH HƯỞNG CỦA CÁC NHÂN TỐ VĨ MÔ VÀ CÁC NHÂN TỐ NỘI TẠI ĐẾN BIÊN LÃI RÒNG CỦA CÁC NGÂN HÀNG THƯƠNG MẠI QUY MÔ VỪA VÀ NHỎ TẠI VIỆT NAM TRONG GIAI ĐOẠN 2014-2024</t>
  </si>
  <si>
    <t>K224040541</t>
  </si>
  <si>
    <t>Lâm Hồng Minh Quân</t>
  </si>
  <si>
    <t>K224040564</t>
  </si>
  <si>
    <t>Nguyễn Vũ Bình</t>
  </si>
  <si>
    <t>K224040567</t>
  </si>
  <si>
    <t>Nguyễn Tấn Đạt</t>
  </si>
  <si>
    <t>TS Nguyễn Hoàng Anh</t>
  </si>
  <si>
    <t>K224040578</t>
  </si>
  <si>
    <t>Đinh Đỗ Hạnh Nguyên</t>
  </si>
  <si>
    <t>THE IMPACT OF CAPITAL STRUCTURE ON PROFITABILITY: A CASE STUDY OF VIETNAMESE NON – FINANCIAL LISTED COMPANIES</t>
  </si>
  <si>
    <t>K224040568</t>
  </si>
  <si>
    <t>Nguyễn Phúc Hưng</t>
  </si>
  <si>
    <t>THE MODERATING ROLE OF DIGITAL BANKING ON THE RELATIONSHIP BETWEEN INCOME DIVERSIFICATION AND BANK PERFORMANCE: EVIDENCE FROM VIETNAMESE COMMERCIAL BANK</t>
  </si>
  <si>
    <t>TS Nguyễn Tiến Trung</t>
  </si>
  <si>
    <t>K224040576</t>
  </si>
  <si>
    <t>Hà Vũ Thúy Mỵ</t>
  </si>
  <si>
    <t>TÁC ĐỘNG CỦA CHUYỂN ĐỔI SỐ VÀ CẤU TRÚC VỐN ĐẾN HIỆU QUẢ HOẠT ĐỘNG: TRƯỜNG HỢP CÁC NGÂN HÀNG THƯƠNG MẠI VIỆT NAM</t>
  </si>
  <si>
    <t>K224040596</t>
  </si>
  <si>
    <t>Nguyễn Đặng Thanh Trúc</t>
  </si>
  <si>
    <t>PHÁT TRIỂN TÍN DỤNG NHÀ Ở DÀNH CHO KHÁCH HÀNG TRẺ TẠI CÁC NGÂN HÀNG THƯƠNG MẠI CỔ PHẦN Ở VIỆT NAM</t>
  </si>
  <si>
    <t>K224141698</t>
  </si>
  <si>
    <t>Lê Minh Toàn</t>
  </si>
  <si>
    <t>K224141704</t>
  </si>
  <si>
    <t>Phạm Huỳnh Minh Tuân</t>
  </si>
  <si>
    <t>K224040551</t>
  </si>
  <si>
    <t>Ngô Minh Tiến</t>
  </si>
  <si>
    <t>KIỂM ĐỊNH TÍNH THỰC NGHIỆM LÝ THUYẾT MÔ HÌNH FAMA-FRENCH NĂM NHÂN TỐ TẠI THỊ TRƯỜNG CHỨNG KHOÁN VIỆT NAM: TRƯỜNG HỢP VN30</t>
  </si>
  <si>
    <t>TS Nguyễn Thành Đạt</t>
  </si>
  <si>
    <t>K224040572</t>
  </si>
  <si>
    <t>Vũ Gia Linh</t>
  </si>
  <si>
    <t>K224040573</t>
  </si>
  <si>
    <t>Bùi Hương Ly</t>
  </si>
  <si>
    <t>K224040524</t>
  </si>
  <si>
    <t>Võ Bảo Huy</t>
  </si>
  <si>
    <t>TÍNH LAN TỎA GIỮA CÁC TÀI SẢN DEFI, TIỀN MÃ HÓA, CỔ PHIẾU VÀ TÀI SẢN TRÚ ẨN AN TOÀN</t>
  </si>
  <si>
    <t>K204041219</t>
  </si>
  <si>
    <t>Phan Lê Tú Viên</t>
  </si>
  <si>
    <t>K224020262</t>
  </si>
  <si>
    <t>Nguyễn Đặng Vi Bân</t>
  </si>
  <si>
    <t>K224040465</t>
  </si>
  <si>
    <t>Trương Thị Nhã Ái</t>
  </si>
  <si>
    <t>K224040471</t>
  </si>
  <si>
    <t>Nguyễn Thị Thu Hà</t>
  </si>
  <si>
    <t>K224040472</t>
  </si>
  <si>
    <t>Võ Thị Hồng Hạnh</t>
  </si>
  <si>
    <t>K224040473</t>
  </si>
  <si>
    <t>Trần Thị Thu Hằng</t>
  </si>
  <si>
    <t>K224040474</t>
  </si>
  <si>
    <t>Phan Thanh Thanh Hiền</t>
  </si>
  <si>
    <t>K224040475</t>
  </si>
  <si>
    <t>Lý Nhật Huy</t>
  </si>
  <si>
    <t>K224040476</t>
  </si>
  <si>
    <t>Lê Huỳnh Khánh Huyền</t>
  </si>
  <si>
    <t>K224040507</t>
  </si>
  <si>
    <t>Phạm Thị Thanh Trúc</t>
  </si>
  <si>
    <t>K224040511</t>
  </si>
  <si>
    <t>Đỗ Thanh Viên</t>
  </si>
  <si>
    <t>K224040513</t>
  </si>
  <si>
    <t>Nguyễn Vân An</t>
  </si>
  <si>
    <t>K224040515</t>
  </si>
  <si>
    <t>Nguyễn Phạm Ngọc Ánh</t>
  </si>
  <si>
    <t>K224040516</t>
  </si>
  <si>
    <t>Lương Thanh Bi</t>
  </si>
  <si>
    <t>K224040520</t>
  </si>
  <si>
    <t>Phan Thị Mỹ Hạnh</t>
  </si>
  <si>
    <t>K224040526</t>
  </si>
  <si>
    <t>Nguyễn Công Minh Khôi</t>
  </si>
  <si>
    <t>K224040529</t>
  </si>
  <si>
    <t>Hà Xuân Mai</t>
  </si>
  <si>
    <t>K224040538</t>
  </si>
  <si>
    <t>Trần Nhất Phong</t>
  </si>
  <si>
    <t>K224040588</t>
  </si>
  <si>
    <t>Trần Nguyễn Anh Thư</t>
  </si>
  <si>
    <t>PHÂN TÍCH CÁC YẾU TỐ ẢNH HƯỞNG ĐẾN NỢ XẤU TẠI CÁC NGÂN HÀNG THƯƠNG MẠI VIỆT NAM GIAI ĐOẠN 2014 - 2024</t>
  </si>
  <si>
    <t>K224040470</t>
  </si>
  <si>
    <t>Đào Hồ Trúc Giang</t>
  </si>
  <si>
    <t>THE IMPACT OF CEO CHARACTERISTICS ON FINANCIAL PERFORMANCE OF VIETNAMESE COMMERCIAL BANKS</t>
  </si>
  <si>
    <t>K224040532</t>
  </si>
  <si>
    <t>Trương Ngọc Kiều Ngân</t>
  </si>
  <si>
    <t>MỐI QUAN HỆ GIỮA TỶ LỆ AN TOÀN VỐN VÀ HIỆU QUẢ HOẠT ĐỘNG CỦA CÁC NGÂN HÀNG THƯƠNG MẠI CỔ PHẦN TẠI VIỆT NAM: BẰNG CHỨNG TỪ MÔ HÌNH HỆ PHƯƠNG TRÌNH ĐỒNG THỜI (SEM)</t>
  </si>
  <si>
    <t>K224040536</t>
  </si>
  <si>
    <t>Nguyễn Thị Yến Nhi</t>
  </si>
  <si>
    <t>ĐÁNH GIÁ VÀ PHÂN TÍCH CÁC YẾU TỐ ẢNH HƯỞNG ĐẾN HIỆU QUẢ HOẠT ĐỘNG CỦA CÁC NGÂN HÀNG THƯƠNG MẠI TẠI VIỆT NAM TRONG GIAI ĐOẠN 2020-2024: CÁCH TIẾP CẬN PHƯƠNG PHÁP BAO DỮ LIỆU (DEA) VÀ HỒI QUY TOBIT</t>
  </si>
  <si>
    <t>K224040539</t>
  </si>
  <si>
    <t>Võ Trường Phúc</t>
  </si>
  <si>
    <t>K224040566</t>
  </si>
  <si>
    <t>Võ Hoàng Triệu Dương</t>
  </si>
  <si>
    <t>K224040477</t>
  </si>
  <si>
    <t>Nguyễn Trần Vũ Hùng</t>
  </si>
  <si>
    <t>K224040479</t>
  </si>
  <si>
    <t>Nguyễn Thị Hạnh Linh</t>
  </si>
  <si>
    <t>K224040543</t>
  </si>
  <si>
    <t>Nguyễn Thị Minh Tâm</t>
  </si>
  <si>
    <t>K224040544</t>
  </si>
  <si>
    <t>Nguyễn Tấn Thành</t>
  </si>
  <si>
    <t>K224040546</t>
  </si>
  <si>
    <t>Hàng Quốc Thắng</t>
  </si>
  <si>
    <t>K224040547</t>
  </si>
  <si>
    <t>Đỗ Trần Hồng Thơ</t>
  </si>
  <si>
    <t>K224040548</t>
  </si>
  <si>
    <t>Lê Hoàng Như Thuỷ</t>
  </si>
  <si>
    <t>K224040549</t>
  </si>
  <si>
    <t>Nguyễn Ngọc Anh Thư</t>
  </si>
  <si>
    <t>K224040577</t>
  </si>
  <si>
    <t>Trần Thanh Bảo Ngọc</t>
  </si>
  <si>
    <t>K224040542</t>
  </si>
  <si>
    <t>Phạm Thanh Tài</t>
  </si>
  <si>
    <t>K224040480</t>
  </si>
  <si>
    <t>Hồ Thị Bích Ly</t>
  </si>
  <si>
    <t>K224040496</t>
  </si>
  <si>
    <t>Mai Công Thanh</t>
  </si>
  <si>
    <t>THE IMPACT OF BANK-FINTECH COOPERATION ON THE PERFORMANCE OF TRADITIONAL COMMERCIAL BANKS IN VIETNAM: THE MODERATING ROLE OF CEO CHARACTERISTICS</t>
  </si>
  <si>
    <t>K224040503</t>
  </si>
  <si>
    <t>Nguyễn Thị Huyền Trang</t>
  </si>
  <si>
    <t>ẢNH HƯỞNG CỦA NỢ XẤU ĐẾN KHẢ NĂNG SINH LỜI CỦA CÁC NGÂN HÀNG THƯƠNG MẠI VIỆT NAM</t>
  </si>
  <si>
    <t>K224040545</t>
  </si>
  <si>
    <t>Huỳnh Thị Thanh Thảo</t>
  </si>
  <si>
    <t>K224040598</t>
  </si>
  <si>
    <t>Cao Thị Phương Anh</t>
  </si>
  <si>
    <t>K22404CA</t>
  </si>
  <si>
    <t>THE IMPACT OF DIGITAL TRANSFORMATION ON FIRM PERFORMANCE OF LISTED COMPANIES IN THE VIETNAMESE STOCK MARKET</t>
  </si>
  <si>
    <t>K224040611</t>
  </si>
  <si>
    <t>Phan Đức Hiển Long</t>
  </si>
  <si>
    <t>CORPORATE FINANCIALIZATION AND FIXED INVESTMENT RATES: EVIDENCE ON THE MODERATING EFFECTS OF FINANCIAL CONSTRAINTS AND MONETARY POLICY IN VIETNAM</t>
  </si>
  <si>
    <t>K224040618</t>
  </si>
  <si>
    <t>Phạm Lê Thảo Nhi</t>
  </si>
  <si>
    <t>THE IMPACT OF RELATED-PARTY TRANSACTIONS ON CORPORATE BOND HOLDINGS AND BANK RISK: EVIDENCE FROM VIETNAMESE COMMERCIAL BANKS</t>
  </si>
  <si>
    <t>K224040619</t>
  </si>
  <si>
    <t>Võ Hoàng Uyên Nhy</t>
  </si>
  <si>
    <t>K224141721</t>
  </si>
  <si>
    <t>Nguyễn Thị Đức Hạnh</t>
  </si>
  <si>
    <t>K224040615</t>
  </si>
  <si>
    <t>Lê Hoàng Nam</t>
  </si>
  <si>
    <t>K224040626</t>
  </si>
  <si>
    <t>Nguyễn Minh Trí</t>
  </si>
  <si>
    <t>CASH-FLOW VOLATILITY AND FIRM LEVERAGE: MULTI-MEASURE EVIDENCE FROM VIETNAM’S LISTED NON-FINANCIAL FIRMS</t>
  </si>
  <si>
    <t>K224040627</t>
  </si>
  <si>
    <t>Nguyễn Thị Lan Uyên</t>
  </si>
  <si>
    <t>THE IMPACT OF ESG INFORMATION DISCLOSURE ON THE LIQUIDITY RISK OF COMMERCIAL BANKS IN VIETNAM</t>
  </si>
  <si>
    <t>K224040603</t>
  </si>
  <si>
    <t>Đoàn Ngọc Quỳnh Giao</t>
  </si>
  <si>
    <t>THE IMPACT OF ESG DISCLOSURE ON THE COST OF DEBT- THE MODERATING EFFECT OF AGENCY COSTS: EVIDENCE FROM VNX50 FIRMS IN VIETNAM</t>
  </si>
  <si>
    <t>K224040607</t>
  </si>
  <si>
    <t>Nguyễn Đắc Tùng Lâm</t>
  </si>
  <si>
    <t>K224040628</t>
  </si>
  <si>
    <t>Nguyễn Ngọc Hải Vân</t>
  </si>
  <si>
    <t>THE IMPACT OF FUNDING AND INCOME DIVERSIFICATION ON NON-PERFORMING LOANS: AN EMPIRICAL STUDY FROM VIETNAMESE COMMERCIAL BANKS</t>
  </si>
  <si>
    <t>K224040597</t>
  </si>
  <si>
    <t>Trần Quốc Văn</t>
  </si>
  <si>
    <t>K224040601</t>
  </si>
  <si>
    <t>Phan Đức Dân</t>
  </si>
  <si>
    <t>K224040608</t>
  </si>
  <si>
    <t>Âu Dương Ngọc Linh</t>
  </si>
  <si>
    <t>THE IMPACT OF THE AI DISCLOSURE INDEX ON THE MARKET VALUE OF VIETNAM LISTED COMPANIES</t>
  </si>
  <si>
    <t>K224040602</t>
  </si>
  <si>
    <t>Trần Nhật Duật</t>
  </si>
  <si>
    <t>METHODS OF VALUING LISTED ENTERPRISES: THE CASE OF BINH MINH PLASTIC JOINT STOCK COMPANY</t>
  </si>
  <si>
    <t>K224040614</t>
  </si>
  <si>
    <t>Võ Thị Hoàng My</t>
  </si>
  <si>
    <t>ANALYSIS OF CREDIT RISK MANAGEMENT AT JOINT STOCK COMMERCIAL BANK FOR FOREIGN TRADE OF VIETNAM (VIETCOMBANK)</t>
  </si>
  <si>
    <t>K224040617</t>
  </si>
  <si>
    <t>K224040600</t>
  </si>
  <si>
    <t>Nguyễn Phúc Bảo Châu</t>
  </si>
  <si>
    <t>THE IMPACT OF BOARD GENDER DIVERSITY ON THE FIRM VALUE OF LISTED FIRMS IN VIETNAM</t>
  </si>
  <si>
    <t>K224040620</t>
  </si>
  <si>
    <t>Đặng Việt Quang</t>
  </si>
  <si>
    <t>K204151943</t>
  </si>
  <si>
    <t>Lê Anh Đức</t>
  </si>
  <si>
    <t>K20404C</t>
  </si>
  <si>
    <t>K224040622</t>
  </si>
  <si>
    <t>Lê Hoài Trúc Quỳnh</t>
  </si>
  <si>
    <t>K224040624</t>
  </si>
  <si>
    <t>Ngô Quang Tiến</t>
  </si>
  <si>
    <t>K224040625</t>
  </si>
  <si>
    <t>Phạm Thu Trang</t>
  </si>
  <si>
    <t>K224040613</t>
  </si>
  <si>
    <t>Lâm Huỳnh Ái My</t>
  </si>
  <si>
    <t>FACTORS AFFECTING THE FINANCIAL PERFORMANCE OF COMMERCIAL BANKS IN VIETNAM</t>
  </si>
  <si>
    <t>K224040616</t>
  </si>
  <si>
    <t>Nguyễn Huỳnh Bách Ngọc</t>
  </si>
  <si>
    <t>THE IMPACT OF ESG AND INSTITUTIONAL QUALITY ON BANK PERFORMANCE AND STABILITY: PANEL EVIDENCE FROM ASEAN COUNTRIES</t>
  </si>
  <si>
    <t>K224040621</t>
  </si>
  <si>
    <t>Phan Trọng Quí</t>
  </si>
  <si>
    <t>THE IMPACT OF BANK GUARANTEE ACTIVITIES ON RISK AND PERFORMANCE OF VIETNAMESE COMMERCIAL BANKS</t>
  </si>
  <si>
    <t>K224040623</t>
  </si>
  <si>
    <t>ECONOMIC POLICY UNCERTAINTY AND CORPORATE CASH HOLDINGS: EVIDENCE FROM VIETNAMESE NON-FINANCIAL LISTED FIRM</t>
  </si>
  <si>
    <t>K224141736</t>
  </si>
  <si>
    <t>Nguyễn Trường Thi</t>
  </si>
  <si>
    <t>K224040571</t>
  </si>
  <si>
    <t>Trần Phương Linh</t>
  </si>
  <si>
    <t>The impact of financial determinants and board characteristics on the performance of commercial banks in Vietnam</t>
  </si>
  <si>
    <t>Họ tên</t>
  </si>
  <si>
    <t>Ngày sinh</t>
  </si>
  <si>
    <t>Mobile Phone</t>
  </si>
  <si>
    <t>Email</t>
  </si>
  <si>
    <t>CTĐT</t>
  </si>
  <si>
    <t>Tên CTĐT</t>
  </si>
  <si>
    <t>Tình trạng</t>
  </si>
  <si>
    <t>Điều kiện CCNN</t>
  </si>
  <si>
    <t>Số TC tích lũy</t>
  </si>
  <si>
    <t>ĐTBCTL</t>
  </si>
  <si>
    <t>Xếp loại tích lũy</t>
  </si>
  <si>
    <t>15/02/2004</t>
  </si>
  <si>
    <t>banndv224022c@st.uel.edu.vn</t>
  </si>
  <si>
    <t>404C</t>
  </si>
  <si>
    <t>Tài chính - Ngân hàng Chất lượng cao</t>
  </si>
  <si>
    <t>Còn học</t>
  </si>
  <si>
    <t>Đạt CCNN</t>
  </si>
  <si>
    <t>Giỏi</t>
  </si>
  <si>
    <t>anhpvt22404a@st.uel.edu.vn</t>
  </si>
  <si>
    <t>Ngân hàng</t>
  </si>
  <si>
    <t>16/04/2004</t>
  </si>
  <si>
    <t>aittn22404a@st.uel.edu.vn</t>
  </si>
  <si>
    <t>Tài chính - Ngân hàng</t>
  </si>
  <si>
    <t>16/07/2004</t>
  </si>
  <si>
    <t>anndt22404a@st.uel.edu.vn</t>
  </si>
  <si>
    <t>Khá</t>
  </si>
  <si>
    <t>baotg22404a@st.uel.edu.vn</t>
  </si>
  <si>
    <t>chipm22404a@st.uel.edu.vn</t>
  </si>
  <si>
    <t>15/10/2004</t>
  </si>
  <si>
    <t>diemntt22404a@st.uel.edu.vn</t>
  </si>
  <si>
    <t>giangdht22404a@st.uel.edu.vn</t>
  </si>
  <si>
    <t>24/01/2004</t>
  </si>
  <si>
    <t>hantt22404a@st.uel.edu.vn</t>
  </si>
  <si>
    <t>25/12/2004</t>
  </si>
  <si>
    <t>hanhvth22404a@st.uel.edu.vn</t>
  </si>
  <si>
    <t>hangttt22404a@st.uel.edu.vn</t>
  </si>
  <si>
    <t>hienptt22404a@st.uel.edu.vn</t>
  </si>
  <si>
    <t>huyln22404a@st.uel.edu.vn</t>
  </si>
  <si>
    <t>30/04/2004</t>
  </si>
  <si>
    <t>huyenlhk22404a@st.uel.edu.vn</t>
  </si>
  <si>
    <t>31/07/2004</t>
  </si>
  <si>
    <t>hungntv22404a@st.uel.edu.vn</t>
  </si>
  <si>
    <t>kietnt22404a@st.uel.edu.vn</t>
  </si>
  <si>
    <t>27/11/2004</t>
  </si>
  <si>
    <t>linhnth22404a@st.uel.edu.vn</t>
  </si>
  <si>
    <t>13/08/2004</t>
  </si>
  <si>
    <t>lyhtb22404a@st.uel.edu.vn</t>
  </si>
  <si>
    <t>minhvn22404a@st.uel.edu.vn</t>
  </si>
  <si>
    <t>29/05/2003</t>
  </si>
  <si>
    <t>namdc22404a@st.uel.edu.vn</t>
  </si>
  <si>
    <t>nganpt22404a@st.uel.edu.vn</t>
  </si>
  <si>
    <t>26/10/2004</t>
  </si>
  <si>
    <t>nghithp22404a@st.uel.edu.vn</t>
  </si>
  <si>
    <t>15/06/2004</t>
  </si>
  <si>
    <t>nguyenthk22404a@st.uel.edu.vn</t>
  </si>
  <si>
    <t>Chưa đạt CCNN</t>
  </si>
  <si>
    <t>nhihth22404a@st.uel.edu.vn</t>
  </si>
  <si>
    <t>16/05/2004</t>
  </si>
  <si>
    <t>nhinty22404a@st.uel.edu.vn</t>
  </si>
  <si>
    <t>28/04/2004</t>
  </si>
  <si>
    <t>nhungntt22404a@st.uel.edu.vn</t>
  </si>
  <si>
    <t>30/12/2004</t>
  </si>
  <si>
    <t>oanhttn22404a@st.uel.edu.vn</t>
  </si>
  <si>
    <t>Nguyễn Ngọc Châu Phương</t>
  </si>
  <si>
    <t>phuongnnc22404a@st.uel.edu.vn</t>
  </si>
  <si>
    <t>phucnd22404a@st.uel.edu.vn</t>
  </si>
  <si>
    <t>17/10/2004</t>
  </si>
  <si>
    <t>quanlm22404a@st.uel.edu.vn</t>
  </si>
  <si>
    <t>20/08/2004</t>
  </si>
  <si>
    <t>quynhnn22404a@st.uel.edu.vn</t>
  </si>
  <si>
    <t>28/01/2003</t>
  </si>
  <si>
    <t>tamhtt22404a@st.uel.edu.vn</t>
  </si>
  <si>
    <t>15/08/2004</t>
  </si>
  <si>
    <t>tanhh22404a@st.uel.edu.vn</t>
  </si>
  <si>
    <t>thanhmc22404a@st.uel.edu.vn</t>
  </si>
  <si>
    <t>Hệ thống thông tin quản lý</t>
  </si>
  <si>
    <t>21/04/2004</t>
  </si>
  <si>
    <t>thanhpn22404a@st.uel.edu.vn</t>
  </si>
  <si>
    <t>Trung bình khá</t>
  </si>
  <si>
    <t>thinhlh22404a@st.uel.edu.vn</t>
  </si>
  <si>
    <t>thuba22404a@st.uel.edu.vn</t>
  </si>
  <si>
    <t>thuongnt22404a@st.uel.edu.vn</t>
  </si>
  <si>
    <t>tienltt22404a@st.uel.edu.vn</t>
  </si>
  <si>
    <t>tiennt22404a@st.uel.edu.vn</t>
  </si>
  <si>
    <t>13/02/2004</t>
  </si>
  <si>
    <t>trangnth22404a@st.uel.edu.vn</t>
  </si>
  <si>
    <t>25/05/2004</t>
  </si>
  <si>
    <t>tramhtn22404a@st.uel.edu.vn</t>
  </si>
  <si>
    <t>trannnh22404a@st.uel.edu.vn</t>
  </si>
  <si>
    <t>14/01/2004</t>
  </si>
  <si>
    <t>trucnt22404a@st.uel.edu.vn</t>
  </si>
  <si>
    <t>26/04/2004</t>
  </si>
  <si>
    <t>trucptt22404a@st.uel.edu.vn</t>
  </si>
  <si>
    <t>K224040508</t>
  </si>
  <si>
    <t>Trần Anh Tuấn</t>
  </si>
  <si>
    <t>tuanta22404a@st.uel.edu.vn</t>
  </si>
  <si>
    <t>uyenpnk22404a@st.uel.edu.vn</t>
  </si>
  <si>
    <t>21/05/2004</t>
  </si>
  <si>
    <t>viltt22404a@st.uel.edu.vn</t>
  </si>
  <si>
    <t>14/10/2004</t>
  </si>
  <si>
    <t>viendt22404a@st.uel.edu.vn</t>
  </si>
  <si>
    <t>28/03/2004</t>
  </si>
  <si>
    <t>vynt22404a@st.uel.edu.vn</t>
  </si>
  <si>
    <t>29/07/2004</t>
  </si>
  <si>
    <t>annv22404b@st.uel.edu.vn</t>
  </si>
  <si>
    <t>anhnpn22404b@st.uel.edu.vn</t>
  </si>
  <si>
    <t>bilt22404b@st.uel.edu.vn</t>
  </si>
  <si>
    <t>duynt22404b@st.uel.edu.vn</t>
  </si>
  <si>
    <t>13/03/2003</t>
  </si>
  <si>
    <t>hahtd22404b@st.uel.edu.vn</t>
  </si>
  <si>
    <t>31/10/2004</t>
  </si>
  <si>
    <t>hanhptm22404b@st.uel.edu.vn</t>
  </si>
  <si>
    <t>16/03/2004</t>
  </si>
  <si>
    <t>hangnht22404b@st.uel.edu.vn</t>
  </si>
  <si>
    <t>20/10/2004</t>
  </si>
  <si>
    <t>hiendt22404b@st.uel.edu.vn</t>
  </si>
  <si>
    <t>hoangpn22404b@st.uel.edu.vn</t>
  </si>
  <si>
    <t>15/03/2004</t>
  </si>
  <si>
    <t>huyvb22404b@st.uel.edu.vn</t>
  </si>
  <si>
    <t>huongndt22404b@st.uel.edu.vn</t>
  </si>
  <si>
    <t>30/03/2004</t>
  </si>
  <si>
    <t>khoincm22404b@st.uel.edu.vn</t>
  </si>
  <si>
    <t>31/08/2004</t>
  </si>
  <si>
    <t>linhctm22404b@st.uel.edu.vn</t>
  </si>
  <si>
    <t>linhtn22404b@st.uel.edu.vn</t>
  </si>
  <si>
    <t>maihx22404b@st.uel.edu.vn</t>
  </si>
  <si>
    <t>nganlb22404b@st.uel.edu.vn</t>
  </si>
  <si>
    <t>14/06/2004</t>
  </si>
  <si>
    <t>ngantnk22404b@st.uel.edu.vn</t>
  </si>
  <si>
    <t>ngoclhb22404b@st.uel.edu.vn</t>
  </si>
  <si>
    <t>nguyetnta22404b@st.uel.edu.vn</t>
  </si>
  <si>
    <t>25/08/2004</t>
  </si>
  <si>
    <t>nhiltk22404b@st.uel.edu.vn</t>
  </si>
  <si>
    <t>nhinty22404b@st.uel.edu.vn</t>
  </si>
  <si>
    <t>Xuất sắc</t>
  </si>
  <si>
    <t>oanhdk22404b@st.uel.edu.vn</t>
  </si>
  <si>
    <t>17/09/2004</t>
  </si>
  <si>
    <t>phongtn22404b@st.uel.edu.vn</t>
  </si>
  <si>
    <t>phucvt22404b@st.uel.edu.vn</t>
  </si>
  <si>
    <t>30/05/2004</t>
  </si>
  <si>
    <t>quanlhm22404b@st.uel.edu.vn</t>
  </si>
  <si>
    <t>taipt22404b@st.uel.edu.vn</t>
  </si>
  <si>
    <t>28/09/2004</t>
  </si>
  <si>
    <t>tamntm22404b@st.uel.edu.vn</t>
  </si>
  <si>
    <t>thanhnt22404b@st.uel.edu.vn</t>
  </si>
  <si>
    <t>14/11/2004</t>
  </si>
  <si>
    <t>thaohtt22404b@st.uel.edu.vn</t>
  </si>
  <si>
    <t>thanghq22404b@st.uel.edu.vn</t>
  </si>
  <si>
    <t>20/09/2004</t>
  </si>
  <si>
    <t>thodth22404b@st.uel.edu.vn</t>
  </si>
  <si>
    <t>Lê Hoàng Như Thủy</t>
  </si>
  <si>
    <t>thuylhn22404b@st.uel.edu.vn</t>
  </si>
  <si>
    <t>thunna22404b@st.uel.edu.vn</t>
  </si>
  <si>
    <t>15/09/2004</t>
  </si>
  <si>
    <t>tiennth22404b@st.uel.edu.vn</t>
  </si>
  <si>
    <t>30/06/2004</t>
  </si>
  <si>
    <t>tiennm22404b@st.uel.edu.vn</t>
  </si>
  <si>
    <t>Huỳnh Mai Huyền Trang</t>
  </si>
  <si>
    <t>22/08/2003</t>
  </si>
  <si>
    <t>tranghmh22404b@st.uel.edu.vn</t>
  </si>
  <si>
    <t>24/05/2004</t>
  </si>
  <si>
    <t>tranlb22404b@st.uel.edu.vn</t>
  </si>
  <si>
    <t>15/01/2004</t>
  </si>
  <si>
    <t>truclt22404b@st.uel.edu.vn</t>
  </si>
  <si>
    <t>23/09/2004</t>
  </si>
  <si>
    <t>trucntn22404b@st.uel.edu.vn</t>
  </si>
  <si>
    <t>14/09/2004</t>
  </si>
  <si>
    <t>tuandq22404b@st.uel.edu.vn</t>
  </si>
  <si>
    <t>tuyennv22404b@st.uel.edu.vn</t>
  </si>
  <si>
    <t>23/01/2004</t>
  </si>
  <si>
    <t>uyenttt22404b@st.uel.edu.vn</t>
  </si>
  <si>
    <t>vivh22404b@st.uel.edu.vn</t>
  </si>
  <si>
    <t>vynth22404b@st.uel.edu.vn</t>
  </si>
  <si>
    <t>14/09/2003</t>
  </si>
  <si>
    <t>anhhtl22404c@st.uel.edu.vn</t>
  </si>
  <si>
    <t>anhnd22404c@st.uel.edu.vn</t>
  </si>
  <si>
    <t>14/10/2000</t>
  </si>
  <si>
    <t>anhnh22404c@st.uel.edu.vn</t>
  </si>
  <si>
    <t>16/10/2004</t>
  </si>
  <si>
    <t>binhnv22404c@st.uel.edu.vn</t>
  </si>
  <si>
    <t>26/06/2004</t>
  </si>
  <si>
    <t>duongmd22404c@st.uel.edu.vn</t>
  </si>
  <si>
    <t>duongvht22404c@st.uel.edu.vn</t>
  </si>
  <si>
    <t>28/01/2004</t>
  </si>
  <si>
    <t>datnt22404c@st.uel.edu.vn</t>
  </si>
  <si>
    <t>25/06/2004</t>
  </si>
  <si>
    <t>hungnp22404c@st.uel.edu.vn</t>
  </si>
  <si>
    <t>huongptt22404c@st.uel.edu.vn</t>
  </si>
  <si>
    <t>linhny22404c@st.uel.edu.vn</t>
  </si>
  <si>
    <t>linhtp22404c@st.uel.edu.vn</t>
  </si>
  <si>
    <t>26/07/2004</t>
  </si>
  <si>
    <t>linhvg22404c@st.uel.edu.vn</t>
  </si>
  <si>
    <t>lybh22404c@st.uel.edu.vn</t>
  </si>
  <si>
    <t>13/04/2004</t>
  </si>
  <si>
    <t>minhnln22404c@st.uel.edu.vn</t>
  </si>
  <si>
    <t>minhpq22404c@st.uel.edu.vn</t>
  </si>
  <si>
    <t>myhvt22404c@st.uel.edu.vn</t>
  </si>
  <si>
    <t>ngocttb22404c@st.uel.edu.vn</t>
  </si>
  <si>
    <t>nguyenddh22404c@st.uel.edu.vn</t>
  </si>
  <si>
    <t>nhanht22404c@st.uel.edu.vn</t>
  </si>
  <si>
    <t>20/02/2004</t>
  </si>
  <si>
    <t>phucvth22404c@st.uel.edu.vn</t>
  </si>
  <si>
    <t>19/09/2004</t>
  </si>
  <si>
    <t>phuongdh22404c@st.uel.edu.vn</t>
  </si>
  <si>
    <t>phuongpt22404c@st.uel.edu.vn</t>
  </si>
  <si>
    <t>28/11/2004</t>
  </si>
  <si>
    <t>quynhtn22404c@st.uel.edu.vn</t>
  </si>
  <si>
    <t>thanhtnl22404c@st.uel.edu.vn</t>
  </si>
  <si>
    <t>23/02/2004</t>
  </si>
  <si>
    <t>thonnq22404c@st.uel.edu.vn</t>
  </si>
  <si>
    <t>21/10/2004</t>
  </si>
  <si>
    <t>thudhm22404c@st.uel.edu.vn</t>
  </si>
  <si>
    <t>thuntm22404c@st.uel.edu.vn</t>
  </si>
  <si>
    <t>thutna22404c@st.uel.edu.vn</t>
  </si>
  <si>
    <t>thyhna22404c@st.uel.edu.vn</t>
  </si>
  <si>
    <t>trangnnt22404c@st.uel.edu.vn</t>
  </si>
  <si>
    <t>tramnh22404c@st.uel.edu.vn</t>
  </si>
  <si>
    <t>19/04/2004</t>
  </si>
  <si>
    <t>trannht22404c@st.uel.edu.vn</t>
  </si>
  <si>
    <t>trongpv22404c@st.uel.edu.vn</t>
  </si>
  <si>
    <t>26/09/2004</t>
  </si>
  <si>
    <t>trungnt22404c@st.uel.edu.vn</t>
  </si>
  <si>
    <t>truclnt22404c@st.uel.edu.vn</t>
  </si>
  <si>
    <t>trucndt22404c@st.uel.edu.vn</t>
  </si>
  <si>
    <t>vantq22404c@st.uel.edu.vn</t>
  </si>
  <si>
    <t>anhctp22404ca@st.uel.edu.vn</t>
  </si>
  <si>
    <t>404CA</t>
  </si>
  <si>
    <t>Tài chính - Ngân hàng Chất lượng cao bằng tiếng Anh</t>
  </si>
  <si>
    <t>K224040599</t>
  </si>
  <si>
    <t>Võ Trung Đức Anh</t>
  </si>
  <si>
    <t>18/06/2004</t>
  </si>
  <si>
    <t>anhvtd22404ca@st.uel.edu.vn</t>
  </si>
  <si>
    <t>30/09/2004</t>
  </si>
  <si>
    <t>chaunpb22404ca@st.uel.edu.vn</t>
  </si>
  <si>
    <t>danpd22404ca@st.uel.edu.vn</t>
  </si>
  <si>
    <t>27/12/2004</t>
  </si>
  <si>
    <t>duattn22404ca@st.uel.edu.vn</t>
  </si>
  <si>
    <t>giaodnq22404ca@st.uel.edu.vn</t>
  </si>
  <si>
    <t>K224040605</t>
  </si>
  <si>
    <t>Cáp Trọng Hoàng</t>
  </si>
  <si>
    <t>hoangct22404ca@st.uel.edu.vn</t>
  </si>
  <si>
    <t>21/06/2004</t>
  </si>
  <si>
    <t>lamndt22404ca@st.uel.edu.vn</t>
  </si>
  <si>
    <t>linhadn22404ca@st.uel.edu.vn</t>
  </si>
  <si>
    <t>longpdh22404ca@st.uel.edu.vn</t>
  </si>
  <si>
    <t>mylha22404ca@st.uel.edu.vn</t>
  </si>
  <si>
    <t>myvth22404ca@st.uel.edu.vn</t>
  </si>
  <si>
    <t>namlh22404ca@st.uel.edu.vn</t>
  </si>
  <si>
    <t>16/11/2004</t>
  </si>
  <si>
    <t>ngocnhb22404ca@st.uel.edu.vn</t>
  </si>
  <si>
    <t>nhinty22404ca@st.uel.edu.vn</t>
  </si>
  <si>
    <t>nhiplt22404ca@st.uel.edu.vn</t>
  </si>
  <si>
    <t>24/10/2004</t>
  </si>
  <si>
    <t>nhyvhu22404ca@st.uel.edu.vn</t>
  </si>
  <si>
    <t>quangdv22404ca@st.uel.edu.vn</t>
  </si>
  <si>
    <t>quipt22404ca@st.uel.edu.vn</t>
  </si>
  <si>
    <t>quynhlht22404ca@st.uel.edu.vn</t>
  </si>
  <si>
    <t>thaohtt22404ca@st.uel.edu.vn</t>
  </si>
  <si>
    <t>tiennq22404ca@st.uel.edu.vn</t>
  </si>
  <si>
    <t>trangpt22404ca@st.uel.edu.vn</t>
  </si>
  <si>
    <t>trinm22404ca@st.uel.edu.vn</t>
  </si>
  <si>
    <t>uyenntl22404ca@st.uel.edu.vn</t>
  </si>
  <si>
    <t>vannnh22404ca@st.uel.edu.vn</t>
  </si>
  <si>
    <t>27/06/2003</t>
  </si>
  <si>
    <t>anhdk22404b@st.uel.edu.vn</t>
  </si>
  <si>
    <t>Mona Phandolak</t>
  </si>
  <si>
    <t>phandolakm22404b@st.uel.edu.vn</t>
  </si>
  <si>
    <t>Thipsouda Phommavong</t>
  </si>
  <si>
    <t>13/09/2002</t>
  </si>
  <si>
    <t>phommavongt22404b@st.uel.edu.vn</t>
  </si>
  <si>
    <t>29/11/2003</t>
  </si>
  <si>
    <t>vangchiaxarc22404b@st.uel.edu.vn</t>
  </si>
  <si>
    <t>23/08/2004</t>
  </si>
  <si>
    <t>antlq22414@st.uel.edu.vn</t>
  </si>
  <si>
    <t>Công nghệ tài chính</t>
  </si>
  <si>
    <t>29/04/2003</t>
  </si>
  <si>
    <t>anhlq22414@st.uel.edu.vn</t>
  </si>
  <si>
    <t>chaunnb22414@st.uel.edu.vn</t>
  </si>
  <si>
    <t>chilp22414@st.uel.edu.vn</t>
  </si>
  <si>
    <t>diemtn22414@st.uel.edu.vn</t>
  </si>
  <si>
    <t>23/06/2004</t>
  </si>
  <si>
    <t>duyendm22414@st.uel.edu.vn</t>
  </si>
  <si>
    <t>19/10/2003</t>
  </si>
  <si>
    <t>duyenltm22414@st.uel.edu.vn</t>
  </si>
  <si>
    <t>28/06/2004</t>
  </si>
  <si>
    <t>giangnl22414@st.uel.edu.vn</t>
  </si>
  <si>
    <t>19/08/2003</t>
  </si>
  <si>
    <t>habtn22414@st.uel.edu.vn</t>
  </si>
  <si>
    <t>hadn22414@st.uel.edu.vn</t>
  </si>
  <si>
    <t>hamtt22414@st.uel.edu.vn</t>
  </si>
  <si>
    <t>hatb22414@st.uel.edu.vn</t>
  </si>
  <si>
    <t>haon22414@st.uel.edu.vn</t>
  </si>
  <si>
    <t>20/05/2004</t>
  </si>
  <si>
    <t>hannlx22414@st.uel.edu.vn</t>
  </si>
  <si>
    <t>K224141664</t>
  </si>
  <si>
    <t>Huỳnh Hoàng Huyên</t>
  </si>
  <si>
    <t>31/03/2003</t>
  </si>
  <si>
    <t>huyenhh22414@st.uel.edu.vn</t>
  </si>
  <si>
    <t>14/02/2004</t>
  </si>
  <si>
    <t>huyenptt22414@st.uel.edu.vn</t>
  </si>
  <si>
    <t>huynhttt22414@st.uel.edu.vn</t>
  </si>
  <si>
    <t>huonglt22414@st.uel.edu.vn</t>
  </si>
  <si>
    <t>khangpvd22414@st.uel.edu.vn</t>
  </si>
  <si>
    <t>kienbt22414@st.uel.edu.vn</t>
  </si>
  <si>
    <t>kiennh22414@st.uel.edu.vn</t>
  </si>
  <si>
    <t>25/02/2004</t>
  </si>
  <si>
    <t>kimbnt22414@st.uel.edu.vn</t>
  </si>
  <si>
    <t>Phan Ánh Linh</t>
  </si>
  <si>
    <t>14/04/2004</t>
  </si>
  <si>
    <t>linhpa22414@st.uel.edu.vn</t>
  </si>
  <si>
    <t>linhpg22414@st.uel.edu.vn</t>
  </si>
  <si>
    <t>22/03/2004</t>
  </si>
  <si>
    <t>manhnd22414@st.uel.edu.vn</t>
  </si>
  <si>
    <t>ngahtt22414@st.uel.edu.vn</t>
  </si>
  <si>
    <t>ngannk22414@st.uel.edu.vn</t>
  </si>
  <si>
    <t>ngannbk22414@st.uel.edu.vn</t>
  </si>
  <si>
    <t>ngoctk22414@st.uel.edu.vn</t>
  </si>
  <si>
    <t>Huỳnh Thị Ngọc Nhi</t>
  </si>
  <si>
    <t>24/06/2004</t>
  </si>
  <si>
    <t>nhihtn22414@st.uel.edu.vn</t>
  </si>
  <si>
    <t>K224141681</t>
  </si>
  <si>
    <t>Thái Hoàng Uyên Nhi</t>
  </si>
  <si>
    <t>nhithu22414@st.uel.edu.vn</t>
  </si>
  <si>
    <t>Nghỉ học tạm thời</t>
  </si>
  <si>
    <t>Hồ Minh Nhí</t>
  </si>
  <si>
    <t>22/08/2004</t>
  </si>
  <si>
    <t>nhihm22414@st.uel.edu.vn</t>
  </si>
  <si>
    <t>15/07/2004</t>
  </si>
  <si>
    <t>nhuhq22414@st.uel.edu.vn</t>
  </si>
  <si>
    <t>26/01/2004</t>
  </si>
  <si>
    <t>oanhpk22414@st.uel.edu.vn</t>
  </si>
  <si>
    <t>20/11/2003</t>
  </si>
  <si>
    <t>quangpn22414@st.uel.edu.vn</t>
  </si>
  <si>
    <t>quynhhnn22414@st.uel.edu.vn</t>
  </si>
  <si>
    <t>quynhmn22414@st.uel.edu.vn</t>
  </si>
  <si>
    <t>quynhtnn22414@st.uel.edu.vn</t>
  </si>
  <si>
    <t>tambbd22414@st.uel.edu.vn</t>
  </si>
  <si>
    <t>K224141691</t>
  </si>
  <si>
    <t>Phan Nguyễn Thị Mỹ Tâm</t>
  </si>
  <si>
    <t>tampntm22414@st.uel.edu.vn</t>
  </si>
  <si>
    <t>thanhntn22414@st.uel.edu.vn</t>
  </si>
  <si>
    <t>21/02/2004</t>
  </si>
  <si>
    <t>thaovdt22414@st.uel.edu.vn</t>
  </si>
  <si>
    <t>K224141694</t>
  </si>
  <si>
    <t>Ngô Nguyễn Đức Thắng</t>
  </si>
  <si>
    <t>21/03/2004</t>
  </si>
  <si>
    <t>thangnnd22414@st.uel.edu.vn</t>
  </si>
  <si>
    <t>K224141695</t>
  </si>
  <si>
    <t>Trần Nguyễn Cát Tiên</t>
  </si>
  <si>
    <t>29/06/2004</t>
  </si>
  <si>
    <t>tientnc22414@st.uel.edu.vn</t>
  </si>
  <si>
    <t>tinbvh22414@st.uel.edu.vn</t>
  </si>
  <si>
    <t>19/07/2004</t>
  </si>
  <si>
    <t>tinlc22414@st.uel.edu.vn</t>
  </si>
  <si>
    <t>toanlm22414@st.uel.edu.vn</t>
  </si>
  <si>
    <t>21/08/2003</t>
  </si>
  <si>
    <t>toanpnx22414@st.uel.edu.vn</t>
  </si>
  <si>
    <t>toanpv22414@st.uel.edu.vn</t>
  </si>
  <si>
    <t>20/06/2004</t>
  </si>
  <si>
    <t>tramntm22414@st.uel.edu.vn</t>
  </si>
  <si>
    <t>K224141702</t>
  </si>
  <si>
    <t>Lê Phạm Bảo Trân</t>
  </si>
  <si>
    <t>18/03/2004</t>
  </si>
  <si>
    <t>tranlpb22414@st.uel.edu.vn</t>
  </si>
  <si>
    <t>tranttq22414@st.uel.edu.vn</t>
  </si>
  <si>
    <t>31/03/2004</t>
  </si>
  <si>
    <t>tuanphm22414@st.uel.edu.vn</t>
  </si>
  <si>
    <t>27/04/2004</t>
  </si>
  <si>
    <t>tuyenln22414@st.uel.edu.vn</t>
  </si>
  <si>
    <t>18/11/2004</t>
  </si>
  <si>
    <t>uyenltm22414@st.uel.edu.vn</t>
  </si>
  <si>
    <t>vanptd22414@st.uel.edu.vn</t>
  </si>
  <si>
    <t>18/07/2004</t>
  </si>
  <si>
    <t>vyhnn22414@st.uel.edu.vn</t>
  </si>
  <si>
    <t>29/01/2004</t>
  </si>
  <si>
    <t>yenlhp22414@st.uel.edu.vn</t>
  </si>
  <si>
    <t>anlp22414c@st.uel.edu.vn</t>
  </si>
  <si>
    <t>414C</t>
  </si>
  <si>
    <t>Công nghệ tài chính Chất lượng cao</t>
  </si>
  <si>
    <t>16/02/2004</t>
  </si>
  <si>
    <t>anhntk22414c@st.uel.edu.vn</t>
  </si>
  <si>
    <t>30/01/2004</t>
  </si>
  <si>
    <t>bachld22414c@st.uel.edu.vn</t>
  </si>
  <si>
    <t>dungptp22414c@st.uel.edu.vn</t>
  </si>
  <si>
    <t>duynq22414c@st.uel.edu.vn</t>
  </si>
  <si>
    <t>duytd22414c@st.uel.edu.vn</t>
  </si>
  <si>
    <t>duyenhtm22414c@st.uel.edu.vn</t>
  </si>
  <si>
    <t>15/05/2004</t>
  </si>
  <si>
    <t>hank22414c@st.uel.edu.vn</t>
  </si>
  <si>
    <t>haiptd22414c@st.uel.edu.vn</t>
  </si>
  <si>
    <t>hanhntd22414c@st.uel.edu.vn</t>
  </si>
  <si>
    <t>17/06/2003</t>
  </si>
  <si>
    <t>hanhntm22414c@st.uel.edu.vn</t>
  </si>
  <si>
    <t>huyenntn22414c@st.uel.edu.vn</t>
  </si>
  <si>
    <t>26/03/2003</t>
  </si>
  <si>
    <t>huonglt22414c@st.uel.edu.vn</t>
  </si>
  <si>
    <t>17/01/2004</t>
  </si>
  <si>
    <t>khuongph22414c@st.uel.edu.vn</t>
  </si>
  <si>
    <t>Dương Thị Thùy Linh</t>
  </si>
  <si>
    <t>linhdtt22414c@st.uel.edu.vn</t>
  </si>
  <si>
    <t>Nguyễn Thị Thùy Linh</t>
  </si>
  <si>
    <t>linhntt22414c@st.uel.edu.vn</t>
  </si>
  <si>
    <t>namnn22414c@st.uel.edu.vn</t>
  </si>
  <si>
    <t>nghitp22414c@st.uel.edu.vn</t>
  </si>
  <si>
    <t>nghiadt22414c@st.uel.edu.vn</t>
  </si>
  <si>
    <t>nghiant22414c@st.uel.edu.vn</t>
  </si>
  <si>
    <t>nhach22414c@st.uel.edu.vn</t>
  </si>
  <si>
    <t>19/05/2003</t>
  </si>
  <si>
    <t>nhubdq22414c@st.uel.edu.vn</t>
  </si>
  <si>
    <t>23/04/2004</t>
  </si>
  <si>
    <t>nhuhtq22414c@st.uel.edu.vn</t>
  </si>
  <si>
    <t>30/01/2003</t>
  </si>
  <si>
    <t>phuclh22414c@st.uel.edu.vn</t>
  </si>
  <si>
    <t>thint22414c@st.uel.edu.vn</t>
  </si>
  <si>
    <t>25/11/2004</t>
  </si>
  <si>
    <t>thonglvm22414c@st.uel.edu.vn</t>
  </si>
  <si>
    <t>Vũ Ngọc Thủy Tiên</t>
  </si>
  <si>
    <t>tienvnt22414c@st.uel.edu.vn</t>
  </si>
  <si>
    <t>trangdn22414c@st.uel.edu.vn</t>
  </si>
  <si>
    <t>trangphn22414c@st.uel.edu.vn</t>
  </si>
  <si>
    <t>28/07/2004</t>
  </si>
  <si>
    <t>tramnnt22414c@st.uel.edu.vn</t>
  </si>
  <si>
    <t>15/04/2004</t>
  </si>
  <si>
    <t>truongns22414c@st.uel.edu.vn</t>
  </si>
  <si>
    <t>uyenlvt22414c@st.uel.edu.vn</t>
  </si>
  <si>
    <t>19/06/2004</t>
  </si>
  <si>
    <t>vilt22414c@st.uel.edu.vn</t>
  </si>
  <si>
    <t>vych22414c@st.uel.edu.vn</t>
  </si>
  <si>
    <t>22/01/2004</t>
  </si>
  <si>
    <t>vylnt22414c@st.uel.edu.vn</t>
  </si>
  <si>
    <t>22/10/2004</t>
  </si>
  <si>
    <t>ngocnd22414@st.uel.edu.vn</t>
  </si>
  <si>
    <t>Số lượng</t>
  </si>
  <si>
    <t>414, 414C</t>
  </si>
  <si>
    <t>Đại trà</t>
  </si>
  <si>
    <t>CA</t>
  </si>
  <si>
    <t>HD KLTN</t>
  </si>
  <si>
    <t>PB KLTN</t>
  </si>
  <si>
    <t>CT KLTN</t>
  </si>
  <si>
    <t>Ủy viên KLTN</t>
  </si>
  <si>
    <t>Thư ký KLTN</t>
  </si>
  <si>
    <t>HĐ</t>
  </si>
  <si>
    <t>BCCĐTT</t>
  </si>
  <si>
    <t>UV KLTN</t>
  </si>
  <si>
    <t>Tky KLTN</t>
  </si>
  <si>
    <t>Thù lao HD BCTT &amp; HD KLTN (VNĐ)</t>
  </si>
  <si>
    <t>Thù lao Hội đồng (VNĐ)</t>
  </si>
  <si>
    <t>Thù lao HD và HĐ KLTN (VNĐ)</t>
  </si>
  <si>
    <t>Tổng cộng (VNĐ)</t>
  </si>
  <si>
    <t>Họ và tên GV/Đơn giá</t>
  </si>
  <si>
    <t>Hệ số thù lao</t>
  </si>
  <si>
    <t>Timestamp</t>
  </si>
  <si>
    <t>Email Address</t>
  </si>
  <si>
    <t>Họ và tên</t>
  </si>
  <si>
    <t>Lớp</t>
  </si>
  <si>
    <t>Lựa chọn học phần</t>
  </si>
  <si>
    <t>Tên đề tài BCTT</t>
  </si>
  <si>
    <t>Ngôn ngữ viết</t>
  </si>
  <si>
    <t>bản scan Nhật ký thực tập</t>
  </si>
  <si>
    <t>bản scan Phiếu nhận xét của DN</t>
  </si>
  <si>
    <t>Báo cáo thực tập</t>
  </si>
  <si>
    <t>Ngôn ngữ viết BCTT [BCTT]</t>
  </si>
  <si>
    <t>Ngôn ngữ viết BCTT [KLTN]</t>
  </si>
  <si>
    <t>Tên đề tài BCTT 2</t>
  </si>
  <si>
    <t>bản scan Nhật ký thực tập 2</t>
  </si>
  <si>
    <t>bản scan Phiếu nhận xét của DN 2</t>
  </si>
  <si>
    <t>Báo cáo thực tập 2</t>
  </si>
  <si>
    <t>Tên đề tài KLTN</t>
  </si>
  <si>
    <t>Khóa luận tốt nghiệp</t>
  </si>
  <si>
    <t>File check đạo văn</t>
  </si>
  <si>
    <t>Data (file excel hoặc csv)</t>
  </si>
  <si>
    <t>File code (nếu có)</t>
  </si>
  <si>
    <t>Giấy xác nhận cho phép sử dụng dữ liệu từ doanh nghiệp (nếu có)</t>
  </si>
  <si>
    <t>ducla20415@st.uel.edu.vn</t>
  </si>
  <si>
    <t>Chỉ nộp bài học phần Báo cáo thực tập</t>
  </si>
  <si>
    <t>PHÂN TÍCH TÌNH HÌNH TÀI CHÍNH NGÂN HÀNG TMCP ĐÔNG NAM Á (SEABANK) GIAI ĐOẠN 2021 - 2024</t>
  </si>
  <si>
    <r>
      <rPr>
        <u/>
        <sz val="10"/>
        <color rgb="FF1155CC"/>
        <rFont val="Roboto"/>
      </rPr>
      <t>https://drive.google.com/open?id=1bPpj-Szm61CClB5Hoyogs-_fX2Zwfb5E</t>
    </r>
  </si>
  <si>
    <r>
      <rPr>
        <u/>
        <sz val="10"/>
        <color rgb="FF1155CC"/>
        <rFont val="Roboto"/>
      </rPr>
      <t>https://drive.google.com/open?id=1gNHqS2p65BiUpAAVfBk_yQTxR18tevxC</t>
    </r>
  </si>
  <si>
    <r>
      <rPr>
        <u/>
        <sz val="10"/>
        <color rgb="FF1155CC"/>
        <rFont val="Roboto"/>
      </rPr>
      <t>https://drive.google.com/open?id=1bYO9J67tZoSNvzA3hxF2HfQuDErGybRO</t>
    </r>
  </si>
  <si>
    <t>THE IMPACT OF INCOME DIVERSIFICATION ON PERFORMANCE AND RISK: EVIDENCE FROM VIETNAMESE COMMERCIAL BANKS</t>
  </si>
  <si>
    <r>
      <rPr>
        <u/>
        <sz val="10"/>
        <color rgb="FF1155CC"/>
        <rFont val="Roboto"/>
      </rPr>
      <t>https://drive.google.com/open?id=19BStCQrxpqV0NFxEUcH6AljNQBT5c5DE</t>
    </r>
  </si>
  <si>
    <r>
      <rPr>
        <u/>
        <sz val="10"/>
        <color rgb="FF1155CC"/>
        <rFont val="Roboto"/>
      </rPr>
      <t>https://drive.google.com/open?id=1rTYXk6FN2wGnozy0PX_ciHE9ImO4l1oZ</t>
    </r>
  </si>
  <si>
    <r>
      <rPr>
        <u/>
        <sz val="10"/>
        <color rgb="FF1155CC"/>
        <rFont val="Roboto"/>
      </rPr>
      <t>https://drive.google.com/open?id=1_lCAoLSpgcpsod6exHtYDXomFSr2aW_d</t>
    </r>
  </si>
  <si>
    <t>Cheemeng Vangchixar</t>
  </si>
  <si>
    <t>Hoạt động cho vay tại NH TMCP Công thương Việt Nam chi nhánh Thủ Đức</t>
  </si>
  <si>
    <r>
      <rPr>
        <u/>
        <sz val="10"/>
        <color rgb="FF1155CC"/>
        <rFont val="Roboto"/>
      </rPr>
      <t>https://drive.google.com/open?id=1Sm0bJ34ecuYGoZsf4UMF1BS4cNCbCdWA</t>
    </r>
  </si>
  <si>
    <r>
      <rPr>
        <u/>
        <sz val="10"/>
        <color rgb="FF1155CC"/>
        <rFont val="Roboto"/>
      </rPr>
      <t>https://drive.google.com/open?id=10BCu_IYNITbJahzxTU_xGod7QWZH1IiB</t>
    </r>
  </si>
  <si>
    <r>
      <rPr>
        <u/>
        <sz val="10"/>
        <color rgb="FF1155CC"/>
        <rFont val="Roboto"/>
      </rPr>
      <t>https://drive.google.com/open?id=1UOQGB8o8XQtMOSGAtLHLXue5fXMF813M</t>
    </r>
  </si>
  <si>
    <t>CHIẾN LƯỢC PHÁT TRIỂN TIỀN GỬI KHÔNG KỲ HẠN TRONG HOẠT ĐỘNG HUY ĐỘNG VỐN TẠI NGÂN HÀNG THƯƠNG MẠI CỔ PHẦN NGOẠI THƯƠNG VIỆT NAM</t>
  </si>
  <si>
    <r>
      <rPr>
        <u/>
        <sz val="10"/>
        <color rgb="FF1155CC"/>
        <rFont val="Roboto"/>
      </rPr>
      <t>https://drive.google.com/open?id=1rqJz1EoC93nx1MIcNLhtYglfQcnI9_i2</t>
    </r>
  </si>
  <si>
    <r>
      <rPr>
        <u/>
        <sz val="10"/>
        <color rgb="FF1155CC"/>
        <rFont val="Roboto"/>
      </rPr>
      <t>https://drive.google.com/open?id=1yBqDdL_X3NgnZSwZOH2CQDhtX9dQR-UG</t>
    </r>
  </si>
  <si>
    <r>
      <rPr>
        <u/>
        <sz val="10"/>
        <color rgb="FF1155CC"/>
        <rFont val="Roboto"/>
      </rPr>
      <t>https://drive.google.com/open?id=1J4xtBy9QNVmPhDRPx7qpwctHocEbS20u</t>
    </r>
  </si>
  <si>
    <t>An Analysis of the Effectiveness of Working Capital Management at Thanh Cong Textile Garment Investment Trading Joint Stock Company during the period 2020–2024</t>
  </si>
  <si>
    <r>
      <rPr>
        <u/>
        <sz val="10"/>
        <color rgb="FF1155CC"/>
        <rFont val="Roboto"/>
      </rPr>
      <t>https://drive.google.com/open?id=1F1ZqGXopONy6CtTPeVtZ68vufJxrLHyY</t>
    </r>
  </si>
  <si>
    <r>
      <rPr>
        <u/>
        <sz val="10"/>
        <color rgb="FF1155CC"/>
        <rFont val="Roboto"/>
      </rPr>
      <t>https://drive.google.com/open?id=1IcVHLLKUxeuCDygohZCut6KkkQl__HN8</t>
    </r>
  </si>
  <si>
    <r>
      <rPr>
        <u/>
        <sz val="10"/>
        <color rgb="FF1155CC"/>
        <rFont val="Roboto"/>
      </rPr>
      <t>https://drive.google.com/open?id=1ksCUg-CceSoaqIlWIlh-9KeUQJmeZJ7V</t>
    </r>
  </si>
  <si>
    <t>PHÂN TÍCH TÌNH HÌNH TÀI CHÍNH VÀ ĐỊNH GIÁ CỔ PHIẾU CÔNG TY CỔ PHẦN ĐẦU TƯ THẾ GIỚI DI ĐỘNG 2025 (MWG)</t>
  </si>
  <si>
    <r>
      <rPr>
        <u/>
        <sz val="10"/>
        <color rgb="FF1155CC"/>
        <rFont val="Roboto"/>
      </rPr>
      <t>https://drive.google.com/open?id=1olYjQ593-zRhsnaveWHSSo4FD8sB1MUs</t>
    </r>
  </si>
  <si>
    <r>
      <rPr>
        <u/>
        <sz val="10"/>
        <color rgb="FF1155CC"/>
        <rFont val="Roboto"/>
      </rPr>
      <t>https://drive.google.com/open?id=1gPBTU0tr5RF3KELuMnzeS8PiuQi7LJux</t>
    </r>
  </si>
  <si>
    <r>
      <rPr>
        <u/>
        <sz val="10"/>
        <color rgb="FF1155CC"/>
        <rFont val="Roboto"/>
      </rPr>
      <t>https://drive.google.com/open?id=1SFZ2gXIfydpYWM5Z6zHuB5S99MPKqyws</t>
    </r>
  </si>
  <si>
    <t>PHANDOLAK MONA</t>
  </si>
  <si>
    <t>ĐÁNH GIÁ HOẠT ĐỘNG PHÁT HÀNH VÀ THANH TOÁN BẰNG PHƯƠNG THỨC TÍN DỤNG CHỨNG TỪ TẠI NGÂN HÀNG TMCP ĐẦU TƯ VÀ PHÁT TRIỂN VIỆT NAM – CHI NHÁNH BẾN NGHÉ</t>
  </si>
  <si>
    <r>
      <rPr>
        <u/>
        <sz val="10"/>
        <color rgb="FF1155CC"/>
        <rFont val="Roboto"/>
      </rPr>
      <t>https://drive.google.com/open?id=1dxPGWja7awTvQtuMPvabUpgHGUayNGYo</t>
    </r>
  </si>
  <si>
    <r>
      <rPr>
        <u/>
        <sz val="10"/>
        <color rgb="FF1155CC"/>
        <rFont val="Roboto"/>
      </rPr>
      <t>https://drive.google.com/open?id=1XLr3L5U77iY2vkkKxLq8C7_JM40Y1dnG</t>
    </r>
  </si>
  <si>
    <r>
      <rPr>
        <u/>
        <sz val="10"/>
        <color rgb="FF1155CC"/>
        <rFont val="Roboto"/>
      </rPr>
      <t>https://drive.google.com/open?id=1dwtSoFMFtYCuFLdFEC0j-Z-2XlyuOnkZ</t>
    </r>
  </si>
  <si>
    <t>HOẠT ĐỘNG CHO VAY KHÁCH HÀNG CÁ NHÂN TẠI NGÂN HÀNG THƯƠNG MẠI CỔ PHẦN ĐẦU TƯ VÀ PHÁT TRIỂN VIỆT NAM - CHI NHÁNH ĐÔNG SÀI GÒN</t>
  </si>
  <si>
    <r>
      <rPr>
        <u/>
        <sz val="10"/>
        <color rgb="FF1155CC"/>
        <rFont val="Roboto"/>
      </rPr>
      <t>https://drive.google.com/open?id=1nXBM2S34usx6sTXWpmwdOX8-n6O0Gbyh</t>
    </r>
  </si>
  <si>
    <r>
      <rPr>
        <u/>
        <sz val="10"/>
        <color rgb="FF1155CC"/>
        <rFont val="Roboto"/>
      </rPr>
      <t>https://drive.google.com/open?id=1aPd9e0ckgGvh8QsqgjQaE0jQXdn4c-pO</t>
    </r>
  </si>
  <si>
    <r>
      <rPr>
        <u/>
        <sz val="10"/>
        <color rgb="FF1155CC"/>
        <rFont val="Roboto"/>
      </rPr>
      <t>https://drive.google.com/open?id=1BInodur7Z5z0B9Lw5TfPgMKVfBZdqE9Y</t>
    </r>
  </si>
  <si>
    <t>HIỆU QUẢ TRONG CHIẾN LƯỢC ĐẦU TƯ VÀO CÔNG NGHỆ CỦA CÁC CÔNG TY CHỨNG KHOÁN VIỆT NAM</t>
  </si>
  <si>
    <r>
      <rPr>
        <u/>
        <sz val="10"/>
        <color rgb="FF1155CC"/>
        <rFont val="Roboto"/>
      </rPr>
      <t>https://drive.google.com/open?id=1TqEvj-_xzHEqxS2ZEpTVOmSYQhoNoZWi</t>
    </r>
  </si>
  <si>
    <r>
      <rPr>
        <u/>
        <sz val="10"/>
        <color rgb="FF1155CC"/>
        <rFont val="Roboto"/>
      </rPr>
      <t>https://drive.google.com/open?id=1nL_MdriRxvIGzWw4NGH7YZj2XiIp4Rmu</t>
    </r>
  </si>
  <si>
    <r>
      <rPr>
        <u/>
        <sz val="10"/>
        <color rgb="FF1155CC"/>
        <rFont val="Roboto"/>
      </rPr>
      <t>https://drive.google.com/open?id=1cd0lSvNiTAv6j8toFgLq_KptbDsi3U0O</t>
    </r>
  </si>
  <si>
    <t>ỨNG DỤNG MÔ HÌNH CAMEL ĐỂ PHÂN TÍCH HIỆU QUẢ HOẠT ĐỘNG CỦA NGÂN HÀNG THƯƠNG MẠI CỔ PHẦN CÔNG THƯƠNG VIỆT NAM</t>
  </si>
  <si>
    <r>
      <rPr>
        <u/>
        <sz val="10"/>
        <color rgb="FF1155CC"/>
        <rFont val="Roboto"/>
      </rPr>
      <t>https://drive.google.com/open?id=1c5rIJfwjjMXXtfsZUrh5kpXNqHxjjBZD</t>
    </r>
  </si>
  <si>
    <r>
      <rPr>
        <u/>
        <sz val="10"/>
        <color rgb="FF1155CC"/>
        <rFont val="Roboto"/>
      </rPr>
      <t>https://drive.google.com/open?id=1BVeSmiY_DZdNm4bq2PI7OkOZ6MxZ7Pm1</t>
    </r>
  </si>
  <si>
    <r>
      <rPr>
        <u/>
        <sz val="10"/>
        <color rgb="FF1155CC"/>
        <rFont val="Roboto"/>
      </rPr>
      <t>https://drive.google.com/open?id=1sczyMmMeHwOPJ8jN2_L35fVikL4tz7h3</t>
    </r>
  </si>
  <si>
    <t>ĐÁNH GIÁ HIỆU QUẢ HOẠT ĐỘNG TÀI CHÍNH CỦA CÔNG TY CỔ PHẦN CHỨNG KHOÁN FPT TRONG GIAI ĐOẠN 2020 – 2024</t>
  </si>
  <si>
    <r>
      <rPr>
        <u/>
        <sz val="10"/>
        <color rgb="FF1155CC"/>
        <rFont val="Roboto"/>
      </rPr>
      <t>https://drive.google.com/open?id=1FGElvJ2-BJ-baRGIkbgo9-QbvIpGYql2</t>
    </r>
  </si>
  <si>
    <r>
      <rPr>
        <u/>
        <sz val="10"/>
        <color rgb="FF1155CC"/>
        <rFont val="Roboto"/>
      </rPr>
      <t>https://drive.google.com/open?id=1sj6Joq101SF0xpq64DlIsoYxgLlEiN6T</t>
    </r>
  </si>
  <si>
    <r>
      <rPr>
        <u/>
        <sz val="10"/>
        <color rgb="FF1155CC"/>
        <rFont val="Roboto"/>
      </rPr>
      <t>https://drive.google.com/open?id=1fRHRJTGjqD8YGngs8LKjIdGQUS1O8Iib</t>
    </r>
  </si>
  <si>
    <t>Đánh giá hiệu quả hoạt động Telesales tại Trung tâm tư vấn Giải pháp Tài chính trực tuyến miền Nam - Ngân hàng TMCP Kỹ Thương Việt Nam</t>
  </si>
  <si>
    <r>
      <rPr>
        <u/>
        <sz val="10"/>
        <color rgb="FF1155CC"/>
        <rFont val="Roboto"/>
      </rPr>
      <t>https://drive.google.com/open?id=1bxf5upHbPfSkvvjoGvnjoAojLHHuWakh</t>
    </r>
  </si>
  <si>
    <r>
      <rPr>
        <u/>
        <sz val="10"/>
        <color rgb="FF1155CC"/>
        <rFont val="Roboto"/>
      </rPr>
      <t>https://drive.google.com/open?id=1tr2wMa5YJt4VCShrY0uHebO-IP3XidpP</t>
    </r>
  </si>
  <si>
    <r>
      <rPr>
        <u/>
        <sz val="10"/>
        <color rgb="FF1155CC"/>
        <rFont val="Roboto"/>
      </rPr>
      <t>https://drive.google.com/open?id=1y-JsJvuead8YKe8H7TrJyu7Icte0-op2</t>
    </r>
  </si>
  <si>
    <t>PRELIMINARY FINANCIAL STATEMENT ANALYSIS IN AUDIT PLANNING CONDUCTED BY VACO AUDITING COMPANY LIMITED</t>
  </si>
  <si>
    <r>
      <rPr>
        <u/>
        <sz val="10"/>
        <color rgb="FF1155CC"/>
        <rFont val="Roboto"/>
      </rPr>
      <t>https://drive.google.com/open?id=1OiZxkYvW9eNfNtoGbvePXVD1lyYXUo8y</t>
    </r>
  </si>
  <si>
    <r>
      <rPr>
        <u/>
        <sz val="10"/>
        <color rgb="FF1155CC"/>
        <rFont val="Roboto"/>
      </rPr>
      <t>https://drive.google.com/open?id=1WhP-83xm-CNp2GmmwryGA-uzIaV-0Gxe</t>
    </r>
  </si>
  <si>
    <r>
      <rPr>
        <u/>
        <sz val="10"/>
        <color rgb="FF1155CC"/>
        <rFont val="Roboto"/>
      </rPr>
      <t>https://drive.google.com/open?id=1HgQguP2dpHt_7f15LJZfjlF-GZIYHAB-</t>
    </r>
  </si>
  <si>
    <t>mrnnaamm@gmail.com</t>
  </si>
  <si>
    <t>ĐÁNH GIÁ NĂNG LỰC TÀI CHÍNH CỦA NGÂN HÀNG THƯƠNG MẠI CỔ PHẦN TIÊN PHONG THÔNG QUA MÔ HÌNH CAMELS</t>
  </si>
  <si>
    <r>
      <rPr>
        <u/>
        <sz val="10"/>
        <color rgb="FF1155CC"/>
        <rFont val="Roboto"/>
      </rPr>
      <t>https://drive.google.com/open?id=10hHE6c4hJL9lv3U7T-AfCmxrm16MIfQ_</t>
    </r>
  </si>
  <si>
    <r>
      <rPr>
        <u/>
        <sz val="10"/>
        <color rgb="FF1155CC"/>
        <rFont val="Roboto"/>
      </rPr>
      <t>https://drive.google.com/open?id=1PGJIqK7yu3AXnxS49gVVUCFDMuJIZi5N</t>
    </r>
  </si>
  <si>
    <r>
      <rPr>
        <u/>
        <sz val="10"/>
        <color rgb="FF1155CC"/>
        <rFont val="Roboto"/>
      </rPr>
      <t>https://drive.google.com/open?id=1JNliL4ujxwOAKYjnW5wKtqBINm1EqJYe</t>
    </r>
  </si>
  <si>
    <t>THU NHẬP NGOÀI LÃI TÁC ĐỘNG ĐẾN HIỆU QUẢ HOẠT ĐỘNG CỦA NGÂN HÀNG VIỆT NAM TRONG BỐI CẢNH CHUYỂN ĐỔI SỐ</t>
  </si>
  <si>
    <r>
      <rPr>
        <u/>
        <sz val="10"/>
        <color rgb="FF1155CC"/>
        <rFont val="Roboto"/>
      </rPr>
      <t>https://drive.google.com/open?id=1BKye8uTXhr4UsHEWN-wvYnf0pM2-TFSf</t>
    </r>
  </si>
  <si>
    <r>
      <rPr>
        <u/>
        <sz val="10"/>
        <color rgb="FF1155CC"/>
        <rFont val="Roboto"/>
      </rPr>
      <t>https://drive.google.com/open?id=1mjjP_dyZHqAfVKCtQQoeHS4uo4ETLqQT</t>
    </r>
  </si>
  <si>
    <r>
      <rPr>
        <u/>
        <sz val="10"/>
        <color rgb="FF1155CC"/>
        <rFont val="Roboto"/>
      </rPr>
      <t>https://drive.google.com/open?id=1jptUsxqwS_H3ny2LKQmNPK_orRsn5J_Z</t>
    </r>
  </si>
  <si>
    <t>Phân tích hiệu quả hoạt động kinh doanh của Công ty Cổ phần Đầu tư và Kinh doanh Nhà Khang Điền</t>
  </si>
  <si>
    <r>
      <rPr>
        <u/>
        <sz val="10"/>
        <color rgb="FF1155CC"/>
        <rFont val="Roboto"/>
      </rPr>
      <t>https://drive.google.com/open?id=1NfJYUhD6vu9nHpH_RKdwLn5Viip3ZwP5</t>
    </r>
  </si>
  <si>
    <r>
      <rPr>
        <u/>
        <sz val="10"/>
        <color rgb="FF1155CC"/>
        <rFont val="Roboto"/>
      </rPr>
      <t>https://drive.google.com/open?id=1m-lAE-7eKa5RAn2XlWToZIg33ieDGnkt</t>
    </r>
  </si>
  <si>
    <r>
      <rPr>
        <u/>
        <sz val="10"/>
        <color rgb="FF1155CC"/>
        <rFont val="Roboto"/>
      </rPr>
      <t>https://drive.google.com/open?id=1uJ2Tnz1IAtov7rg2Zy8ssFFLF_cpaHHm</t>
    </r>
  </si>
  <si>
    <t>Hoạt động cho vay mua nhà, mua đất đối với khách hàng cá nhân tại Ngân hàng TMCP Công Thương Việt Nam – Chi nhánh Đông Thành phố Hồ Chí Minh</t>
  </si>
  <si>
    <r>
      <rPr>
        <u/>
        <sz val="10"/>
        <color rgb="FF1155CC"/>
        <rFont val="Roboto"/>
      </rPr>
      <t>https://drive.google.com/open?id=1vyx1Pi2ElMDZO-0T6LAiK0pylCbw4niS</t>
    </r>
  </si>
  <si>
    <r>
      <rPr>
        <u/>
        <sz val="10"/>
        <color rgb="FF1155CC"/>
        <rFont val="Roboto"/>
      </rPr>
      <t>https://drive.google.com/open?id=1NNtYx1_XHeKs4RyvY8baZIYE_PLbD-1T</t>
    </r>
  </si>
  <si>
    <r>
      <rPr>
        <u/>
        <sz val="10"/>
        <color rgb="FF1155CC"/>
        <rFont val="Roboto"/>
      </rPr>
      <t>https://drive.google.com/open?id=1vsvmJkIhYErlN-2IJ7dWVCd8HJ81Ln11</t>
    </r>
  </si>
  <si>
    <t>EVALUATING THE PERFORMANCE OF THE JOINT STOCK COMMERCIAL BANK FOR FOREIGN TRADE OF VIETNAM (VIETCOMBANK) USING THE CAMELS MODEL</t>
  </si>
  <si>
    <r>
      <rPr>
        <u/>
        <sz val="10"/>
        <color rgb="FF1155CC"/>
        <rFont val="Roboto"/>
      </rPr>
      <t>https://drive.google.com/open?id=1HLFTwmtcruBH3iRrMKDLtaLOU2J6N7HW</t>
    </r>
  </si>
  <si>
    <r>
      <rPr>
        <u/>
        <sz val="10"/>
        <color rgb="FF1155CC"/>
        <rFont val="Roboto"/>
      </rPr>
      <t>https://drive.google.com/open?id=1N52108VTIhjHlbnRbY2RpdApZbj04yyV</t>
    </r>
  </si>
  <si>
    <r>
      <rPr>
        <u/>
        <sz val="10"/>
        <color rgb="FF1155CC"/>
        <rFont val="Roboto"/>
      </rPr>
      <t>https://drive.google.com/open?id=1eFxh92GSbfyDr8T995XvcEU4mk8oCIe1</t>
    </r>
  </si>
  <si>
    <t>CÁC YẾU TỐ TÁC ĐỘNG ĐẾN QUYẾT ĐỊNH SỬ DỤNG ĐÒN BẨY TÀI CHÍNH CỦA CÁC DOANH NGHIỆP NGÀNH VẬT LIỆU XÂY DỰNG ĐƯỢC NIÊM YẾT TRÊN SÀN HOSE GIAI ĐOẠN 2019-2024</t>
  </si>
  <si>
    <r>
      <rPr>
        <u/>
        <sz val="10"/>
        <color rgb="FF1155CC"/>
        <rFont val="Roboto"/>
      </rPr>
      <t>https://drive.google.com/open?id=1kZ4GM5iE0HPJwjnTTeNtDpjuK8BwlFSt</t>
    </r>
  </si>
  <si>
    <r>
      <rPr>
        <u/>
        <sz val="10"/>
        <color rgb="FF1155CC"/>
        <rFont val="Roboto"/>
      </rPr>
      <t>https://drive.google.com/open?id=15yxuj6DmjVeUW2NlcEdQdmvdLScRC7lz</t>
    </r>
  </si>
  <si>
    <r>
      <rPr>
        <u/>
        <sz val="10"/>
        <color rgb="FF1155CC"/>
        <rFont val="Roboto"/>
      </rPr>
      <t>https://drive.google.com/open?id=1XXmyiUhR_oFSYottEIMoOJsKxwXx4jlI</t>
    </r>
  </si>
  <si>
    <t>ĐÁNH GIÁ TÁC ĐỘNG CỦA CHUYỂN ĐỔI SỐ LÊN RỦI RO TÍN DỤNG CỦA NGÂN HÀNG THƯƠNG MẠI TẠI VIỆT NAM</t>
  </si>
  <si>
    <r>
      <rPr>
        <u/>
        <sz val="10"/>
        <color rgb="FF1155CC"/>
        <rFont val="Roboto"/>
      </rPr>
      <t>https://drive.google.com/open?id=1SYEtyGYYytdzElspvxaYpzCY-ZSpYxVH</t>
    </r>
  </si>
  <si>
    <r>
      <rPr>
        <u/>
        <sz val="10"/>
        <color rgb="FF1155CC"/>
        <rFont val="Roboto"/>
      </rPr>
      <t>https://drive.google.com/open?id=17hncmyUhPoVqZ6oT6H17LlL2ZUcST_wk</t>
    </r>
  </si>
  <si>
    <r>
      <rPr>
        <u/>
        <sz val="10"/>
        <color rgb="FF1155CC"/>
        <rFont val="Roboto"/>
      </rPr>
      <t>https://drive.google.com/open?id=11znKl67m_2PZHfdThT2qgAufcskTJMY3</t>
    </r>
  </si>
  <si>
    <t>CÁC YẾU TỐ ẢNH HƯỞNG ĐẾN QUYẾT ĐỊNH NẮM GIỮ TIỀN MẶT CỦA CÁC CÔNG TY CHẾ BIẾN THỰC PHẨM TẠI VIỆT NAM</t>
  </si>
  <si>
    <r>
      <rPr>
        <u/>
        <sz val="10"/>
        <color rgb="FF1155CC"/>
        <rFont val="Roboto"/>
      </rPr>
      <t>https://drive.google.com/open?id=1ETP_p9zIwV9X1V2R0wOvJol3B0ODK6RQ</t>
    </r>
  </si>
  <si>
    <r>
      <rPr>
        <u/>
        <sz val="10"/>
        <color rgb="FF1155CC"/>
        <rFont val="Roboto"/>
      </rPr>
      <t>https://drive.google.com/open?id=19mkNqt3zxqbVVr2lWbXMI3hcSdhjz3lp</t>
    </r>
  </si>
  <si>
    <r>
      <rPr>
        <u/>
        <sz val="10"/>
        <color rgb="FF1155CC"/>
        <rFont val="Roboto"/>
      </rPr>
      <t>https://drive.google.com/open?id=1u6F3Innl9bhfEWtOYnGhCExB3Thy8WCK</t>
    </r>
  </si>
  <si>
    <t>Phân tích hoạt động cho vay mua căn hộ chung cư và nhà ở dự án đối với khách hàng cá nhân tại Ngân hàng TMCP Công Thương Việt Nam - Chi nhánh Đông TP. Hồ Chí Minh</t>
  </si>
  <si>
    <r>
      <rPr>
        <u/>
        <sz val="10"/>
        <color rgb="FF1155CC"/>
        <rFont val="Roboto"/>
      </rPr>
      <t>https://drive.google.com/open?id=1o9CAYJ7IP2TlijSGOAJOM45v_8V6izVg</t>
    </r>
  </si>
  <si>
    <r>
      <rPr>
        <u/>
        <sz val="10"/>
        <color rgb="FF1155CC"/>
        <rFont val="Roboto"/>
      </rPr>
      <t>https://drive.google.com/open?id=1Gp22yM9A4kYW7lvvsbq0uKGSHxtrx8mO</t>
    </r>
  </si>
  <si>
    <r>
      <rPr>
        <u/>
        <sz val="10"/>
        <color rgb="FF1155CC"/>
        <rFont val="Roboto"/>
      </rPr>
      <t>https://drive.google.com/open?id=1GRsEoRgJgOS7hhIC6mxNCBarXgho8D4R</t>
    </r>
  </si>
  <si>
    <t>dangvyban2004@gmail.com</t>
  </si>
  <si>
    <t>FINANCIAL ANALYSIS AND STOCK VALUATION OF SONG HONG GARMENT JOINT STOCK COMPANY (MSH)</t>
  </si>
  <si>
    <r>
      <rPr>
        <u/>
        <sz val="10"/>
        <color rgb="FF1155CC"/>
        <rFont val="Roboto"/>
      </rPr>
      <t>https://drive.google.com/open?id=19xYL4zlbzid-cjl0Vi42MeGq0P1X6jAa</t>
    </r>
  </si>
  <si>
    <r>
      <rPr>
        <u/>
        <sz val="10"/>
        <color rgb="FF1155CC"/>
        <rFont val="Roboto"/>
      </rPr>
      <t>https://drive.google.com/open?id=1bTPNgAlNUc0SAVKyLYK6-o9csORCRq9E</t>
    </r>
  </si>
  <si>
    <r>
      <rPr>
        <u/>
        <sz val="10"/>
        <color rgb="FF1155CC"/>
        <rFont val="Roboto"/>
      </rPr>
      <t>https://drive.google.com/open?id=1rC2DeidS_gZ4qhktSYT902EFM59Kxjok</t>
    </r>
  </si>
  <si>
    <t>Hoạt động quản trị tài sản ngắn hạn tại CTCP DNP Holding</t>
  </si>
  <si>
    <r>
      <rPr>
        <u/>
        <sz val="10"/>
        <color rgb="FF1155CC"/>
        <rFont val="Roboto"/>
      </rPr>
      <t>https://drive.google.com/open?id=1C0Ya-YgK9PvZCw4SdHr98Vec1eqDvA8M</t>
    </r>
  </si>
  <si>
    <r>
      <rPr>
        <u/>
        <sz val="10"/>
        <color rgb="FF1155CC"/>
        <rFont val="Roboto"/>
      </rPr>
      <t>https://drive.google.com/open?id=1B7_tsPSvNuaq1eSU9JVjd5Hhs7iofp_h</t>
    </r>
  </si>
  <si>
    <r>
      <rPr>
        <u/>
        <sz val="10"/>
        <color rgb="FF1155CC"/>
        <rFont val="Roboto"/>
      </rPr>
      <t>https://drive.google.com/open?id=1YyHL29HnmiTj9QNnRo7Rgh2QtnbKbNJ4</t>
    </r>
  </si>
  <si>
    <t>PHÂN TÍCH HIỆU QUẢ TÀI CHÍNH CỦA CÔNG TY CỔ PHẦN DẦU KHÍ CÀ MAU GIAI ĐOẠN 2020-2024</t>
  </si>
  <si>
    <r>
      <rPr>
        <u/>
        <sz val="10"/>
        <color rgb="FF1155CC"/>
        <rFont val="Roboto"/>
      </rPr>
      <t>https://drive.google.com/open?id=1qp-R-hVnmlNnaRvrBVSLVjACH3jMcmfD</t>
    </r>
  </si>
  <si>
    <r>
      <rPr>
        <u/>
        <sz val="10"/>
        <color rgb="FF1155CC"/>
        <rFont val="Roboto"/>
      </rPr>
      <t>https://drive.google.com/open?id=1RztzKC3XVHp6ni2NJIQ7tJ5TkfQHiUgG</t>
    </r>
  </si>
  <si>
    <r>
      <rPr>
        <u/>
        <sz val="10"/>
        <color rgb="FF1155CC"/>
        <rFont val="Roboto"/>
      </rPr>
      <t>https://drive.google.com/open?id=1ZgbjVCh4SBcrQR84hgrbhQfOdI1WB6fe</t>
    </r>
  </si>
  <si>
    <t>Giải pháp nâng cao minh bạch thông tin tài chính cho doanh nghiệp niêm yết thông qua hoạt động tư vấn của Công ty Cổ phần Chứng khoán FPT</t>
  </si>
  <si>
    <r>
      <rPr>
        <u/>
        <sz val="10"/>
        <color rgb="FF1155CC"/>
        <rFont val="Roboto"/>
      </rPr>
      <t>https://drive.google.com/open?id=11d8MrFEVuWRZHhl0abhcarhKeDAY2OBv</t>
    </r>
  </si>
  <si>
    <r>
      <rPr>
        <u/>
        <sz val="10"/>
        <color rgb="FF1155CC"/>
        <rFont val="Roboto"/>
      </rPr>
      <t>https://drive.google.com/open?id=1nGcoKlQdsxkQy8hohgbnvwsRQ14jwydf</t>
    </r>
  </si>
  <si>
    <r>
      <rPr>
        <u/>
        <sz val="10"/>
        <color rgb="FF1155CC"/>
        <rFont val="Roboto"/>
      </rPr>
      <t>https://drive.google.com/open?id=13GY-y9dNREtqCE1bboJBQYS8zrVH8yOJ</t>
    </r>
  </si>
  <si>
    <t>HOẠT ĐỘNG CHO VAY KHÁCH HÀNG CÁ NHÂN TẠI NGÂN HÀNG THƯƠNG MẠI CỔ PHẦN ĐẦU TƯ VÀ PHÁT TRIỂN VIỆT NAM</t>
  </si>
  <si>
    <r>
      <rPr>
        <u/>
        <sz val="10"/>
        <color rgb="FF1155CC"/>
        <rFont val="Roboto"/>
      </rPr>
      <t>https://drive.google.com/open?id=1LnzcJsL1CVvU69Pt5nrqQ7DLXsmDdQ6O</t>
    </r>
  </si>
  <si>
    <r>
      <rPr>
        <u/>
        <sz val="10"/>
        <color rgb="FF1155CC"/>
        <rFont val="Roboto"/>
      </rPr>
      <t>https://drive.google.com/open?id=1nIKv5MrhIoeb6XRRs6WsxzDVUFXtjp5_</t>
    </r>
  </si>
  <si>
    <r>
      <rPr>
        <u/>
        <sz val="10"/>
        <color rgb="FF1155CC"/>
        <rFont val="Roboto"/>
      </rPr>
      <t>https://drive.google.com/open?id=1T2MhnNKDTSCvujyca8UYAxNjsKxAQroF</t>
    </r>
  </si>
  <si>
    <t>Phát triển ngân hàng số tại Ngân hàng Thương mại Cổ phần Ngoại thương Việt Nam trong bối cảnh chuyển đổi số ngành ngân hàng Việt Nam.</t>
  </si>
  <si>
    <r>
      <rPr>
        <u/>
        <sz val="10"/>
        <color rgb="FF1155CC"/>
        <rFont val="Roboto"/>
      </rPr>
      <t>https://drive.google.com/open?id=1TRKHfvNgnn5Lz9WZeyZBy3xA-WKK-upj</t>
    </r>
  </si>
  <si>
    <r>
      <rPr>
        <u/>
        <sz val="10"/>
        <color rgb="FF1155CC"/>
        <rFont val="Roboto"/>
      </rPr>
      <t>https://drive.google.com/open?id=1HSs4v7l1aRopFuc0aEA6SJIgnhfFyhq-</t>
    </r>
  </si>
  <si>
    <r>
      <rPr>
        <u/>
        <sz val="10"/>
        <color rgb="FF1155CC"/>
        <rFont val="Roboto"/>
      </rPr>
      <t>https://drive.google.com/open?id=1NmUN4tT_v12YHlhGXvpD2qC5CfxSjDYa</t>
    </r>
  </si>
  <si>
    <t>THE IMPACT OF WORKING CAPITAL MANAGEMENT ON FINANCIAL PERFORMANCE OF THE BOSCH VIETNAM COMPANY LIMITED</t>
  </si>
  <si>
    <r>
      <rPr>
        <u/>
        <sz val="10"/>
        <color rgb="FF1155CC"/>
        <rFont val="Roboto"/>
      </rPr>
      <t>https://drive.google.com/open?id=18YHN2Kje9lWjvtacqHSQtnuOX3YvyqAk</t>
    </r>
  </si>
  <si>
    <r>
      <rPr>
        <u/>
        <sz val="10"/>
        <color rgb="FF1155CC"/>
        <rFont val="Roboto"/>
      </rPr>
      <t>https://drive.google.com/open?id=1LxblHohlOMP5MUnoKAETQG59Qn5QmidS</t>
    </r>
  </si>
  <si>
    <r>
      <rPr>
        <u/>
        <sz val="10"/>
        <color rgb="FF1155CC"/>
        <rFont val="Roboto"/>
      </rPr>
      <t>https://drive.google.com/open?id=1XKRWrkUslPAzp84JS_H99K7ZuPaagZYZ</t>
    </r>
  </si>
  <si>
    <t>The Impact of Financial Leverage on the Financial Performance of Listed Retail Firms in Vietnam</t>
  </si>
  <si>
    <r>
      <rPr>
        <u/>
        <sz val="10"/>
        <color rgb="FF1155CC"/>
        <rFont val="Roboto"/>
      </rPr>
      <t>https://drive.google.com/open?id=1zTrVkdgsJd-CCzUGntAYriytsspOlUBH</t>
    </r>
  </si>
  <si>
    <r>
      <rPr>
        <u/>
        <sz val="10"/>
        <color rgb="FF1155CC"/>
        <rFont val="Roboto"/>
      </rPr>
      <t>https://drive.google.com/open?id=1xD4sXdSogSqxJ_pDy-ea7hroDAimYfmp</t>
    </r>
  </si>
  <si>
    <r>
      <rPr>
        <u/>
        <sz val="10"/>
        <color rgb="FF1155CC"/>
        <rFont val="Roboto"/>
      </rPr>
      <t>https://drive.google.com/open?id=1y3-K4AbVHNKQ0DIyFeoqeC5qzhsrCp1z</t>
    </r>
  </si>
  <si>
    <t>Các yếu tố ảnh hưởng đến sự ổn định tài chính của các ngân hàng thương mại tại Việt Nam</t>
  </si>
  <si>
    <r>
      <rPr>
        <u/>
        <sz val="10"/>
        <color rgb="FF1155CC"/>
        <rFont val="Roboto"/>
      </rPr>
      <t>https://drive.google.com/open?id=1sW_mwvo8NfmYmUoQePVf1KssrtMtmDSN</t>
    </r>
  </si>
  <si>
    <r>
      <rPr>
        <u/>
        <sz val="10"/>
        <color rgb="FF1155CC"/>
        <rFont val="Roboto"/>
      </rPr>
      <t>https://drive.google.com/open?id=1F-IPTAkj-EQcqLzqNObho9l6DdrXGI26</t>
    </r>
  </si>
  <si>
    <r>
      <rPr>
        <u/>
        <sz val="10"/>
        <color rgb="FF1155CC"/>
        <rFont val="Roboto"/>
      </rPr>
      <t>https://drive.google.com/open?id=1U1O0x228H96DBi_DVadzzj4axw4IlUj-</t>
    </r>
  </si>
  <si>
    <t>PHÂN TÍCH HIỆU QUẢ HOẠT ĐỘNG KINH DOANH CỦA CÔNG TY CỔ PHẦN ĐƯỜNG KON TUM (KTS)</t>
  </si>
  <si>
    <r>
      <rPr>
        <u/>
        <sz val="10"/>
        <color rgb="FF1155CC"/>
        <rFont val="Roboto"/>
      </rPr>
      <t>https://drive.google.com/open?id=1yl6Vt1PEuvIOYMTb_KmStN6GYx3rXXmy</t>
    </r>
  </si>
  <si>
    <r>
      <rPr>
        <u/>
        <sz val="10"/>
        <color rgb="FF1155CC"/>
        <rFont val="Roboto"/>
      </rPr>
      <t>https://drive.google.com/open?id=1JSiSQrYagM5FVaVc-GF9ins_MRsxkqF_</t>
    </r>
  </si>
  <si>
    <r>
      <rPr>
        <u/>
        <sz val="10"/>
        <color rgb="FF1155CC"/>
        <rFont val="Roboto"/>
      </rPr>
      <t>https://drive.google.com/open?id=1r89smRNRe2Rn15C7UJrgl5CXl_epPLLl</t>
    </r>
  </si>
  <si>
    <t>Đánh giá hoạt động phát hành và thanh toán theo phương thức tín dụng chứng từ tại ngân hàng TMCP đầu tư và phát triển Việt Nam - Chi nhánh Bến Nghé</t>
  </si>
  <si>
    <r>
      <rPr>
        <u/>
        <sz val="10"/>
        <color rgb="FF1155CC"/>
        <rFont val="Roboto"/>
      </rPr>
      <t>https://drive.google.com/open?id=1XId2p5RABfAl4d5kILuHjezKPFI2P_s7</t>
    </r>
  </si>
  <si>
    <r>
      <rPr>
        <u/>
        <sz val="10"/>
        <color rgb="FF1155CC"/>
        <rFont val="Roboto"/>
      </rPr>
      <t>https://drive.google.com/open?id=1v0JwiAz4Ym2idhRpw1qFBVffnXiRqlfk</t>
    </r>
  </si>
  <si>
    <r>
      <rPr>
        <u/>
        <sz val="10"/>
        <color rgb="FF1155CC"/>
        <rFont val="Roboto"/>
      </rPr>
      <t>https://drive.google.com/open?id=11vkNxtoXdHjfUJmsjctH3x_1BI5bMUIT</t>
    </r>
  </si>
  <si>
    <t>ĐÁNH GIÁ RỦI RO TÀI CHÍNH CỦA CÁC DOANH NGHIỆP NGÀNH BẤT ĐỘNG SẢN NIÊM YẾT TẠI VIỆT NAM GIAI ĐOẠN 2020-2024</t>
  </si>
  <si>
    <r>
      <rPr>
        <u/>
        <sz val="10"/>
        <color rgb="FF1155CC"/>
        <rFont val="Roboto"/>
      </rPr>
      <t>https://drive.google.com/open?id=195bu8jGuXJkMIqjMtC4W8uPUFl7PyBrf</t>
    </r>
  </si>
  <si>
    <r>
      <rPr>
        <u/>
        <sz val="10"/>
        <color rgb="FF1155CC"/>
        <rFont val="Roboto"/>
      </rPr>
      <t>https://drive.google.com/open?id=1mT2SksD33iFG6_LxsPUq4kzzOJikzQ20</t>
    </r>
  </si>
  <si>
    <r>
      <rPr>
        <u/>
        <sz val="10"/>
        <color rgb="FF1155CC"/>
        <rFont val="Roboto"/>
      </rPr>
      <t>https://drive.google.com/open?id=1cFx24TS0NOq2jWtg4mc-jgoUp5Yb7Dqj</t>
    </r>
  </si>
  <si>
    <t>CÁC YẾU TỐ ẢNH HƯỞNG ĐẾN GIÁ CỔ PHIẾU NGÂN HÀNG THƯƠNG MẠI NIÊM YẾT TRÊN SỞ GIAO DỊCH CHỨNG KHOÁN THÀNH PHỐ HỒ CHÍ MINH</t>
  </si>
  <si>
    <r>
      <rPr>
        <u/>
        <sz val="10"/>
        <color rgb="FF1155CC"/>
        <rFont val="Roboto"/>
      </rPr>
      <t>https://drive.google.com/open?id=1DxY9gqSav4FEajmlO-P3ZikuhONG_SV5</t>
    </r>
  </si>
  <si>
    <r>
      <rPr>
        <u/>
        <sz val="10"/>
        <color rgb="FF1155CC"/>
        <rFont val="Roboto"/>
      </rPr>
      <t>https://drive.google.com/open?id=1ACHJsQI_mg8ZcZQbpJLygN_Ys9b-sJ83</t>
    </r>
  </si>
  <si>
    <r>
      <rPr>
        <u/>
        <sz val="10"/>
        <color rgb="FF1155CC"/>
        <rFont val="Roboto"/>
      </rPr>
      <t>https://drive.google.com/open?id=1QN0jqppCjBFEeszUL_yJvgnwHDHHN7t4</t>
    </r>
  </si>
  <si>
    <t>THE IMPACT OF DIGITAL TRANSFORMATION ON CREDIT RISK: EVIDENCE FROM VIETNAMESE COMMERCIAL BANKS</t>
  </si>
  <si>
    <r>
      <rPr>
        <u/>
        <sz val="10"/>
        <color rgb="FF1155CC"/>
        <rFont val="Roboto"/>
      </rPr>
      <t>https://drive.google.com/open?id=10MGcTO0xDN8MqEdqbL5REBoEujopqNK_</t>
    </r>
  </si>
  <si>
    <r>
      <rPr>
        <u/>
        <sz val="10"/>
        <color rgb="FF1155CC"/>
        <rFont val="Roboto"/>
      </rPr>
      <t>https://drive.google.com/open?id=14Tr40tOTzRqjF9lt9cuqzqHNaZra9oAg</t>
    </r>
  </si>
  <si>
    <r>
      <rPr>
        <u/>
        <sz val="10"/>
        <color rgb="FF1155CC"/>
        <rFont val="Roboto"/>
      </rPr>
      <t>https://drive.google.com/open?id=1w06LZH69tHjHd4A2EsDVSEBkdDGTvnZX</t>
    </r>
  </si>
  <si>
    <t>ĐÁNH GIÁ HIỆU QUẢ HOẠT ĐỘNG CỦA NGÂN HÀNG THƯƠNG MẠI CỔ PHẦN PHÁT TRIỂN THÀNH PHỐ HỒ CHÍ MINH (HDBANK) THEO MÔ HÌNH CAMELS</t>
  </si>
  <si>
    <r>
      <rPr>
        <u/>
        <sz val="10"/>
        <color rgb="FF1155CC"/>
        <rFont val="Roboto"/>
      </rPr>
      <t>https://drive.google.com/open?id=16qNImVkIhKZ8CbwP0EaugwosIn26HPss</t>
    </r>
  </si>
  <si>
    <r>
      <rPr>
        <u/>
        <sz val="10"/>
        <color rgb="FF1155CC"/>
        <rFont val="Roboto"/>
      </rPr>
      <t>https://drive.google.com/open?id=1xL24tgZlAXK2i5QAfT9w0vnUOFE3JuQb</t>
    </r>
  </si>
  <si>
    <r>
      <rPr>
        <u/>
        <sz val="10"/>
        <color rgb="FF1155CC"/>
        <rFont val="Roboto"/>
      </rPr>
      <t>https://drive.google.com/open?id=1VjFyiKdCiVqPzTnnl1Qv7yCfhWKIqAaK</t>
    </r>
  </si>
  <si>
    <t>PHÂN TÍCH BÁO CÁO TÀI CHÍNH VÀ ĐỊNH GIÁ CỔ PHIẾU CÔNG TY CỔ PHẦN THÉP NAM KIM (NKG)</t>
  </si>
  <si>
    <r>
      <rPr>
        <u/>
        <sz val="10"/>
        <color rgb="FF1155CC"/>
        <rFont val="Roboto"/>
      </rPr>
      <t>https://drive.google.com/open?id=1ZjEzNOc72Vi9y1xODpDLdB28Ms03oThT</t>
    </r>
  </si>
  <si>
    <r>
      <rPr>
        <u/>
        <sz val="10"/>
        <color rgb="FF1155CC"/>
        <rFont val="Roboto"/>
      </rPr>
      <t>https://drive.google.com/open?id=1AcBOPIcbguuJsC2ba6Ncc5wyBwtuxki8</t>
    </r>
  </si>
  <si>
    <r>
      <rPr>
        <u/>
        <sz val="10"/>
        <color rgb="FF1155CC"/>
        <rFont val="Roboto"/>
      </rPr>
      <t>https://drive.google.com/open?id=1TvNJ8MuhA8SgmeZ519IntJPLpsumWmoQ</t>
    </r>
  </si>
  <si>
    <t>TÁC ĐỘNG CỦA RỦI RO TÍN DỤNG ĐẾN KHẢ NĂNG SINH LỜI CỦA CÁC NGÂN HÀNG THƯƠNG MẠI CỔ PHẦN TẠI VIỆT NAM</t>
  </si>
  <si>
    <r>
      <rPr>
        <u/>
        <sz val="10"/>
        <color rgb="FF1155CC"/>
        <rFont val="Roboto"/>
      </rPr>
      <t>https://drive.google.com/open?id=17z34jeAVECVbFQOSdG-NsD2TpB9FFjKF</t>
    </r>
  </si>
  <si>
    <r>
      <rPr>
        <u/>
        <sz val="10"/>
        <color rgb="FF1155CC"/>
        <rFont val="Roboto"/>
      </rPr>
      <t>https://drive.google.com/open?id=1Zo4WUiHXwYZETzYwHs1nyNuF2CEWKTHF</t>
    </r>
  </si>
  <si>
    <r>
      <rPr>
        <u/>
        <sz val="10"/>
        <color rgb="FF1155CC"/>
        <rFont val="Roboto"/>
      </rPr>
      <t>https://drive.google.com/open?id=1wn97_4hQklnuxd0j-6m3LTvXLUitpRGK</t>
    </r>
  </si>
  <si>
    <t>Securities Brokerage Operations for Individual Investors at Mirae Asset Securities Vietnam</t>
  </si>
  <si>
    <r>
      <rPr>
        <u/>
        <sz val="10"/>
        <color rgb="FF1155CC"/>
        <rFont val="Roboto"/>
      </rPr>
      <t>https://drive.google.com/open?id=1PGRxb7olgw3e7oqXZIE2uk6FT3NEyQdp</t>
    </r>
  </si>
  <si>
    <r>
      <rPr>
        <u/>
        <sz val="10"/>
        <color rgb="FF1155CC"/>
        <rFont val="Roboto"/>
      </rPr>
      <t>https://drive.google.com/open?id=1TT9QO8w34onEB83MthPtsxWRvVjBjS24</t>
    </r>
  </si>
  <si>
    <r>
      <rPr>
        <u/>
        <sz val="10"/>
        <color rgb="FF1155CC"/>
        <rFont val="Roboto"/>
      </rPr>
      <t>https://drive.google.com/open?id=1c1Ci2Qglbr-4Xs55MpOW-kbJeqJaAiDD</t>
    </r>
  </si>
  <si>
    <t>SOLUTIONS FOR USING FINANCIAL LEVERAGE TO ENHANCE CORPORATE PERFORMANCE AT ANH MINH CO., LTD</t>
  </si>
  <si>
    <r>
      <rPr>
        <u/>
        <sz val="10"/>
        <color rgb="FF1155CC"/>
        <rFont val="Roboto"/>
      </rPr>
      <t>https://drive.google.com/open?id=1CbOS7Ih15N12l7aQQr6LRg19SG4ELvJs</t>
    </r>
  </si>
  <si>
    <r>
      <rPr>
        <u/>
        <sz val="10"/>
        <color rgb="FF1155CC"/>
        <rFont val="Roboto"/>
      </rPr>
      <t>https://drive.google.com/open?id=1XJtGAYi4gV_tUjGqCb4qaJgZrocDfhK7</t>
    </r>
  </si>
  <si>
    <r>
      <rPr>
        <u/>
        <sz val="10"/>
        <color rgb="FF1155CC"/>
        <rFont val="Roboto"/>
      </rPr>
      <t>https://drive.google.com/open?id=1JA1dW5iyyPPemuvxqK2A0tyzl0ny3Ne5</t>
    </r>
  </si>
  <si>
    <t>K22404B</t>
  </si>
  <si>
    <t>PHÂN TÍCH RỦI RO TÍN DỤNG TRONG CHO VAY ĐỐI VỚI KHÁCH HÀNG CÁ NHÂN TẠI NGÂN HÀNG TMCP QUÂN ĐỘI</t>
  </si>
  <si>
    <r>
      <rPr>
        <u/>
        <sz val="10"/>
        <color rgb="FF1155CC"/>
        <rFont val="Roboto"/>
      </rPr>
      <t>https://drive.google.com/open?id=103oK0IerRySjAnLiaL47mSiSpfyjooel</t>
    </r>
  </si>
  <si>
    <r>
      <rPr>
        <u/>
        <sz val="10"/>
        <color rgb="FF1155CC"/>
        <rFont val="Roboto"/>
      </rPr>
      <t>https://drive.google.com/open?id=1ZWhOc-X1aKT5mRD1nEbFPIBYI0FjCpqu</t>
    </r>
  </si>
  <si>
    <r>
      <rPr>
        <u/>
        <sz val="10"/>
        <color rgb="FF1155CC"/>
        <rFont val="Roboto"/>
      </rPr>
      <t>https://drive.google.com/open?id=1N2PLUOAqwTUASn7HQFeiVTcl-IyWvKt3</t>
    </r>
  </si>
  <si>
    <t>NGHIÊN CỨU ẢNH HƯỞNG CỦA HẬU QUẢ THIÊN TAI VÀ QUY MÔ VỐN CHỦ SỞ HỮU ĐẾN KẾT QUẢ KINH DOANH CỦA NGÂN HÀNG THƯƠNG MẠI VIỆT NAM</t>
  </si>
  <si>
    <r>
      <rPr>
        <u/>
        <sz val="10"/>
        <color rgb="FF1155CC"/>
        <rFont val="Roboto"/>
      </rPr>
      <t>https://drive.google.com/open?id=1JX96BlzyjUrS8o0iXzC143_ZSof5jmcc</t>
    </r>
  </si>
  <si>
    <r>
      <rPr>
        <u/>
        <sz val="10"/>
        <color rgb="FF1155CC"/>
        <rFont val="Roboto"/>
      </rPr>
      <t>https://drive.google.com/open?id=175ah4OS1dH1vEEh3973W2Sod54tg2N_M</t>
    </r>
  </si>
  <si>
    <r>
      <rPr>
        <u/>
        <sz val="10"/>
        <color rgb="FF1155CC"/>
        <rFont val="Roboto"/>
      </rPr>
      <t>https://drive.google.com/open?id=1kAnBen-b24RO3TRnscOuVW6ialw1137Z</t>
    </r>
  </si>
  <si>
    <t>HOẠT ĐỘNG MÔI GIỚI CHỨNG KHOÁN TẠI CTCP CHỨNG KHOÁN FPT – CHI NHÁNH TP.HCM</t>
  </si>
  <si>
    <r>
      <rPr>
        <u/>
        <sz val="10"/>
        <color rgb="FF1155CC"/>
        <rFont val="Roboto"/>
      </rPr>
      <t>https://drive.google.com/open?id=1s4oiVLIf4obBxaksvoCKwr6sgYmDAPkM</t>
    </r>
  </si>
  <si>
    <r>
      <rPr>
        <u/>
        <sz val="10"/>
        <color rgb="FF1155CC"/>
        <rFont val="Roboto"/>
      </rPr>
      <t>https://drive.google.com/open?id=105a4S3aaBiFP1tQKzwDx_-FzuKmu8CpX</t>
    </r>
  </si>
  <si>
    <r>
      <rPr>
        <u/>
        <sz val="10"/>
        <color rgb="FF1155CC"/>
        <rFont val="Roboto"/>
      </rPr>
      <t>https://drive.google.com/open?id=1umz86pzePrjwMfVkCPRuhG83YEhtOH0R</t>
    </r>
  </si>
  <si>
    <t>Hoạt động cho vay mua nhà dự án tại Ngân hàng Phát triển Thành phố Hồ Chí Minh - PGD Linh Đông</t>
  </si>
  <si>
    <r>
      <rPr>
        <u/>
        <sz val="10"/>
        <color rgb="FF1155CC"/>
        <rFont val="Roboto"/>
      </rPr>
      <t>https://drive.google.com/open?id=1nmo86xxLFnP7BolDDcSIBSjsYr23dU6C</t>
    </r>
  </si>
  <si>
    <r>
      <rPr>
        <u/>
        <sz val="10"/>
        <color rgb="FF1155CC"/>
        <rFont val="Roboto"/>
      </rPr>
      <t>https://drive.google.com/open?id=1jmU7oJnnElXloGnlw-7dDc69tyF-ae0I</t>
    </r>
  </si>
  <si>
    <r>
      <rPr>
        <u/>
        <sz val="10"/>
        <color rgb="FF1155CC"/>
        <rFont val="Roboto"/>
      </rPr>
      <t>https://drive.google.com/open?id=1x_wwQ-zyWuXv8F1IIKx9k-S43hGuHyct</t>
    </r>
  </si>
  <si>
    <t>Các yếu tố ảnh hưởng đến hiệu quả hoạt động kinh doanh của các Ngân hàng Thương mại tại Việt Nam giai đoạn 2020 - 2025</t>
  </si>
  <si>
    <r>
      <rPr>
        <u/>
        <sz val="10"/>
        <color rgb="FF1155CC"/>
        <rFont val="Roboto"/>
      </rPr>
      <t>https://drive.google.com/open?id=16yJRPH7xdPv5LdWfjjn_vkDWrDonvFcg</t>
    </r>
  </si>
  <si>
    <r>
      <rPr>
        <u/>
        <sz val="10"/>
        <color rgb="FF1155CC"/>
        <rFont val="Roboto"/>
      </rPr>
      <t>https://drive.google.com/open?id=1yc3kvivnJknGCinps6-sFUQl21OMyXNa</t>
    </r>
  </si>
  <si>
    <r>
      <rPr>
        <u/>
        <sz val="10"/>
        <color rgb="FF1155CC"/>
        <rFont val="Roboto"/>
      </rPr>
      <t>https://drive.google.com/open?id=1mM__55Wnqq1ZI4dIz_KFcRbeHbyHs5fd</t>
    </r>
  </si>
  <si>
    <t>CURRENT STATUS AND DEVELOPMENT ORIENTATIONS OF RETAIL BANKING SERVICES AT FORTUNE VIETNAM JOINT STOCK COMMERCIAL BANK – HO CHI MINH CITY BRANCH – THU DUC LARGE TRANSACTION OFFICE</t>
  </si>
  <si>
    <r>
      <rPr>
        <u/>
        <sz val="10"/>
        <color rgb="FF1155CC"/>
        <rFont val="Roboto"/>
      </rPr>
      <t>https://drive.google.com/open?id=1eLhhAP7GQ6kez47gCIPsmrzFy4JRsyg7</t>
    </r>
  </si>
  <si>
    <r>
      <rPr>
        <u/>
        <sz val="10"/>
        <color rgb="FF1155CC"/>
        <rFont val="Roboto"/>
      </rPr>
      <t>https://drive.google.com/open?id=1Se8NluBSh4Jx5-kDFRrc8Y_rTaheX-I-</t>
    </r>
  </si>
  <si>
    <r>
      <rPr>
        <u/>
        <sz val="10"/>
        <color rgb="FF1155CC"/>
        <rFont val="Roboto"/>
      </rPr>
      <t>https://drive.google.com/open?id=1t99aM9J-xZZlOrLhBpQueiuG88d7I2AF</t>
    </r>
  </si>
  <si>
    <t>Hoạt động phát hành và quản lý thẻ tín dụng tại Ngân hàng TMCP Kỹ Thương Việt Nam (Techcombank).</t>
  </si>
  <si>
    <r>
      <rPr>
        <u/>
        <sz val="10"/>
        <color rgb="FF1155CC"/>
        <rFont val="Roboto"/>
      </rPr>
      <t>https://drive.google.com/open?id=19FKMD2bAELbikgRSremy4og5E8VNTP8x</t>
    </r>
  </si>
  <si>
    <r>
      <rPr>
        <u/>
        <sz val="10"/>
        <color rgb="FF1155CC"/>
        <rFont val="Roboto"/>
      </rPr>
      <t>https://drive.google.com/open?id=10mMJ_o8SFpWVUhVYECxL3FV7k7s68tIQ</t>
    </r>
  </si>
  <si>
    <r>
      <rPr>
        <u/>
        <sz val="10"/>
        <color rgb="FF1155CC"/>
        <rFont val="Roboto"/>
      </rPr>
      <t>https://drive.google.com/open?id=1og9vzEHpVyUdPZHHPhxiXipcZpj3WeYL</t>
    </r>
  </si>
  <si>
    <t>vanan2972004@gmail.com</t>
  </si>
  <si>
    <t>PHÂN TÍCH TÌNH HÌNH TÀI CHÍNH THEO MÔ HÌNH CAMEL VÀ ĐỊNH GIÁ NGÂN HÀNG THƯƠNG MẠI CỔ PHẦN CÔNG THƯƠNG VIỆT NAM ( VIETINBANK - CTG)</t>
  </si>
  <si>
    <r>
      <rPr>
        <u/>
        <sz val="10"/>
        <color rgb="FF1155CC"/>
        <rFont val="Roboto"/>
      </rPr>
      <t>https://drive.google.com/open?id=1U7UO4PV0AasvGV1m0QX2wSyzQW8MKRzS</t>
    </r>
  </si>
  <si>
    <r>
      <rPr>
        <u/>
        <sz val="10"/>
        <color rgb="FF1155CC"/>
        <rFont val="Roboto"/>
      </rPr>
      <t>https://drive.google.com/open?id=12xzHO5UXrZ8wzzy7ZE9ybJRu9dmVrEKJ</t>
    </r>
  </si>
  <si>
    <r>
      <rPr>
        <u/>
        <sz val="10"/>
        <color rgb="FF1155CC"/>
        <rFont val="Roboto"/>
      </rPr>
      <t>https://drive.google.com/open?id=1CPlno33ntO4-oYOMTFqj3rwBoxAu9ZK1</t>
    </r>
  </si>
  <si>
    <t>LENDING ACTIVITIES TO BUSINESS CUSTOMERS AT VIETNAM JOINT STOCK COMMERCIAL BANK FOR INDUSTRY AND TRADE (VIETINBANK) - TAN BINH BRANCH</t>
  </si>
  <si>
    <r>
      <rPr>
        <u/>
        <sz val="10"/>
        <color rgb="FF1155CC"/>
        <rFont val="Roboto"/>
      </rPr>
      <t>https://drive.google.com/open?id=1Me5NZhosRZ3RgEd1GW7z8sgWSxbzJhMd</t>
    </r>
  </si>
  <si>
    <r>
      <rPr>
        <u/>
        <sz val="10"/>
        <color rgb="FF1155CC"/>
        <rFont val="Roboto"/>
      </rPr>
      <t>https://drive.google.com/open?id=1NEsWCVb3UcMENpqWqNjzqNRSXNjmHlK8</t>
    </r>
  </si>
  <si>
    <r>
      <rPr>
        <u/>
        <sz val="10"/>
        <color rgb="FF1155CC"/>
        <rFont val="Roboto"/>
      </rPr>
      <t>https://drive.google.com/open?id=1mb29uPVkM8z7pc79EkFjuRJYk7x_NsH1</t>
    </r>
  </si>
  <si>
    <t>ĐÁNH GIÁ HIỆU QUẢ HOẠT ĐỘNG TÍN DỤNG CỦA KHÁCH HÀNG CÁ NHÂN TẠI NGÂN HÀNG THƯƠNG MẠI CỔ PHẦN HÀNG HẢI VIỆT NAM</t>
  </si>
  <si>
    <r>
      <rPr>
        <u/>
        <sz val="10"/>
        <color rgb="FF1155CC"/>
        <rFont val="Roboto"/>
      </rPr>
      <t>https://drive.google.com/open?id=1JL_2OfpLxnI03CVCjIVrp_rWj5dCf4Ti</t>
    </r>
  </si>
  <si>
    <r>
      <rPr>
        <u/>
        <sz val="10"/>
        <color rgb="FF1155CC"/>
        <rFont val="Roboto"/>
      </rPr>
      <t>https://drive.google.com/open?id=1Rc2lmFzMPm4Ok6YmM0v13J2-BOOapnD2</t>
    </r>
  </si>
  <si>
    <r>
      <rPr>
        <u/>
        <sz val="10"/>
        <color rgb="FF1155CC"/>
        <rFont val="Roboto"/>
      </rPr>
      <t>https://drive.google.com/open?id=1dZJp67oIfFFhxhB1EHy7S4wZpyxr28UN</t>
    </r>
  </si>
  <si>
    <t>ĐÁNH GIÁ NGHIỆP VỤ CHO VAY KHÁCH HÀNG DOANH NGHIỆP TẠI NGÂN HÀNG THƯƠNG MẠI CỔ PHẦN CÔNG THƯƠNG VIỆT NAM</t>
  </si>
  <si>
    <r>
      <rPr>
        <u/>
        <sz val="10"/>
        <color rgb="FF1155CC"/>
        <rFont val="Roboto"/>
      </rPr>
      <t>https://drive.google.com/open?id=10b8udHNiih-OMjduVv4YSKaoU7bVcgOr</t>
    </r>
  </si>
  <si>
    <r>
      <rPr>
        <u/>
        <sz val="10"/>
        <color rgb="FF1155CC"/>
        <rFont val="Roboto"/>
      </rPr>
      <t>https://drive.google.com/open?id=1VfZAZdDyFDbrn6cntHB16dFr7un62f0K</t>
    </r>
  </si>
  <si>
    <r>
      <rPr>
        <u/>
        <sz val="10"/>
        <color rgb="FF1155CC"/>
        <rFont val="Roboto"/>
      </rPr>
      <t>https://drive.google.com/open?id=14f_YNkYe_LsLaJyBmC2tu94dRi_oPArI</t>
    </r>
  </si>
  <si>
    <t>Phân tích sức khỏe tài chính của Ngân hàng Thương mại Cổ phần Kỹ thương Việt Nam theo khung CAMELS</t>
  </si>
  <si>
    <r>
      <rPr>
        <u/>
        <sz val="10"/>
        <color rgb="FF1155CC"/>
        <rFont val="Roboto"/>
      </rPr>
      <t>https://drive.google.com/open?id=1mjTc1JHntm-x-x_HKvEyEZVVcuOBJzRX</t>
    </r>
  </si>
  <si>
    <r>
      <rPr>
        <u/>
        <sz val="10"/>
        <color rgb="FF1155CC"/>
        <rFont val="Roboto"/>
      </rPr>
      <t>https://drive.google.com/open?id=15AT3Zfg1JfzM8LBKuZg-Cjm0Gl56FWpK</t>
    </r>
  </si>
  <si>
    <r>
      <rPr>
        <u/>
        <sz val="10"/>
        <color rgb="FF1155CC"/>
        <rFont val="Roboto"/>
      </rPr>
      <t>https://drive.google.com/open?id=1MUdAGbJj0eL-ot2y8B1P6yb935lzCsRY</t>
    </r>
  </si>
  <si>
    <t>Nguyyễn Thị Đức Hạnh</t>
  </si>
  <si>
    <t>Thiết kế và Đặc tả Quy trình Nghiệp vụ cho Hệ thống Quản lý đơn hàng và Xử lý khiếu nại trong Dự án Jollibee</t>
  </si>
  <si>
    <r>
      <rPr>
        <u/>
        <sz val="10"/>
        <color rgb="FF1155CC"/>
        <rFont val="Roboto"/>
      </rPr>
      <t>https://drive.google.com/open?id=1qSTffI8E7-YAm9smRZRKVFUei7AE-J4B</t>
    </r>
  </si>
  <si>
    <r>
      <rPr>
        <u/>
        <sz val="10"/>
        <color rgb="FF1155CC"/>
        <rFont val="Roboto"/>
      </rPr>
      <t>https://drive.google.com/open?id=1REuiEnhOT1X4epKiIThcTVouITmneatn</t>
    </r>
  </si>
  <si>
    <r>
      <rPr>
        <u/>
        <sz val="10"/>
        <color rgb="FF1155CC"/>
        <rFont val="Roboto"/>
      </rPr>
      <t>https://drive.google.com/open?id=1pNA9tbCw-yxcSFeIfOBz3dnPFvOtnNYd</t>
    </r>
  </si>
  <si>
    <t>ĐÁNH GIÁ HIỆU QUẢ HOẠT ĐỘNG TÍN DỤNG CỦA KHÁCH HÀNG CÁ NHÂN TẠI NGÂN HÀNG THƯƠNG MẠI CỔ PHẦN ĐẦU TƯ VÀ PHÁT TRIỂN VIỆT NAM</t>
  </si>
  <si>
    <r>
      <rPr>
        <u/>
        <sz val="10"/>
        <color rgb="FF1155CC"/>
        <rFont val="Roboto"/>
      </rPr>
      <t>https://drive.google.com/open?id=1l37yL0FdopI2WNkm53kmNvNvDB1YGrs1</t>
    </r>
  </si>
  <si>
    <r>
      <rPr>
        <u/>
        <sz val="10"/>
        <color rgb="FF1155CC"/>
        <rFont val="Roboto"/>
      </rPr>
      <t>https://drive.google.com/open?id=1Bm-bi4PptqDIHQQXV4273urDDEgkTYli</t>
    </r>
  </si>
  <si>
    <r>
      <rPr>
        <u/>
        <sz val="10"/>
        <color rgb="FF1155CC"/>
        <rFont val="Roboto"/>
      </rPr>
      <t>https://drive.google.com/open?id=18IgttavUvi4HQdMZ8dOtVP-NNbr_Uqi5</t>
    </r>
  </si>
  <si>
    <t>NÂNG CAO CHẤT LƯỢNG DỊCH VỤ KHÁCH HÀNG TẠI NGÂN HÀNG THƯƠNG MẠI CỔ PHẦN SÀI GÒN – HÀ NỘI – CHI NHÁNH QUẢNG NGÃI</t>
  </si>
  <si>
    <r>
      <rPr>
        <u/>
        <sz val="10"/>
        <color rgb="FF1155CC"/>
        <rFont val="Roboto"/>
      </rPr>
      <t>https://drive.google.com/open?id=1iZ6pdTYgqLQGN4RZIoKXYPnHqeRntFzX</t>
    </r>
  </si>
  <si>
    <r>
      <rPr>
        <u/>
        <sz val="10"/>
        <color rgb="FF1155CC"/>
        <rFont val="Roboto"/>
      </rPr>
      <t>https://drive.google.com/open?id=1RI1cqzoP_imh7l3aHSQtGSCz1PhUBM-I</t>
    </r>
  </si>
  <si>
    <r>
      <rPr>
        <u/>
        <sz val="10"/>
        <color rgb="FF1155CC"/>
        <rFont val="Roboto"/>
      </rPr>
      <t>https://drive.google.com/open?id=1g9JacU6s_xR1ar9T3jhPjp8RAo4E9PiE</t>
    </r>
  </si>
  <si>
    <t>K22404A</t>
  </si>
  <si>
    <t>Ảnh hưởng của sắc thái tin tức lên VNIndex</t>
  </si>
  <si>
    <r>
      <rPr>
        <u/>
        <sz val="10"/>
        <color rgb="FF1155CC"/>
        <rFont val="Roboto"/>
      </rPr>
      <t>https://drive.google.com/open?id=15TggY7xH8ibAjE31L5LQD94wijlVqPZ3</t>
    </r>
  </si>
  <si>
    <r>
      <rPr>
        <u/>
        <sz val="10"/>
        <color rgb="FF1155CC"/>
        <rFont val="Roboto"/>
      </rPr>
      <t>https://drive.google.com/open?id=1CjJ7anYeNT3mVc21i3jpMEiPjSg48fbN</t>
    </r>
  </si>
  <si>
    <r>
      <rPr>
        <u/>
        <sz val="10"/>
        <color rgb="FF1155CC"/>
        <rFont val="Roboto"/>
      </rPr>
      <t>https://drive.google.com/open?id=1hqufQh-q1vCWuf1DLSGukuzPyzGru-TE</t>
    </r>
  </si>
  <si>
    <t>Ứng dụng mô hình CAMEL phân tích hiệu quả hoạt động Ngân hàng TMCP Lộc Phát Việt Nam</t>
  </si>
  <si>
    <r>
      <rPr>
        <u/>
        <sz val="10"/>
        <color rgb="FF1155CC"/>
        <rFont val="Roboto"/>
      </rPr>
      <t>https://drive.google.com/open?id=13r7KE_9q7sCJsQRGbpeaCIC38amg4R_D</t>
    </r>
  </si>
  <si>
    <r>
      <rPr>
        <u/>
        <sz val="10"/>
        <color rgb="FF1155CC"/>
        <rFont val="Roboto"/>
      </rPr>
      <t>https://drive.google.com/open?id=1BblQeoochk0mB3GRaNzf87PAk6D9j2Bc</t>
    </r>
  </si>
  <si>
    <r>
      <rPr>
        <u/>
        <sz val="10"/>
        <color rgb="FF1155CC"/>
        <rFont val="Roboto"/>
      </rPr>
      <t>https://drive.google.com/open?id=1MKCVPoxnXw_GTRTi_o85ec9tcfeUe4Dh</t>
    </r>
  </si>
  <si>
    <t>phuongha190904@gmail.com</t>
  </si>
  <si>
    <t>HOME LOANS ACTIVITIES IN VIETNAM INVESMENT AND DEVELOPMENT BANK (BIDV) - DONG SAIGON BRANCH</t>
  </si>
  <si>
    <r>
      <rPr>
        <u/>
        <sz val="10"/>
        <color rgb="FF1155CC"/>
        <rFont val="Roboto"/>
      </rPr>
      <t>https://drive.google.com/open?id=1sZIsm4RK6pRDP50knhYGPS5zUrJkMTpp</t>
    </r>
  </si>
  <si>
    <r>
      <rPr>
        <u/>
        <sz val="10"/>
        <color rgb="FF1155CC"/>
        <rFont val="Roboto"/>
      </rPr>
      <t>https://drive.google.com/open?id=1BQ8a6fTQ_t0IL2QhtFGyuNAi8hDcAoVu</t>
    </r>
  </si>
  <si>
    <r>
      <rPr>
        <u/>
        <sz val="10"/>
        <color rgb="FF1155CC"/>
        <rFont val="Roboto"/>
      </rPr>
      <t>https://drive.google.com/open?id=1PabGAOdkTYkN24bISK9lcl7A6aHD0j15</t>
    </r>
  </si>
  <si>
    <t>ĐÁNH GIÁ HOẠT ĐỘNG CỦA NGÂN HÀNG THƯƠNG MẠI CỔ PHẦN QUỐC TẾ VIỆT NAM - VIB THEO MÔ HÌNH CAMEL</t>
  </si>
  <si>
    <r>
      <rPr>
        <u/>
        <sz val="10"/>
        <color rgb="FF1155CC"/>
        <rFont val="Roboto"/>
      </rPr>
      <t>https://drive.google.com/open?id=1VwgVuKhYCCzOe0dYrugm7mryKWSInPG2</t>
    </r>
  </si>
  <si>
    <r>
      <rPr>
        <u/>
        <sz val="10"/>
        <color rgb="FF1155CC"/>
        <rFont val="Roboto"/>
      </rPr>
      <t>https://drive.google.com/open?id=1H2v3Ug63VNP27c9F8cv6Hiys9NuNaT9g</t>
    </r>
  </si>
  <si>
    <r>
      <rPr>
        <u/>
        <sz val="10"/>
        <color rgb="FF1155CC"/>
        <rFont val="Roboto"/>
      </rPr>
      <t>https://drive.google.com/open?id=1oaMLvCcQm3xu7RNp4wulPzXpsuCe6-X1</t>
    </r>
  </si>
  <si>
    <t>THE IMPACT OF FINANCIAL LEVERAGE ON FINANCIAL PERFORMANCE: EMPIRICAL EVIDENCE FROM NON-FINANCIAL VN100 QUOTED COMPANIES ON VIETNAM STOCK EXCHANGE</t>
  </si>
  <si>
    <r>
      <rPr>
        <u/>
        <sz val="10"/>
        <color rgb="FF1155CC"/>
        <rFont val="Roboto"/>
      </rPr>
      <t>https://drive.google.com/open?id=1A3THuJSMXsVHjhKJUKE1ikhCXL9pZsur</t>
    </r>
  </si>
  <si>
    <r>
      <rPr>
        <u/>
        <sz val="10"/>
        <color rgb="FF1155CC"/>
        <rFont val="Roboto"/>
      </rPr>
      <t>https://drive.google.com/open?id=141_-kXZhe8-guaLC9XlJfjy4g7UpiwDe</t>
    </r>
  </si>
  <si>
    <r>
      <rPr>
        <u/>
        <sz val="10"/>
        <color rgb="FF1155CC"/>
        <rFont val="Roboto"/>
      </rPr>
      <t>https://drive.google.com/open?id=1FipNb5z-IYtX_ZezzBwwqOCYhD1eoa7m</t>
    </r>
  </si>
  <si>
    <t>PHÂN TÍCH HOẠT ĐỘNG CHO VAY MUA BẤT ĐỘNG SẢN DÀNH CHO KHÁCH HÀNG CÁ NHÂN TẠI NGÂN HÀNG TNHH MTV WOORI VIỆT NAM – CHI NHÁNH PHÚ MỸ HƯNG</t>
  </si>
  <si>
    <r>
      <rPr>
        <u/>
        <sz val="10"/>
        <color rgb="FF1155CC"/>
        <rFont val="Roboto"/>
      </rPr>
      <t>https://drive.google.com/open?id=1iB0zo7NjpB0GO-IG8F9E4Kz6tw1D_GYO</t>
    </r>
  </si>
  <si>
    <r>
      <rPr>
        <u/>
        <sz val="10"/>
        <color rgb="FF1155CC"/>
        <rFont val="Roboto"/>
      </rPr>
      <t>https://drive.google.com/open?id=1mH5hPf3lfKfPvnga5jCmoS_4dT6k5ywr</t>
    </r>
  </si>
  <si>
    <r>
      <rPr>
        <u/>
        <sz val="10"/>
        <color rgb="FF1155CC"/>
        <rFont val="Roboto"/>
      </rPr>
      <t>https://drive.google.com/open?id=1pXc38zh5dtxij0BDX085kp2P2MzQW1qn</t>
    </r>
  </si>
  <si>
    <t>Phân tích và định giá cổ phiếu Công ty Cổ phần Tập đoàn Hoa Sen</t>
  </si>
  <si>
    <r>
      <rPr>
        <u/>
        <sz val="10"/>
        <color rgb="FF1155CC"/>
        <rFont val="Roboto"/>
      </rPr>
      <t>https://drive.google.com/open?id=1I5mkYjFm_I_LSN32Y5O5Nk7HVdFqwJGz</t>
    </r>
  </si>
  <si>
    <r>
      <rPr>
        <u/>
        <sz val="10"/>
        <color rgb="FF1155CC"/>
        <rFont val="Roboto"/>
      </rPr>
      <t>https://drive.google.com/open?id=1qAgTbM7pMW7CSyCZdOsNX5mgKsZS8v53</t>
    </r>
  </si>
  <si>
    <r>
      <rPr>
        <u/>
        <sz val="10"/>
        <color rgb="FF1155CC"/>
        <rFont val="Roboto"/>
      </rPr>
      <t>https://drive.google.com/open?id=1kYFMCsLvLd1EFB_YNHoCdtJ7xpNHVq76</t>
    </r>
  </si>
  <si>
    <t>CÁC NHÂN TỐ ẢNH HƯỞNG ĐẾN TỶ SUẤT SINH LỜI: TRƯỜNG HỢP CÁC NGÂN HÀNG THƯƠNG MẠI VIỆT NAM</t>
  </si>
  <si>
    <r>
      <rPr>
        <u/>
        <sz val="10"/>
        <color rgb="FF1155CC"/>
        <rFont val="Roboto"/>
      </rPr>
      <t>https://drive.google.com/open?id=1U5otVB2mBoPSlPqTQ7Eh0FQ0CKXNX1sK</t>
    </r>
  </si>
  <si>
    <r>
      <rPr>
        <u/>
        <sz val="10"/>
        <color rgb="FF1155CC"/>
        <rFont val="Roboto"/>
      </rPr>
      <t>https://drive.google.com/open?id=1vWtNWh1JBUfFb2hPwpkeo8btmYwPc0tS</t>
    </r>
  </si>
  <si>
    <r>
      <rPr>
        <u/>
        <sz val="10"/>
        <color rgb="FF1155CC"/>
        <rFont val="Roboto"/>
      </rPr>
      <t>https://drive.google.com/open?id=1-bTl9M8dRlvV1k4yv6lh_LTa9zNnv27i</t>
    </r>
  </si>
  <si>
    <t>Các yếu tố ảnh hưởng đến khả năng sinh lời của các ngân hàng thương mại Việt Nam giai đoạn 2020-2024</t>
  </si>
  <si>
    <r>
      <rPr>
        <u/>
        <sz val="10"/>
        <color rgb="FF1155CC"/>
        <rFont val="Roboto"/>
      </rPr>
      <t>https://drive.google.com/open?id=1tfxblmVBuLrfJ4GwwdGicoArQ7CmZb3Q</t>
    </r>
  </si>
  <si>
    <r>
      <rPr>
        <u/>
        <sz val="10"/>
        <color rgb="FF1155CC"/>
        <rFont val="Roboto"/>
      </rPr>
      <t>https://drive.google.com/open?id=1kRxD1s1CsvTZk9m3bLSApfdAuMlSpYEB</t>
    </r>
  </si>
  <si>
    <r>
      <rPr>
        <u/>
        <sz val="10"/>
        <color rgb="FF1155CC"/>
        <rFont val="Roboto"/>
      </rPr>
      <t>https://drive.google.com/open?id=1jLASRRonxh69lszOjDeikVavOpYGVWAA</t>
    </r>
  </si>
  <si>
    <t>Phân tích hiệu quả hoạt động của Ngân hàng TMCP Đầu tư và Phát triển Việt Nam (BIDV) theo mô hình CAMEL</t>
  </si>
  <si>
    <r>
      <rPr>
        <u/>
        <sz val="10"/>
        <color rgb="FF1155CC"/>
        <rFont val="Roboto"/>
      </rPr>
      <t>https://drive.google.com/open?id=1iK83x2bZtPj6h4jZwzkEZ3KYygpQfFwl</t>
    </r>
  </si>
  <si>
    <r>
      <rPr>
        <u/>
        <sz val="10"/>
        <color rgb="FF1155CC"/>
        <rFont val="Roboto"/>
      </rPr>
      <t>https://drive.google.com/open?id=1_IuTBph6b0LcuRdz2m8PoC4-CcNMSxWs</t>
    </r>
  </si>
  <si>
    <r>
      <rPr>
        <u/>
        <sz val="10"/>
        <color rgb="FF1155CC"/>
        <rFont val="Roboto"/>
      </rPr>
      <t>https://drive.google.com/open?id=1_iQRiwwumGLTo6AqreuaufMBZlP7RD7T</t>
    </r>
  </si>
  <si>
    <t>Evaluating the performance of lending and capital mobilization at Viet Nam Thuong Tin Joint Stock Commercial Bank.</t>
  </si>
  <si>
    <r>
      <rPr>
        <u/>
        <sz val="10"/>
        <color rgb="FF1155CC"/>
        <rFont val="Roboto"/>
      </rPr>
      <t>https://drive.google.com/open?id=1MU3m7L2_Y96zIbwGwgqV8rzOMwXVON8Y</t>
    </r>
  </si>
  <si>
    <r>
      <rPr>
        <u/>
        <sz val="10"/>
        <color rgb="FF1155CC"/>
        <rFont val="Roboto"/>
      </rPr>
      <t>https://drive.google.com/open?id=1bZGCiT0RJPsOHLgyfOu2vecfRze4hWHz</t>
    </r>
  </si>
  <si>
    <r>
      <rPr>
        <u/>
        <sz val="10"/>
        <color rgb="FF1155CC"/>
        <rFont val="Roboto"/>
      </rPr>
      <t>https://drive.google.com/open?id=1k44-Gx5UK4TiIxeWJco35Fsm85dKVfl-</t>
    </r>
  </si>
  <si>
    <t>GEOPOLITICAL RISK AND FIRM MARKET VALUE: EVIDENCE FROM NON-FINANCIAL FIRMS LISTED ON THE HO CHI MINH STOCK EXCHANGE</t>
  </si>
  <si>
    <r>
      <rPr>
        <u/>
        <sz val="10"/>
        <color rgb="FF1155CC"/>
        <rFont val="Roboto"/>
      </rPr>
      <t>https://drive.google.com/open?id=1XgPJJps6YjUqeTSH7-cvSBF4cn7MAL6L</t>
    </r>
  </si>
  <si>
    <r>
      <rPr>
        <u/>
        <sz val="10"/>
        <color rgb="FF1155CC"/>
        <rFont val="Roboto"/>
      </rPr>
      <t>https://drive.google.com/open?id=1pqLAfJ_Q3YPlJ6gaoAeh_ztGlBawgr8T</t>
    </r>
  </si>
  <si>
    <r>
      <rPr>
        <u/>
        <sz val="10"/>
        <color rgb="FF1155CC"/>
        <rFont val="Roboto"/>
      </rPr>
      <t>https://drive.google.com/open?id=14OhxDkwzdczKdzq32dlHyv5DV_936xVx</t>
    </r>
  </si>
  <si>
    <t>Hoạt động cho vay tại Ngân hàng TMCP Công Thương Việt Nam</t>
  </si>
  <si>
    <r>
      <rPr>
        <u/>
        <sz val="10"/>
        <color rgb="FF1155CC"/>
        <rFont val="Roboto"/>
      </rPr>
      <t>https://drive.google.com/open?id=1GMKi27W402pNU3CrBEnSCQLu_p0ji-pR</t>
    </r>
  </si>
  <si>
    <r>
      <rPr>
        <u/>
        <sz val="10"/>
        <color rgb="FF1155CC"/>
        <rFont val="Roboto"/>
      </rPr>
      <t>https://drive.google.com/open?id=190I0S-n6-6cjhjBmn5JpP7jJLMXuxqxG</t>
    </r>
  </si>
  <si>
    <r>
      <rPr>
        <u/>
        <sz val="10"/>
        <color rgb="FF1155CC"/>
        <rFont val="Roboto"/>
      </rPr>
      <t>https://drive.google.com/open?id=1WlMWiWqDejnN1ClMkYOfyTJi62rkmelN</t>
    </r>
  </si>
  <si>
    <t>Business Process for Corporate Advisory Services at RSM Vietnam Auditing and Consulting Company Limited</t>
  </si>
  <si>
    <r>
      <rPr>
        <u/>
        <sz val="10"/>
        <color rgb="FF1155CC"/>
        <rFont val="Roboto"/>
      </rPr>
      <t>https://drive.google.com/open?id=1lWdhnmAWPngdLwgTOIV1Yx-0PGI3WZpq</t>
    </r>
  </si>
  <si>
    <r>
      <rPr>
        <u/>
        <sz val="10"/>
        <color rgb="FF1155CC"/>
        <rFont val="Roboto"/>
      </rPr>
      <t>https://drive.google.com/open?id=1xB25eZbaj9Vaiw8nveptDisOGPbc3JXd</t>
    </r>
  </si>
  <si>
    <r>
      <rPr>
        <u/>
        <sz val="10"/>
        <color rgb="FF1155CC"/>
        <rFont val="Roboto"/>
      </rPr>
      <t>https://drive.google.com/open?id=130tVetMfKdHLcfMeMUIkEsc2grAXxOvL</t>
    </r>
  </si>
  <si>
    <t>HOẠT ĐỘNG HUY ĐỘNG VỐN BẰNG TIỀN GỬI TẠI NGÂN HÀNG THƯƠNG MẠI CỔ PHẦN ĐẦU TƯ VÀ PHÁT TRIỂN VIỆT NAM</t>
  </si>
  <si>
    <r>
      <rPr>
        <u/>
        <sz val="10"/>
        <color rgb="FF1155CC"/>
        <rFont val="Roboto"/>
      </rPr>
      <t>https://drive.google.com/open?id=1_G6hWX8unQ9Igl9lGAqaEA_I8IedYI3z</t>
    </r>
  </si>
  <si>
    <r>
      <rPr>
        <u/>
        <sz val="10"/>
        <color rgb="FF1155CC"/>
        <rFont val="Roboto"/>
      </rPr>
      <t>https://drive.google.com/open?id=1bMwI81yjtrBruUn1600VoY9sbVL6Ft1c</t>
    </r>
  </si>
  <si>
    <r>
      <rPr>
        <u/>
        <sz val="10"/>
        <color rgb="FF1155CC"/>
        <rFont val="Roboto"/>
      </rPr>
      <t>https://drive.google.com/open?id=1n9mTR-JPcaAMsbSqKWLbR3yxgierLPRW</t>
    </r>
  </si>
  <si>
    <t>PHÂN TÍCH RỦI RO TÍN DỤNG NGÂN HÀNG THƯƠNG MẠI CỔ PHẦN NGOẠI THƯƠNG VIỆT NAM</t>
  </si>
  <si>
    <r>
      <rPr>
        <u/>
        <sz val="10"/>
        <color rgb="FF1155CC"/>
        <rFont val="Roboto"/>
      </rPr>
      <t>https://drive.google.com/open?id=1dMG2QJKILwZAJtkVjUhhf4Ho8uentQe8</t>
    </r>
  </si>
  <si>
    <r>
      <rPr>
        <u/>
        <sz val="10"/>
        <color rgb="FF1155CC"/>
        <rFont val="Roboto"/>
      </rPr>
      <t>https://drive.google.com/open?id=1TYkS_Unt3lQ6V_TeuK0q8IKzXAl_0xJ_</t>
    </r>
  </si>
  <si>
    <r>
      <rPr>
        <u/>
        <sz val="10"/>
        <color rgb="FF1155CC"/>
        <rFont val="Roboto"/>
      </rPr>
      <t>https://drive.google.com/open?id=1VeKQ857RLf7ODcDvgTW9Pj8lE97TjDxW</t>
    </r>
  </si>
  <si>
    <t>Application of the CAMELS Model in Evaluating the business performance and financial safety of Joint stock commercial bank for foreign trade of Vietnam (Vietcombank)</t>
  </si>
  <si>
    <r>
      <rPr>
        <u/>
        <sz val="10"/>
        <color rgb="FF1155CC"/>
        <rFont val="Roboto"/>
      </rPr>
      <t>https://drive.google.com/open?id=1mwX5Plfl0X6wz-Wcg82cz1cMNja9AuzS</t>
    </r>
  </si>
  <si>
    <r>
      <rPr>
        <u/>
        <sz val="10"/>
        <color rgb="FF1155CC"/>
        <rFont val="Roboto"/>
      </rPr>
      <t>https://drive.google.com/open?id=1D9P96uMbk6U0vtzM8x8ZJGS0i4ENDkiR</t>
    </r>
  </si>
  <si>
    <r>
      <rPr>
        <u/>
        <sz val="10"/>
        <color rgb="FF1155CC"/>
        <rFont val="Roboto"/>
      </rPr>
      <t>https://drive.google.com/open?id=1HA7NGCMt3pcS2y_zLsH0OdccrPcCBKvi</t>
    </r>
  </si>
  <si>
    <t>Đánh giá hiệu quả hoạt động của Ngân hàng TMCP Việt Nam Thịnh Vượng (VPBank) thông qua mô hình CAMELS giai đoạn 2020-2024</t>
  </si>
  <si>
    <r>
      <rPr>
        <u/>
        <sz val="10"/>
        <color rgb="FF1155CC"/>
        <rFont val="Roboto"/>
      </rPr>
      <t>https://drive.google.com/open?id=1TCNu4QkCZ0O6G5m952IipJbKkehRZrS3</t>
    </r>
  </si>
  <si>
    <r>
      <rPr>
        <u/>
        <sz val="10"/>
        <color rgb="FF1155CC"/>
        <rFont val="Roboto"/>
      </rPr>
      <t>https://drive.google.com/open?id=1ZMHwEybCqypl323UzQpLLYAhA_R8fFOH</t>
    </r>
  </si>
  <si>
    <r>
      <rPr>
        <u/>
        <sz val="10"/>
        <color rgb="FF1155CC"/>
        <rFont val="Roboto"/>
      </rPr>
      <t>https://drive.google.com/open?id=1Twp5KMaybRTAQPI1iaKuoE1QXLkAeG1R</t>
    </r>
  </si>
  <si>
    <t>hoangnn20404a@st.uel.edu.vn</t>
  </si>
  <si>
    <t>K20412</t>
  </si>
  <si>
    <t>CHẤT LƯỢNG TÍN DỤNG TẠI NGÂN HÀNG THƯƠNG MẠI CỔ PHẦN TIÊN PHONG</t>
  </si>
  <si>
    <r>
      <rPr>
        <u/>
        <sz val="10"/>
        <color rgb="FF1155CC"/>
        <rFont val="Roboto"/>
      </rPr>
      <t>https://drive.google.com/open?id=1whTvza9uJDF0iQaw3_1tHubdv4LzUPKB</t>
    </r>
  </si>
  <si>
    <r>
      <rPr>
        <u/>
        <sz val="10"/>
        <color rgb="FF1155CC"/>
        <rFont val="Roboto"/>
      </rPr>
      <t>https://drive.google.com/open?id=1exBYferXs8GDoXsp3oSySpjuWbw1PuLw</t>
    </r>
  </si>
  <si>
    <r>
      <rPr>
        <u/>
        <sz val="10"/>
        <color rgb="FF1155CC"/>
        <rFont val="Roboto"/>
      </rPr>
      <t>https://drive.google.com/open?id=1R2R8DzZbBcqOL63X15nXHu8GyfCtjLWW</t>
    </r>
  </si>
  <si>
    <t>CÁC YẾU TỐ ẢNH HƯỞNG ĐẾN TỶ LỆ AN TOÀN VỐN CỦA CÁC NGÂN HÀNG THƯƠNG MẠI CỔ PHẦN TẠI VIỆT NAM</t>
  </si>
  <si>
    <r>
      <rPr>
        <u/>
        <sz val="10"/>
        <color rgb="FF1155CC"/>
        <rFont val="Roboto"/>
      </rPr>
      <t>https://drive.google.com/open?id=1RqcfWBXUyx1lC4AJlb36lnDHFMu8xFD5</t>
    </r>
  </si>
  <si>
    <r>
      <rPr>
        <u/>
        <sz val="10"/>
        <color rgb="FF1155CC"/>
        <rFont val="Roboto"/>
      </rPr>
      <t>https://drive.google.com/open?id=1d36qJBv7FCLFzPc8ZT9r2q2OqoJTNxFT</t>
    </r>
  </si>
  <si>
    <r>
      <rPr>
        <u/>
        <sz val="10"/>
        <color rgb="FF1155CC"/>
        <rFont val="Roboto"/>
      </rPr>
      <t>https://drive.google.com/open?id=1P2qw0kC1jGp2PTeOxyo1m9lpF18cb-hf</t>
    </r>
  </si>
  <si>
    <t>thuhuongpham372004@gmail.com</t>
  </si>
  <si>
    <t>TÁC ĐỘNG CỦA RỦI RO TÍN DỤNG ĐẾN HIỆU QUẢ HOẠT ĐỘNG CỦA CÁC NGÂN HÀNG THƯƠNG MẠI VIỆT NAM</t>
  </si>
  <si>
    <r>
      <rPr>
        <u/>
        <sz val="10"/>
        <color rgb="FF1155CC"/>
        <rFont val="Roboto"/>
      </rPr>
      <t>https://drive.google.com/open?id=1dYOgWe1O-pyV-W0m0pILHFhCQZcmmVgg</t>
    </r>
  </si>
  <si>
    <r>
      <rPr>
        <u/>
        <sz val="10"/>
        <color rgb="FF1155CC"/>
        <rFont val="Roboto"/>
      </rPr>
      <t>https://drive.google.com/open?id=1KigMMAlwde4wGmBoNnh6pADQ0EL_IIhd</t>
    </r>
  </si>
  <si>
    <r>
      <rPr>
        <u/>
        <sz val="10"/>
        <color rgb="FF1155CC"/>
        <rFont val="Roboto"/>
      </rPr>
      <t>https://drive.google.com/open?id=1_qlDJu7RDy76WqFQPKygbv1sfa3BDghp</t>
    </r>
  </si>
  <si>
    <t>Ảnh hưởng của việc thực hiện ESG đến hiệu quả tài chính của các ngân hàng thương mại Việt Nam.</t>
  </si>
  <si>
    <r>
      <rPr>
        <u/>
        <sz val="10"/>
        <color rgb="FF1155CC"/>
        <rFont val="Roboto"/>
      </rPr>
      <t>https://drive.google.com/open?id=1U81-6aItbXb6_QtL4K-OL88rSEAe-7g4</t>
    </r>
  </si>
  <si>
    <r>
      <rPr>
        <u/>
        <sz val="10"/>
        <color rgb="FF1155CC"/>
        <rFont val="Roboto"/>
      </rPr>
      <t>https://drive.google.com/open?id=1rKRBkLXC-0n61mI_Dj7YGwgNphfDFM4l</t>
    </r>
  </si>
  <si>
    <r>
      <rPr>
        <u/>
        <sz val="10"/>
        <color rgb="FF1155CC"/>
        <rFont val="Roboto"/>
      </rPr>
      <t>https://drive.google.com/open?id=1C1DYe35buiCe02jhcsudyziRCb-mhwwz</t>
    </r>
  </si>
  <si>
    <t>Determinants of commercial bank performance in Vietnam: a comparative analysis between state-owned and private joint-stock commercial banks (2015–2024)</t>
  </si>
  <si>
    <r>
      <rPr>
        <u/>
        <sz val="10"/>
        <color rgb="FF1155CC"/>
        <rFont val="Roboto"/>
      </rPr>
      <t>https://drive.google.com/open?id=1-bjF8npaSCQ5_i8t3zCJewHrRiI_4NRX</t>
    </r>
  </si>
  <si>
    <r>
      <rPr>
        <u/>
        <sz val="10"/>
        <color rgb="FF1155CC"/>
        <rFont val="Roboto"/>
      </rPr>
      <t>https://drive.google.com/open?id=1Z3utG1aCFD_MbPGGSlJM5ZWvY7b0DZjp</t>
    </r>
  </si>
  <si>
    <r>
      <rPr>
        <u/>
        <sz val="10"/>
        <color rgb="FF1155CC"/>
        <rFont val="Roboto"/>
      </rPr>
      <t>https://drive.google.com/open?id=1nfEdEuIo-1J_YPWH8ZlJfFaGRfruysd5</t>
    </r>
  </si>
  <si>
    <t>vienplt20404b@st.uel.edu.vn</t>
  </si>
  <si>
    <t>Phân tích tình hình tài chính và định giá cổ phiếu tổng công ty dầu Việt Nam ( OIL)</t>
  </si>
  <si>
    <r>
      <rPr>
        <u/>
        <sz val="10"/>
        <color rgb="FF1155CC"/>
        <rFont val="Roboto"/>
      </rPr>
      <t>https://drive.google.com/open?id=1wUMi_Px4VbVHSRiMgIjCtFyqZqOdtTh_</t>
    </r>
  </si>
  <si>
    <r>
      <rPr>
        <u/>
        <sz val="10"/>
        <color rgb="FF1155CC"/>
        <rFont val="Roboto"/>
      </rPr>
      <t>https://drive.google.com/open?id=1j5j5rBxASdnVMP1_lg9RTsQoJ7pI3laB</t>
    </r>
  </si>
  <si>
    <r>
      <rPr>
        <u/>
        <sz val="10"/>
        <color rgb="FF1155CC"/>
        <rFont val="Roboto"/>
      </rPr>
      <t>https://drive.google.com/open?id=1LmbJOeQIK0sbCvszEzZe8sRPWm-jDVLi</t>
    </r>
  </si>
  <si>
    <t>Phân tích hiệu quả kinh doanh và chất lượng tín dụng của Ngân hàng TMCP Ngoại thương Việt Nam</t>
  </si>
  <si>
    <r>
      <rPr>
        <u/>
        <sz val="10"/>
        <color rgb="FF1155CC"/>
        <rFont val="Roboto"/>
      </rPr>
      <t>https://drive.google.com/open?id=1njFMEKLvm1xukLYIIskrx-QsnRs-ZoGk</t>
    </r>
  </si>
  <si>
    <r>
      <rPr>
        <u/>
        <sz val="10"/>
        <color rgb="FF1155CC"/>
        <rFont val="Roboto"/>
      </rPr>
      <t>https://drive.google.com/open?id=1mXi3bffSwW2awQmI9DrQNQ01k6gWDsVK</t>
    </r>
  </si>
  <si>
    <r>
      <rPr>
        <u/>
        <sz val="10"/>
        <color rgb="FF1155CC"/>
        <rFont val="Roboto"/>
      </rPr>
      <t>https://drive.google.com/open?id=1tMRdCma0CNGeWbCnWH6WzjAlYGr990Bk</t>
    </r>
  </si>
  <si>
    <t>Phần Như Thành</t>
  </si>
  <si>
    <t>QUẢN TRỊ RỦI RO LÃI SUẤT TẠI NGÂN HÀNG THƯƠNG MẠI CỔ PHẦN KỸ THƯƠNG VIỆT NAM GIAI ĐOẠN 2021-2025</t>
  </si>
  <si>
    <r>
      <rPr>
        <u/>
        <sz val="10"/>
        <color rgb="FF1155CC"/>
        <rFont val="Roboto"/>
      </rPr>
      <t>https://drive.google.com/open?id=10kQLw3Amm8oSsc8MiGZp-QXAeIGZXnNM</t>
    </r>
  </si>
  <si>
    <r>
      <rPr>
        <u/>
        <sz val="10"/>
        <color rgb="FF1155CC"/>
        <rFont val="Roboto"/>
      </rPr>
      <t>https://drive.google.com/open?id=1sPXCxjyMc_3XrEvNonswpWZ70upQRCBM</t>
    </r>
  </si>
  <si>
    <r>
      <rPr>
        <u/>
        <sz val="10"/>
        <color rgb="FF1155CC"/>
        <rFont val="Roboto"/>
      </rPr>
      <t>https://drive.google.com/open?id=1Jok_fEwRabdz_E9mE-xT7nlyBy0M0u8M</t>
    </r>
  </si>
  <si>
    <t>Nghiên cứu phát triển tín dụng xanh tại Ngân hàng Thương mại cổ phần Công Thương Việt Nam</t>
  </si>
  <si>
    <r>
      <rPr>
        <u/>
        <sz val="10"/>
        <color rgb="FF1155CC"/>
        <rFont val="Roboto"/>
      </rPr>
      <t>https://drive.google.com/open?id=1hh2F2csrW4UPCCmcATgiPNtJnvQi8n8V</t>
    </r>
  </si>
  <si>
    <r>
      <rPr>
        <u/>
        <sz val="10"/>
        <color rgb="FF1155CC"/>
        <rFont val="Roboto"/>
      </rPr>
      <t>https://drive.google.com/open?id=1YqsTF8w74O73eFzfOI6wrbdJUsLUQCo7</t>
    </r>
  </si>
  <si>
    <r>
      <rPr>
        <u/>
        <sz val="10"/>
        <color rgb="FF1155CC"/>
        <rFont val="Roboto"/>
      </rPr>
      <t>https://drive.google.com/open?id=1dwdEaDEYgPDSWPLH7dLu76JOLbiac9bk</t>
    </r>
  </si>
  <si>
    <t>ENHANCING MOBILE BANKING SECURITY IN VIETNAM: ISSUES, TRENDS, AND IMPLICATIONS FROM INDUSTRY REPORTS AND ACADEMIC STUDIES</t>
  </si>
  <si>
    <r>
      <rPr>
        <u/>
        <sz val="10"/>
        <color rgb="FF1155CC"/>
        <rFont val="Roboto"/>
      </rPr>
      <t>https://drive.google.com/open?id=1kFHwKnkMGxn5XzdsnSrCvCBM_ig5ivl2</t>
    </r>
  </si>
  <si>
    <r>
      <rPr>
        <u/>
        <sz val="10"/>
        <color rgb="FF1155CC"/>
        <rFont val="Roboto"/>
      </rPr>
      <t>https://drive.google.com/open?id=18YABECxIIVf4ZhToxUTtCfAumeIRvHyI</t>
    </r>
  </si>
  <si>
    <r>
      <rPr>
        <u/>
        <sz val="10"/>
        <color rgb="FF1155CC"/>
        <rFont val="Roboto"/>
      </rPr>
      <t>https://drive.google.com/open?id=1RzQZxaa3bwA6xgfBKocS277ZGwgkneUL</t>
    </r>
  </si>
  <si>
    <t>tuannh21404b@st.uel.edu.vn</t>
  </si>
  <si>
    <t>Đánh giá hiệu quả hoạt động kinh doanh của ngân hàng TMCP Ngoại Thương Việt Nam giai đoạn 2020-2024</t>
  </si>
  <si>
    <r>
      <rPr>
        <u/>
        <sz val="10"/>
        <color rgb="FF1155CC"/>
        <rFont val="Roboto"/>
      </rPr>
      <t>https://drive.google.com/open?id=1M-ll3iHlg2pmh_ncvly2faxfvmbVrKE6</t>
    </r>
  </si>
  <si>
    <r>
      <rPr>
        <u/>
        <sz val="10"/>
        <color rgb="FF1155CC"/>
        <rFont val="Roboto"/>
      </rPr>
      <t>https://drive.google.com/open?id=1fOy9fbBAQS0aPWOWlhR9ZuYBdcQFK2_2</t>
    </r>
  </si>
  <si>
    <r>
      <rPr>
        <u/>
        <sz val="10"/>
        <color rgb="FF1155CC"/>
        <rFont val="Roboto"/>
      </rPr>
      <t>https://drive.google.com/open?id=1A4vwMFf4UDBqegwxjmFOTtgtUEMIED7K</t>
    </r>
  </si>
  <si>
    <r>
      <rPr>
        <u/>
        <sz val="10"/>
        <color rgb="FF1155CC"/>
        <rFont val="Roboto"/>
      </rPr>
      <t>https://drive.google.com/open?id=1ba8IzUY3jxtabRMbik3CoN0rlp12-m3h</t>
    </r>
  </si>
  <si>
    <r>
      <rPr>
        <u/>
        <sz val="10"/>
        <color rgb="FF1155CC"/>
        <rFont val="Roboto"/>
      </rPr>
      <t>https://drive.google.com/open?id=1H9Br6RD5GcMcrwUbLCEvuklQZMCp-2bI</t>
    </r>
  </si>
  <si>
    <r>
      <rPr>
        <u/>
        <sz val="10"/>
        <color rgb="FF1155CC"/>
        <rFont val="Roboto"/>
      </rPr>
      <t>https://drive.google.com/open?id=1SwBFeyAi2ASsIXn3FfsQkBC7CNQFwufv</t>
    </r>
  </si>
  <si>
    <t>PHÂN TÍCH HIỆU QUẢ HOẠT ĐỘNG CỦA NGÂN HÀNG THƯƠNG MẠI CỔ PHẦN Á CHÂU THEO MÔ HÌNH CAMELS</t>
  </si>
  <si>
    <r>
      <rPr>
        <u/>
        <sz val="10"/>
        <color rgb="FF1155CC"/>
        <rFont val="Roboto"/>
      </rPr>
      <t>https://drive.google.com/open?id=1yjJvnvUc78d5Pt5RpP3M8Iu1-gos7ajl</t>
    </r>
  </si>
  <si>
    <r>
      <rPr>
        <u/>
        <sz val="10"/>
        <color rgb="FF1155CC"/>
        <rFont val="Roboto"/>
      </rPr>
      <t>https://drive.google.com/open?id=1-F6kN9gKtt4dklXzEOhQWkbzfr_aMXy5</t>
    </r>
  </si>
  <si>
    <r>
      <rPr>
        <u/>
        <sz val="10"/>
        <color rgb="FF1155CC"/>
        <rFont val="Roboto"/>
      </rPr>
      <t>https://drive.google.com/open?id=19TScq8g8NJTc_wz4Q40ddBOVcNZr2lIg</t>
    </r>
  </si>
  <si>
    <t>HOẠT ĐỘNG HUY ĐỘNG VỐN BẰNG TIỀN GỬI TẠI NGÂN HÀNG TMCP PHÁT TRIỂN TP. HỒ CHÍ MINH – PHÒNG GIAO DỊCH PHƯỚC LONG</t>
  </si>
  <si>
    <r>
      <rPr>
        <u/>
        <sz val="10"/>
        <color rgb="FF1155CC"/>
        <rFont val="Roboto"/>
      </rPr>
      <t>https://drive.google.com/open?id=1CQisGryiw7FxdrIuNrRgDsJr1CXJSuQt</t>
    </r>
  </si>
  <si>
    <r>
      <rPr>
        <u/>
        <sz val="10"/>
        <color rgb="FF1155CC"/>
        <rFont val="Roboto"/>
      </rPr>
      <t>https://drive.google.com/open?id=12M45VCqY3ZclybLgAFdKSvpbvf-wZuMC</t>
    </r>
  </si>
  <si>
    <r>
      <rPr>
        <u/>
        <sz val="10"/>
        <color rgb="FF1155CC"/>
        <rFont val="Roboto"/>
      </rPr>
      <t>https://drive.google.com/open?id=1RvAF1ZXQTAhNPzkAnC7zHSr3PMrc6lhu</t>
    </r>
  </si>
  <si>
    <t>QUẢN TRỊ RỦI RO LÃI SUẤT TẠI NGÂN HÀNG THƯƠNG MẠI CỔ PHẦN VIỆT NAM: TRƯỜNG HỢP NGÂN HÀNG TMCP CÔNG THƯƠNG VIỆT NAM</t>
  </si>
  <si>
    <r>
      <rPr>
        <u/>
        <sz val="10"/>
        <color rgb="FF1155CC"/>
        <rFont val="Roboto"/>
      </rPr>
      <t>https://drive.google.com/open?id=1fhNd2t9lPhYh4dRMHLzyMMraL8Yd8UGS</t>
    </r>
  </si>
  <si>
    <r>
      <rPr>
        <u/>
        <sz val="10"/>
        <color rgb="FF1155CC"/>
        <rFont val="Roboto"/>
      </rPr>
      <t>https://drive.google.com/open?id=11QESkSZ2oPwz6LHqkzJPBp4HwtUmiexb</t>
    </r>
  </si>
  <si>
    <r>
      <rPr>
        <u/>
        <sz val="10"/>
        <color rgb="FF1155CC"/>
        <rFont val="Roboto"/>
      </rPr>
      <t>https://drive.google.com/open?id=1FclAhAv7d_PWMuQMlCVEtccysVJZmI9b</t>
    </r>
  </si>
  <si>
    <t>PHÂN TÍCH BÁO CÁO TÀI CHÍNH NGÂN HÀNG QUÂN ĐỘI (MB)</t>
  </si>
  <si>
    <r>
      <rPr>
        <u/>
        <sz val="10"/>
        <color rgb="FF1155CC"/>
        <rFont val="Roboto"/>
      </rPr>
      <t>https://drive.google.com/open?id=1JZvCg6OUjVE21_Xu6a6S3o5E_uHTdU-z</t>
    </r>
  </si>
  <si>
    <r>
      <rPr>
        <u/>
        <sz val="10"/>
        <color rgb="FF1155CC"/>
        <rFont val="Roboto"/>
      </rPr>
      <t>https://drive.google.com/open?id=1ShbSMF9tQT0Ss9u6_L4yfr4Jp6rhQNBt</t>
    </r>
  </si>
  <si>
    <r>
      <rPr>
        <u/>
        <sz val="10"/>
        <color rgb="FF1155CC"/>
        <rFont val="Roboto"/>
      </rPr>
      <t>https://drive.google.com/open?id=1KdN_XhpgNKqbvvGLDLxUbce1lK8B70Ku</t>
    </r>
  </si>
  <si>
    <t>Phân tích hiệu quả hoạt động kinh doanh của Tập đoàn Masan giai đoạn 2021 - 2024</t>
  </si>
  <si>
    <r>
      <rPr>
        <u/>
        <sz val="10"/>
        <color rgb="FF1155CC"/>
        <rFont val="Roboto"/>
      </rPr>
      <t>https://drive.google.com/open?id=1uZIDBFvUiEmDUcpLLK10GUQhzS00asgT</t>
    </r>
  </si>
  <si>
    <r>
      <rPr>
        <u/>
        <sz val="10"/>
        <color rgb="FF1155CC"/>
        <rFont val="Roboto"/>
      </rPr>
      <t>https://drive.google.com/open?id=1JgmmbGv-SzxNFC9ZEWoRdTt6GKmuQQkN</t>
    </r>
  </si>
  <si>
    <r>
      <rPr>
        <u/>
        <sz val="10"/>
        <color rgb="FF1155CC"/>
        <rFont val="Roboto"/>
      </rPr>
      <t>https://drive.google.com/open?id=1PJBsplG6Hnd4sWTbiDGAlTIs4qBXOgGJ</t>
    </r>
  </si>
  <si>
    <t>PHÂN TÍCH BÁO CÁO TÀI CHÍNH VÀ TÁC ĐỘNG CỦA CÁC ĐIỀU CHỈNH KIỂM TOÁN: TRƯỜNG HỢP CÔNG TY CỔ PHẦN XÂY DỰNG COTECCONS (2016–2025)</t>
  </si>
  <si>
    <r>
      <rPr>
        <u/>
        <sz val="10"/>
        <color rgb="FF1155CC"/>
        <rFont val="Roboto"/>
      </rPr>
      <t>https://drive.google.com/open?id=1Bu_Eo-wabDiAA6RCAAIzYECjdVZWSBRF</t>
    </r>
  </si>
  <si>
    <r>
      <rPr>
        <u/>
        <sz val="10"/>
        <color rgb="FF1155CC"/>
        <rFont val="Roboto"/>
      </rPr>
      <t>https://drive.google.com/open?id=1dax2U7aWpcGfkteyCn-_JSGcwnHSJDKf</t>
    </r>
  </si>
  <si>
    <r>
      <rPr>
        <u/>
        <sz val="10"/>
        <color rgb="FF1155CC"/>
        <rFont val="Roboto"/>
      </rPr>
      <t>https://drive.google.com/open?id=1Y9NB5_gW67HZYyEOWQ3-rW287aRYTUHb</t>
    </r>
  </si>
  <si>
    <t>ESG Effectiveness in firm valuation: The Role Of Financial Constraints - Evidence From Top Carbon-Emitting Economies</t>
  </si>
  <si>
    <r>
      <rPr>
        <u/>
        <sz val="10"/>
        <color rgb="FF1155CC"/>
        <rFont val="Roboto"/>
      </rPr>
      <t>https://drive.google.com/open?id=1rNdK3JD14ZVbj-Cz6xqlraQy-WNL2iDC</t>
    </r>
  </si>
  <si>
    <r>
      <rPr>
        <u/>
        <sz val="10"/>
        <color rgb="FF1155CC"/>
        <rFont val="Roboto"/>
      </rPr>
      <t>https://drive.google.com/open?id=1aRrHXLvMuL1UwsIWu887T_nnXx2XCkRz</t>
    </r>
  </si>
  <si>
    <r>
      <rPr>
        <u/>
        <sz val="10"/>
        <color rgb="FF1155CC"/>
        <rFont val="Roboto"/>
      </rPr>
      <t>https://drive.google.com/open?id=1r8lBLcsjTzwERANNjbJQpg6B_vw-bgw0</t>
    </r>
  </si>
  <si>
    <t>PHÂN TÍCH VÀ ĐÁNH GIÁ HIỆU QUẢ SỬ DỤNG VỐN LƯU ĐỘNG TẠI CÔNG TY CỔ PHẦN VÀNG BẠC ĐÁ QUÝ PHÚ NHUẬN PNJ</t>
  </si>
  <si>
    <r>
      <rPr>
        <u/>
        <sz val="10"/>
        <color rgb="FF1155CC"/>
        <rFont val="Roboto"/>
      </rPr>
      <t>https://drive.google.com/open?id=1zvt-NJ9yTzaAcNwzbB-Tnh-OvzmI55yt</t>
    </r>
  </si>
  <si>
    <r>
      <rPr>
        <u/>
        <sz val="10"/>
        <color rgb="FF1155CC"/>
        <rFont val="Roboto"/>
      </rPr>
      <t>https://drive.google.com/open?id=1EVQ6GiYHb-REG5kccE3b5LibSgsMS5sC</t>
    </r>
  </si>
  <si>
    <r>
      <rPr>
        <u/>
        <sz val="10"/>
        <color rgb="FF1155CC"/>
        <rFont val="Roboto"/>
      </rPr>
      <t>https://drive.google.com/open?id=1oQWOuMBz7ux8B_OhG9NryIqMkKiMxm5c</t>
    </r>
  </si>
  <si>
    <t>CHẤT LƯỢNG TÍN DỤNG TẠI NGÂN HÀNG THƯƠNG MẠI CỔ PHẦN ĐẦU TƯ VÀ PHÁT TRIỂN VIỆT NAM</t>
  </si>
  <si>
    <r>
      <rPr>
        <u/>
        <sz val="10"/>
        <color rgb="FF1155CC"/>
        <rFont val="Roboto"/>
      </rPr>
      <t>https://drive.google.com/open?id=1QiqIzKXdWMz-o--GY772FmJfFOHIH0Y1</t>
    </r>
  </si>
  <si>
    <r>
      <rPr>
        <u/>
        <sz val="10"/>
        <color rgb="FF1155CC"/>
        <rFont val="Roboto"/>
      </rPr>
      <t>https://drive.google.com/open?id=19ceLu-U4vGjH724C5RDV7tR8hr2Ot5Z7</t>
    </r>
  </si>
  <si>
    <r>
      <rPr>
        <u/>
        <sz val="10"/>
        <color rgb="FF1155CC"/>
        <rFont val="Roboto"/>
      </rPr>
      <t>https://drive.google.com/open?id=1KjCZihFNGzKiKLdTI-6AVeBy_kpI712m</t>
    </r>
  </si>
  <si>
    <t>ỨNG DỤNG FINTECH TRONG HỖ TRỢ QUẢN LÝ RỦI RO TÍN DỤNG TẠI NGÂN HÀNG THƯƠNG MẠI</t>
  </si>
  <si>
    <r>
      <rPr>
        <u/>
        <sz val="10"/>
        <color rgb="FF1155CC"/>
        <rFont val="Roboto"/>
      </rPr>
      <t>https://drive.google.com/open?id=121uf3fdsCyfF8k4KO34fgQdYmOJXrazd</t>
    </r>
  </si>
  <si>
    <r>
      <rPr>
        <u/>
        <sz val="10"/>
        <color rgb="FF1155CC"/>
        <rFont val="Roboto"/>
      </rPr>
      <t>https://drive.google.com/open?id=12Hh-qzEoVboCBKr8vi2kwnlAiKUTz67c</t>
    </r>
  </si>
  <si>
    <r>
      <rPr>
        <u/>
        <sz val="10"/>
        <color rgb="FF1155CC"/>
        <rFont val="Roboto"/>
      </rPr>
      <t>https://drive.google.com/open?id=1RHaUSR_HCYP3uKCcZwk84XSraSlvb7nn</t>
    </r>
  </si>
  <si>
    <t>CHO VAY TÁI TÀI TRỢ KHÁCH HÀNG CÁ NHÂN TẠI NGÂN HÀNG THƯƠNG MẠI CỔ PHẦN QUÂN ĐỘI</t>
  </si>
  <si>
    <r>
      <rPr>
        <u/>
        <sz val="10"/>
        <color rgb="FF1155CC"/>
        <rFont val="Roboto"/>
      </rPr>
      <t>https://drive.google.com/open?id=1Mq4-VKEia6FH24De7Yezq43w93wRxo4V</t>
    </r>
  </si>
  <si>
    <r>
      <rPr>
        <u/>
        <sz val="10"/>
        <color rgb="FF1155CC"/>
        <rFont val="Roboto"/>
      </rPr>
      <t>https://drive.google.com/open?id=1endl0Go8GLff76ocHMajRIh977yStX0r</t>
    </r>
  </si>
  <si>
    <r>
      <rPr>
        <u/>
        <sz val="10"/>
        <color rgb="FF1155CC"/>
        <rFont val="Roboto"/>
      </rPr>
      <t>https://drive.google.com/open?id=1r68QJQ1mMD8Av1cnVNZOkZTnqc0Y0TW5</t>
    </r>
  </si>
  <si>
    <t>Áp dụng mô hình CAMEL để đánh giá hiệu quả hoạt động tại các ngân hàng thương mại. Trường hợp: Ngân hàng thương mại cổ phần Ngoại thương Việt Nam - Vietcombank</t>
  </si>
  <si>
    <r>
      <rPr>
        <u/>
        <sz val="10"/>
        <color rgb="FF1155CC"/>
        <rFont val="Roboto"/>
      </rPr>
      <t>https://drive.google.com/open?id=1KR04N0QlqrkKD0d91gz231YeZUkB5O2O</t>
    </r>
  </si>
  <si>
    <r>
      <rPr>
        <u/>
        <sz val="10"/>
        <color rgb="FF1155CC"/>
        <rFont val="Roboto"/>
      </rPr>
      <t>https://drive.google.com/open?id=1jc7XRc6RL2KR4Ymqr1GFempKyH_DcCym</t>
    </r>
  </si>
  <si>
    <r>
      <rPr>
        <u/>
        <sz val="10"/>
        <color rgb="FF1155CC"/>
        <rFont val="Roboto"/>
      </rPr>
      <t>https://drive.google.com/open?id=1aTqDLKycDtyWjzTzPNezFraPa6hiTjXh</t>
    </r>
  </si>
  <si>
    <t>THE IMPACT OF RETAIL LENDING ON THE OPERATIONAL PERFORMANCE OF JOINT STOCK COMMERCIAL BANK FOR INVESTMENT AND DEVELOPMENT OF VIETNAM - DONG SAI GON BRANCH</t>
  </si>
  <si>
    <r>
      <rPr>
        <u/>
        <sz val="10"/>
        <color rgb="FF1155CC"/>
        <rFont val="Roboto"/>
      </rPr>
      <t>https://drive.google.com/open?id=1rnzoHGD_-HxQKIMIKdTp8olBmZspIXw5</t>
    </r>
  </si>
  <si>
    <r>
      <rPr>
        <u/>
        <sz val="10"/>
        <color rgb="FF1155CC"/>
        <rFont val="Roboto"/>
      </rPr>
      <t>https://drive.google.com/open?id=1ezcXn8Cf6Wm4Ug-923MS8OsXvX62Btoq</t>
    </r>
  </si>
  <si>
    <r>
      <rPr>
        <u/>
        <sz val="10"/>
        <color rgb="FF1155CC"/>
        <rFont val="Roboto"/>
      </rPr>
      <t>https://drive.google.com/open?id=1ZB3b1wvCIUVqcEN_8ln5cO0-pJktbop2</t>
    </r>
  </si>
  <si>
    <t>ĐÁNH GIÁ NĂNG LỰC VÀ HIỆU QUẢ HOẠT ĐỘNG CỦA CÔNG TY CỔ PHẦN CHỨNG KHOÁN VPBANK GIAI ĐOẠN 2020 - 2024</t>
  </si>
  <si>
    <r>
      <rPr>
        <u/>
        <sz val="10"/>
        <color rgb="FF1155CC"/>
        <rFont val="Roboto"/>
      </rPr>
      <t>https://drive.google.com/open?id=1SbD4GdRRkC8s75qDF-LRmYtCubljHmrb</t>
    </r>
  </si>
  <si>
    <r>
      <rPr>
        <u/>
        <sz val="10"/>
        <color rgb="FF1155CC"/>
        <rFont val="Roboto"/>
      </rPr>
      <t>https://drive.google.com/open?id=198Ww9sQDZ48OpszgfAFrx7LZfiDwLUGd</t>
    </r>
  </si>
  <si>
    <r>
      <rPr>
        <u/>
        <sz val="10"/>
        <color rgb="FF1155CC"/>
        <rFont val="Roboto"/>
      </rPr>
      <t>https://drive.google.com/open?id=1RUdqhymomyF5kXLNTAN3RzCIQvNfYwRB</t>
    </r>
  </si>
  <si>
    <t>Các nhân tố ảnh hưởng đến rủi ro tín dụng tại các ngân hàng thương mại Việt Nam trong giai đoạn 2020 - 2024</t>
  </si>
  <si>
    <r>
      <rPr>
        <u/>
        <sz val="10"/>
        <color rgb="FF1155CC"/>
        <rFont val="Roboto"/>
      </rPr>
      <t>https://drive.google.com/open?id=11tlUaWLx5fLi9jgWlR9PHYbkseFLdBic</t>
    </r>
  </si>
  <si>
    <r>
      <rPr>
        <u/>
        <sz val="10"/>
        <color rgb="FF1155CC"/>
        <rFont val="Roboto"/>
      </rPr>
      <t>https://drive.google.com/open?id=1eyFNDi4MB_1xPTC-gX0YL_KxVahP6vLs</t>
    </r>
  </si>
  <si>
    <r>
      <rPr>
        <u/>
        <sz val="10"/>
        <color rgb="FF1155CC"/>
        <rFont val="Roboto"/>
      </rPr>
      <t>https://drive.google.com/open?id=1_UmcfdovAHc7Trg7WY9uNkf8VqBFhE5s</t>
    </r>
  </si>
  <si>
    <t>DETERMINANTS OF NON-PERFORMING LOANS IN VIETNAMESE COMMERCIAL BANKS</t>
  </si>
  <si>
    <r>
      <rPr>
        <u/>
        <sz val="10"/>
        <color rgb="FF1155CC"/>
        <rFont val="Roboto"/>
      </rPr>
      <t>https://drive.google.com/open?id=1hldMmJfcxpGlXTxLGRQEqbAR3zTAGcsT</t>
    </r>
  </si>
  <si>
    <r>
      <rPr>
        <u/>
        <sz val="10"/>
        <color rgb="FF1155CC"/>
        <rFont val="Roboto"/>
      </rPr>
      <t>https://drive.google.com/open?id=1TXkbNt5M-Pk7MDtugny0dJ6szafeBiA1</t>
    </r>
  </si>
  <si>
    <r>
      <rPr>
        <u/>
        <sz val="10"/>
        <color rgb="FF1155CC"/>
        <rFont val="Roboto"/>
      </rPr>
      <t>https://drive.google.com/open?id=1LpOXVN9Ye9IAHjOeK63Sr5JRlxOeyG4Y</t>
    </r>
  </si>
  <si>
    <t>ĐÁNH GIÁ HIỆU QUẢ HUY ĐỘNG VỐN TẠI NGÂN HÀNG THƯƠNG MẠI CỔ PHẦN ĐẦU TƯ VÀ PHÁT TRIỂN VIỆT NAM GIAI ĐOẠN 2022 – 2024</t>
  </si>
  <si>
    <r>
      <rPr>
        <u/>
        <sz val="10"/>
        <color rgb="FF1155CC"/>
        <rFont val="Roboto"/>
      </rPr>
      <t>https://drive.google.com/open?id=1nA7K7Vhn69dboRl01c9mQeXuXl1Tskg_</t>
    </r>
  </si>
  <si>
    <r>
      <rPr>
        <u/>
        <sz val="10"/>
        <color rgb="FF1155CC"/>
        <rFont val="Roboto"/>
      </rPr>
      <t>https://drive.google.com/open?id=11CYBTNHqcco5U-6f9ryLtYN3qVjNRIDo</t>
    </r>
  </si>
  <si>
    <r>
      <rPr>
        <u/>
        <sz val="10"/>
        <color rgb="FF1155CC"/>
        <rFont val="Roboto"/>
      </rPr>
      <t>https://drive.google.com/open?id=1jevEfvHDUB3Ta6ZINIULoZAqvfXwcjtI</t>
    </r>
  </si>
  <si>
    <t>AN ANALYSIS OF THE BUSINESS PROCESS OF BUSINESS PROCESS SOLUTIONS (BPS) SERVICES AT RSM VIETNAM AUDITING AND CONSULTING COMPANY LIMITED</t>
  </si>
  <si>
    <r>
      <rPr>
        <u/>
        <sz val="10"/>
        <color rgb="FF1155CC"/>
        <rFont val="Roboto"/>
      </rPr>
      <t>https://drive.google.com/open?id=1fDvbbo2zQ1LxyOouNhSKWp6GOAdJa3JO</t>
    </r>
  </si>
  <si>
    <r>
      <rPr>
        <u/>
        <sz val="10"/>
        <color rgb="FF1155CC"/>
        <rFont val="Roboto"/>
      </rPr>
      <t>https://drive.google.com/open?id=1sLiGrDnV7IG4h0Znjc3mMTXX-KThElYX</t>
    </r>
  </si>
  <si>
    <r>
      <rPr>
        <u/>
        <sz val="10"/>
        <color rgb="FF1155CC"/>
        <rFont val="Roboto"/>
      </rPr>
      <t>https://drive.google.com/open?id=1xpBCQY8ivn792AhVl9I2Or-HAr_8j1RF</t>
    </r>
  </si>
  <si>
    <t>Ứng dụng mô hình CAMEL để phân tích hiệu quả hoạt động của Ngân hàng TMCP Quân đội</t>
  </si>
  <si>
    <r>
      <rPr>
        <u/>
        <sz val="10"/>
        <color rgb="FF1155CC"/>
        <rFont val="Roboto"/>
      </rPr>
      <t>https://drive.google.com/open?id=1P0r-M7OY6zhalS5Zz_B1BUsyhp_2NwGq</t>
    </r>
  </si>
  <si>
    <r>
      <rPr>
        <u/>
        <sz val="10"/>
        <color rgb="FF1155CC"/>
        <rFont val="Roboto"/>
      </rPr>
      <t>https://drive.google.com/open?id=1Jc4GX3_xcnOoejMTxfK5VexoBcer3t25</t>
    </r>
  </si>
  <si>
    <r>
      <rPr>
        <u/>
        <sz val="10"/>
        <color rgb="FF1155CC"/>
        <rFont val="Roboto"/>
      </rPr>
      <t>https://drive.google.com/open?id=1EftjmL-NDQGwumacrrLxLX-dheGvSItW</t>
    </r>
  </si>
  <si>
    <t>TÁC ĐỘNG CỦA QUÁ TRÌNH TÁI CƠ CẤU ĐẾN HIỆU QUẢ HOẠT ĐỘNG TÍN DỤNG TẠI NGÂN HÀNG MBV – CHI NHÁNH THỦ THIÊM</t>
  </si>
  <si>
    <r>
      <rPr>
        <u/>
        <sz val="10"/>
        <color rgb="FF1155CC"/>
        <rFont val="Roboto"/>
      </rPr>
      <t>https://drive.google.com/open?id=13cI9fRwQi8A2iTFIsx8RE2Yg0ZxO05BS</t>
    </r>
  </si>
  <si>
    <r>
      <rPr>
        <u/>
        <sz val="10"/>
        <color rgb="FF1155CC"/>
        <rFont val="Roboto"/>
      </rPr>
      <t>https://drive.google.com/open?id=1kuZMBgh2CGjHIIJlwndV9ItZRH7njz0Z</t>
    </r>
  </si>
  <si>
    <r>
      <rPr>
        <u/>
        <sz val="10"/>
        <color rgb="FF1155CC"/>
        <rFont val="Roboto"/>
      </rPr>
      <t>https://drive.google.com/open?id=1bCHw5PhdUl_7SQCMHyLSQ-OLAhyrC2KQ</t>
    </r>
  </si>
  <si>
    <t>ĐÁNH GIÁ RỦI RO TÍN DỤNG DOANH NGHIỆP TẠI NGÂN HÀNG TMCP PHÁT TRIỂN TP.HCM (HDBANK) – CHI NHÁNH HÀNG XANH</t>
  </si>
  <si>
    <r>
      <rPr>
        <u/>
        <sz val="10"/>
        <color rgb="FF1155CC"/>
        <rFont val="Roboto"/>
      </rPr>
      <t>https://drive.google.com/open?id=1yofo63fawDqReVnZWKC6McytT12u3qhc</t>
    </r>
  </si>
  <si>
    <r>
      <rPr>
        <u/>
        <sz val="10"/>
        <color rgb="FF1155CC"/>
        <rFont val="Roboto"/>
      </rPr>
      <t>https://drive.google.com/open?id=1LcXoftxxG7-s_RW0fIpkWfv0TIkDR5It</t>
    </r>
  </si>
  <si>
    <r>
      <rPr>
        <u/>
        <sz val="10"/>
        <color rgb="FF1155CC"/>
        <rFont val="Roboto"/>
      </rPr>
      <t>https://drive.google.com/open?id=1SipAGX1Wk1G1Jqg9V05aMmyXQe3EZkt3</t>
    </r>
  </si>
  <si>
    <t>Phân tích hoạt động tín dụng Khách hàng cá nhân Ngân hàng TMCP Quốc Tế Việt Nam - VIB</t>
  </si>
  <si>
    <r>
      <rPr>
        <u/>
        <sz val="10"/>
        <color rgb="FF1155CC"/>
        <rFont val="Roboto"/>
      </rPr>
      <t>https://drive.google.com/open?id=1Yt6qzuVkshC_R2BZuCdMiJUafyPOk7eu</t>
    </r>
  </si>
  <si>
    <r>
      <rPr>
        <u/>
        <sz val="10"/>
        <color rgb="FF1155CC"/>
        <rFont val="Roboto"/>
      </rPr>
      <t>https://drive.google.com/open?id=1Ta2xVGTXikDcxe_CdeQjfiyR77meMr2p</t>
    </r>
  </si>
  <si>
    <r>
      <rPr>
        <u/>
        <sz val="10"/>
        <color rgb="FF1155CC"/>
        <rFont val="Roboto"/>
      </rPr>
      <t>https://drive.google.com/open?id=1TgeOOunnCUA52DvmInUyOOn3Qe24sM7d</t>
    </r>
  </si>
  <si>
    <t>CSR và hiệu quả tài chính các doanh nghiệp niêm yết tại Việt Nam</t>
  </si>
  <si>
    <r>
      <rPr>
        <u/>
        <sz val="10"/>
        <color rgb="FF1155CC"/>
        <rFont val="Roboto"/>
      </rPr>
      <t>https://drive.google.com/open?id=1IDPOlKsqLLNMDxIlcONnP1dhnmhpG3e2</t>
    </r>
  </si>
  <si>
    <r>
      <rPr>
        <u/>
        <sz val="10"/>
        <color rgb="FF1155CC"/>
        <rFont val="Roboto"/>
      </rPr>
      <t>https://drive.google.com/open?id=1cRP1eJaxpoDcx0wnmMJxLIlCRHkje5Vo</t>
    </r>
  </si>
  <si>
    <r>
      <rPr>
        <u/>
        <sz val="10"/>
        <color rgb="FF1155CC"/>
        <rFont val="Roboto"/>
      </rPr>
      <t>https://drive.google.com/open?id=17LOd93CnW4oauoPX5OpPGKbNuIMslXQf</t>
    </r>
  </si>
  <si>
    <t>An Assessment of Digital Transformation at Asia Commercial Joint Stock Bank</t>
  </si>
  <si>
    <r>
      <rPr>
        <u/>
        <sz val="10"/>
        <color rgb="FF1155CC"/>
        <rFont val="Roboto"/>
      </rPr>
      <t>https://drive.google.com/open?id=174qWnzIUwu3xhiZfD8biTJ16pOHlnNdQ</t>
    </r>
  </si>
  <si>
    <r>
      <rPr>
        <u/>
        <sz val="10"/>
        <color rgb="FF1155CC"/>
        <rFont val="Roboto"/>
      </rPr>
      <t>https://drive.google.com/open?id=163W2WXqlFzr4shovAoFb6uMLUbe-NSq0</t>
    </r>
  </si>
  <si>
    <r>
      <rPr>
        <u/>
        <sz val="10"/>
        <color rgb="FF1155CC"/>
        <rFont val="Roboto"/>
      </rPr>
      <t>https://drive.google.com/open?id=1BnIVncCOcdJF6v84NxGLYeyKkujImA0X</t>
    </r>
  </si>
  <si>
    <t>FACTORS AFFECTING CREDIT RISK IN THE CONSUMER LOAN PORTFOLIO AT VIETNAM EXPORT IMPORT COMMERCIAL JOINT STOCK BANK (EIB) FOR THE PERIOD 2022-2024</t>
  </si>
  <si>
    <r>
      <rPr>
        <u/>
        <sz val="10"/>
        <color rgb="FF1155CC"/>
        <rFont val="Roboto"/>
      </rPr>
      <t>https://drive.google.com/open?id=17BEXSfx0QKUT4_TtDuQP-LMLbs554c8d</t>
    </r>
  </si>
  <si>
    <t>Xây dựng hệ thống RAG phân tích báo cáo tài chính tự động</t>
  </si>
  <si>
    <r>
      <rPr>
        <u/>
        <sz val="10"/>
        <color rgb="FF1155CC"/>
        <rFont val="Roboto"/>
      </rPr>
      <t>https://drive.google.com/open?id=1Ag5D6utNIKCVxPXwweCPQCxkS7lPhB1c</t>
    </r>
  </si>
  <si>
    <r>
      <rPr>
        <u/>
        <sz val="10"/>
        <color rgb="FF1155CC"/>
        <rFont val="Roboto"/>
      </rPr>
      <t>https://drive.google.com/open?id=1DpLlA7ntdcCv94TurUbt9tzkKJRmtR6W</t>
    </r>
  </si>
  <si>
    <r>
      <rPr>
        <u/>
        <sz val="10"/>
        <color rgb="FF1155CC"/>
        <rFont val="Roboto"/>
      </rPr>
      <t>https://drive.google.com/open?id=1cmsLf-6_xmxl1dlYyznFpzsWa9yjYVzp</t>
    </r>
  </si>
  <si>
    <t>LÊ BẢO NGÂN</t>
  </si>
  <si>
    <t>EVALUATION OF LENDING ACTIVITIES AT FORTUNE VIETNAM JOINT STOCK COMMERCIAL BANK</t>
  </si>
  <si>
    <r>
      <rPr>
        <u/>
        <sz val="10"/>
        <color rgb="FF1155CC"/>
        <rFont val="Roboto"/>
      </rPr>
      <t>https://drive.google.com/open?id=1Fdip9shDOGotAU6dYud5DuVjXhAE7J2V</t>
    </r>
  </si>
  <si>
    <r>
      <rPr>
        <u/>
        <sz val="10"/>
        <color rgb="FF1155CC"/>
        <rFont val="Roboto"/>
      </rPr>
      <t>https://drive.google.com/open?id=1Irfq0QCOeafOKhtbWVaq3tXrBM-WPXUJ</t>
    </r>
  </si>
  <si>
    <r>
      <rPr>
        <u/>
        <sz val="10"/>
        <color rgb="FF1155CC"/>
        <rFont val="Roboto"/>
      </rPr>
      <t>https://drive.google.com/open?id=1rCaXrFMUF0cCSLI0u_2dWD5Dsb76P0vE</t>
    </r>
  </si>
  <si>
    <t>Lending activities to individual customers for home purchases at Joint Stock Commercial Bank for Investment and Development of Vietnam (BIDV) - East Saigon Branch</t>
  </si>
  <si>
    <r>
      <rPr>
        <u/>
        <sz val="10"/>
        <color rgb="FF1155CC"/>
        <rFont val="Roboto"/>
      </rPr>
      <t>https://drive.google.com/open?id=1XvwWo1Up79UlVSR0gkFNjLdaBtyXAztC</t>
    </r>
  </si>
  <si>
    <r>
      <rPr>
        <u/>
        <sz val="10"/>
        <color rgb="FF1155CC"/>
        <rFont val="Roboto"/>
      </rPr>
      <t>https://drive.google.com/open?id=19m7N2P7Kz6V_Lh_mwGaHlutjXk_Ju26h</t>
    </r>
  </si>
  <si>
    <r>
      <rPr>
        <u/>
        <sz val="10"/>
        <color rgb="FF1155CC"/>
        <rFont val="Roboto"/>
      </rPr>
      <t>https://drive.google.com/open?id=1aVJPNkyxt72OWW4oZI0YmF6HPgd6Zy1_</t>
    </r>
  </si>
  <si>
    <t>ĐÁNH GIÁ QUY TRÌNH KIỂM SOÁT VÀ HOÀN THIỆN LƯU TRỮ HỒ SƠ TÍN DỤNG TẠI NGÂN HÀNG TMCP CÔNG THƯƠNG VIỆT NAM (VIETINBANK) – CHI NHÁNH THỦ ĐỨC</t>
  </si>
  <si>
    <r>
      <rPr>
        <u/>
        <sz val="10"/>
        <color rgb="FF1155CC"/>
        <rFont val="Roboto"/>
      </rPr>
      <t>https://drive.google.com/open?id=1oyu1JSRH08enJQtF7rSrZdieCyAIKxow</t>
    </r>
  </si>
  <si>
    <r>
      <rPr>
        <u/>
        <sz val="10"/>
        <color rgb="FF1155CC"/>
        <rFont val="Roboto"/>
      </rPr>
      <t>https://drive.google.com/open?id=1IfcrmeGy2Iw2ygjQQOl3s97hYDiPdXrB</t>
    </r>
  </si>
  <si>
    <r>
      <rPr>
        <u/>
        <sz val="10"/>
        <color rgb="FF1155CC"/>
        <rFont val="Roboto"/>
      </rPr>
      <t>https://drive.google.com/open?id=1Xma61F0WgO4Sg6PXa3_vX0FflQhn1xnS</t>
    </r>
  </si>
  <si>
    <t>Đánh giá hiệu quả huy động vốn của Ngân hàng TMCP Đầu tư và Phát triển Việt Nam (BIDV)</t>
  </si>
  <si>
    <r>
      <rPr>
        <u/>
        <sz val="10"/>
        <color rgb="FF1155CC"/>
        <rFont val="Roboto"/>
      </rPr>
      <t>https://drive.google.com/open?id=1tSBKQMPAxGt2jLIhSMRiBOihgV1Ly3Xg</t>
    </r>
  </si>
  <si>
    <r>
      <rPr>
        <u/>
        <sz val="10"/>
        <color rgb="FF1155CC"/>
        <rFont val="Roboto"/>
      </rPr>
      <t>https://drive.google.com/open?id=1v3jlv1Z8oGRnQintXpBv6AJNrvdrZ326</t>
    </r>
  </si>
  <si>
    <r>
      <rPr>
        <u/>
        <sz val="10"/>
        <color rgb="FF1155CC"/>
        <rFont val="Roboto"/>
      </rPr>
      <t>https://drive.google.com/open?id=1xdWm_hEkgsfxEmhh6q4r-C41nCQ2gZfO</t>
    </r>
  </si>
  <si>
    <t>Nộp Báo cáo thực tập và Khóa luận tốt nghiệp</t>
  </si>
  <si>
    <r>
      <rPr>
        <u/>
        <sz val="10"/>
        <color rgb="FF1155CC"/>
        <rFont val="Roboto"/>
      </rPr>
      <t>https://drive.google.com/open?id=1GZZ-i-oASBLWM_Xd12YThhxdlE5G7yCt</t>
    </r>
  </si>
  <si>
    <r>
      <rPr>
        <u/>
        <sz val="10"/>
        <color rgb="FF1155CC"/>
        <rFont val="Roboto"/>
      </rPr>
      <t>https://drive.google.com/open?id=1V_zp4exDbaylBSD8HZfPMfGkNUYisvQm</t>
    </r>
  </si>
  <si>
    <r>
      <rPr>
        <u/>
        <sz val="10"/>
        <color rgb="FF1155CC"/>
        <rFont val="Roboto"/>
      </rPr>
      <t>https://drive.google.com/open?id=1teVeQvKnkxgPoK2cZ4BZQLcDbAMe9Lxv</t>
    </r>
  </si>
  <si>
    <r>
      <rPr>
        <u/>
        <sz val="10"/>
        <color rgb="FF1155CC"/>
        <rFont val="Roboto"/>
      </rPr>
      <t>https://drive.google.com/open?id=1GHkdn3sqgcwT1dyaKtr2HHdGYl5sGDfg</t>
    </r>
  </si>
  <si>
    <r>
      <rPr>
        <u/>
        <sz val="10"/>
        <color rgb="FF1155CC"/>
        <rFont val="Roboto"/>
      </rPr>
      <t>https://drive.google.com/open?id=1vM7CE9t45D1zVKTv_nN1Sl8NgF0nvaKN</t>
    </r>
  </si>
  <si>
    <r>
      <rPr>
        <u/>
        <sz val="10"/>
        <color rgb="FF1155CC"/>
        <rFont val="Roboto"/>
      </rPr>
      <t>https://drive.google.com/open?id=1osmXkI567a34b2AyD5AqFVQKABHH_t9_</t>
    </r>
  </si>
  <si>
    <r>
      <rPr>
        <u/>
        <sz val="10"/>
        <color rgb="FF1155CC"/>
        <rFont val="Roboto"/>
      </rPr>
      <t>https://drive.google.com/open?id=1wq0UPsQPRRJJi6aCaOsYlDy2iVOIzeV2</t>
    </r>
  </si>
  <si>
    <r>
      <rPr>
        <u/>
        <sz val="10"/>
        <color rgb="FF1155CC"/>
        <rFont val="Roboto"/>
      </rPr>
      <t>https://drive.google.com/open?id=1j3VkCpHi14ZozTjXxGVtI1xsBZAEIS6H</t>
    </r>
  </si>
  <si>
    <r>
      <rPr>
        <u/>
        <sz val="10"/>
        <color rgb="FF1155CC"/>
        <rFont val="Roboto"/>
      </rPr>
      <t>https://drive.google.com/open?id=1jmYE8Sp2ntU7UR_ZOWxu7RL1_zROlBP_</t>
    </r>
  </si>
  <si>
    <r>
      <rPr>
        <u/>
        <sz val="10"/>
        <color rgb="FF1155CC"/>
        <rFont val="Roboto"/>
      </rPr>
      <t>https://drive.google.com/open?id=1kya26-NPUvOma88JNHpEfC91nIi5w3p2</t>
    </r>
  </si>
  <si>
    <r>
      <rPr>
        <u/>
        <sz val="10"/>
        <color rgb="FF1155CC"/>
        <rFont val="Roboto"/>
      </rPr>
      <t>https://drive.google.com/open?id=1C9PPQymOOu9FxcPWy1KNGIASBoUJ1k_j</t>
    </r>
  </si>
  <si>
    <r>
      <rPr>
        <u/>
        <sz val="10"/>
        <color rgb="FF1155CC"/>
        <rFont val="Roboto"/>
      </rPr>
      <t>https://drive.google.com/open?id=1zjmZW8vVWZ9eXIQdyqmPkMCaO2bFofKe</t>
    </r>
  </si>
  <si>
    <r>
      <rPr>
        <u/>
        <sz val="10"/>
        <color rgb="FF1155CC"/>
        <rFont val="Roboto"/>
      </rPr>
      <t>https://drive.google.com/open?id=11L4fW4WtnDIuCshuoUdjXqKbIGEXW13h</t>
    </r>
  </si>
  <si>
    <r>
      <rPr>
        <u/>
        <sz val="10"/>
        <color rgb="FF1155CC"/>
        <rFont val="Roboto"/>
      </rPr>
      <t>https://drive.google.com/open?id=1IaMRYSPeRnM8BPlKUZJOzUC3D2eFit66</t>
    </r>
  </si>
  <si>
    <t>PHAN TRỌNG QUÍ</t>
  </si>
  <si>
    <t>404ca</t>
  </si>
  <si>
    <t>HOẠT ĐỘNG CHO VAY SẢN XUẤT KINH DOANH ĐỐI VỚI KHÁCH HÀNG CÁ NHÂN TẠI NGÂN HÀNG THƯƠNG MẠI CỔ PHẦN PHÁT TRIỂN THÀNH PHỐ HỒ CHÍ MINH – CHI NHÁNH GIA ĐỊNH – PHÒNG GIAO DỊCH NAM SÀI GÒN</t>
  </si>
  <si>
    <r>
      <rPr>
        <u/>
        <sz val="10"/>
        <color rgb="FF1155CC"/>
        <rFont val="Roboto"/>
      </rPr>
      <t>https://drive.google.com/open?id=16QJLHghsRBKPh1rWSFi9ZZ0IT3-4qmOD</t>
    </r>
  </si>
  <si>
    <r>
      <rPr>
        <u/>
        <sz val="10"/>
        <color rgb="FF1155CC"/>
        <rFont val="Roboto"/>
      </rPr>
      <t>https://drive.google.com/open?id=1UYaDws5tqwrllIoPgSPpPTzSsxJfHOm7</t>
    </r>
  </si>
  <si>
    <r>
      <rPr>
        <u/>
        <sz val="10"/>
        <color rgb="FF1155CC"/>
        <rFont val="Roboto"/>
      </rPr>
      <t>https://drive.google.com/open?id=13m23uLAStHyxZqDD5PTUP137-UARmYlm</t>
    </r>
  </si>
  <si>
    <r>
      <rPr>
        <u/>
        <sz val="10"/>
        <color rgb="FF1155CC"/>
        <rFont val="Roboto"/>
      </rPr>
      <t>https://drive.google.com/open?id=1zV0AxzFWbckwNf0kiz2DTMLGHOlco-wW</t>
    </r>
  </si>
  <si>
    <r>
      <rPr>
        <u/>
        <sz val="10"/>
        <color rgb="FF1155CC"/>
        <rFont val="Roboto"/>
      </rPr>
      <t>https://drive.google.com/open?id=110H8X-dw2HSEOhomYFYPOzL6C3Gqrfcs</t>
    </r>
  </si>
  <si>
    <r>
      <rPr>
        <u/>
        <sz val="10"/>
        <color rgb="FF1155CC"/>
        <rFont val="Roboto"/>
      </rPr>
      <t>https://drive.google.com/open?id=15cuhP7X0kFiEFjHfzu6A2QaGrxHJQz5l</t>
    </r>
  </si>
  <si>
    <t>Xây dựng hệ thống Chatbot tư vấn sản phẩm dịch vụ ngân hàng tích hợp AI cho tệp khách hàng cá nhân của Ngân hàng MBV</t>
  </si>
  <si>
    <r>
      <rPr>
        <u/>
        <sz val="10"/>
        <color rgb="FF1155CC"/>
        <rFont val="Roboto"/>
      </rPr>
      <t>https://drive.google.com/open?id=1UlLjmX6BriGlw_iurNNlMJ8lyZhZlwQp</t>
    </r>
  </si>
  <si>
    <r>
      <rPr>
        <u/>
        <sz val="10"/>
        <color rgb="FF1155CC"/>
        <rFont val="Roboto"/>
      </rPr>
      <t>https://drive.google.com/open?id=1-lpECFek7Fi4mZZ7d2yurXBNdeatoj5j</t>
    </r>
  </si>
  <si>
    <r>
      <rPr>
        <u/>
        <sz val="10"/>
        <color rgb="FF1155CC"/>
        <rFont val="Roboto"/>
      </rPr>
      <t>https://drive.google.com/open?id=1iUtXqJVB40o8_2D_N1MFwy-nkPPTHleL</t>
    </r>
  </si>
  <si>
    <r>
      <rPr>
        <u/>
        <sz val="10"/>
        <color rgb="FF1155CC"/>
        <rFont val="Roboto"/>
      </rPr>
      <t>https://drive.google.com/open?id=1RvKcqo8SySvvbr_jmQ3b5GjRG1FCT5Ac</t>
    </r>
  </si>
  <si>
    <r>
      <rPr>
        <u/>
        <sz val="10"/>
        <color rgb="FF1155CC"/>
        <rFont val="Roboto"/>
      </rPr>
      <t>https://drive.google.com/open?id=1t5-pgW_hABSPnr8a7HZ4IYkNEp7OXIzt</t>
    </r>
  </si>
  <si>
    <r>
      <rPr>
        <u/>
        <sz val="10"/>
        <color rgb="FF1155CC"/>
        <rFont val="Roboto"/>
      </rPr>
      <t>https://drive.google.com/open?id=1yD169K8t4wO1Xdligi8fcduKjaNp5sWf</t>
    </r>
  </si>
  <si>
    <r>
      <rPr>
        <u/>
        <sz val="10"/>
        <color rgb="FF1155CC"/>
        <rFont val="Roboto"/>
      </rPr>
      <t>https://drive.google.com/open?id=1aE41IHUfgLFXxUzcxHF8y7ZaWU-6dMRZ</t>
    </r>
  </si>
  <si>
    <r>
      <rPr>
        <u/>
        <sz val="10"/>
        <color rgb="FF1155CC"/>
        <rFont val="Roboto"/>
      </rPr>
      <t>https://drive.google.com/open?id=1y7TOegs3z_T7eIDnSdP-ssisxEsS-w7Y</t>
    </r>
  </si>
  <si>
    <t>Factors affecting financial distress risk measured by Altman Z-score: Evidence from manufacturing firms listed on the Ho Chi Minh Stock Exchange</t>
  </si>
  <si>
    <r>
      <rPr>
        <u/>
        <sz val="10"/>
        <color rgb="FF1155CC"/>
        <rFont val="Roboto"/>
      </rPr>
      <t>https://drive.google.com/open?id=1K9rlE9_aoGuK_-lfK9OA8eSSCxyVgcI3</t>
    </r>
  </si>
  <si>
    <r>
      <rPr>
        <u/>
        <sz val="10"/>
        <color rgb="FF1155CC"/>
        <rFont val="Roboto"/>
      </rPr>
      <t>https://drive.google.com/open?id=1wq2sKRTipdTr4m9r4GDhixXUTaN05Npx</t>
    </r>
  </si>
  <si>
    <r>
      <rPr>
        <u/>
        <sz val="10"/>
        <color rgb="FF1155CC"/>
        <rFont val="Roboto"/>
      </rPr>
      <t>https://drive.google.com/open?id=18cv45otgWX0UzKH6ubkONSU0WTqCL9U_</t>
    </r>
  </si>
  <si>
    <t>Factors affecting the financial distress risk of listed manufacturing firms on the Ho Chi Minh Stock Exchange</t>
  </si>
  <si>
    <r>
      <rPr>
        <u/>
        <sz val="10"/>
        <color rgb="FF1155CC"/>
        <rFont val="Roboto"/>
      </rPr>
      <t>https://drive.google.com/open?id=10JEcyG5CApihiJNYJ3SjlXq_aenQQdqA</t>
    </r>
  </si>
  <si>
    <r>
      <rPr>
        <u/>
        <sz val="10"/>
        <color rgb="FF1155CC"/>
        <rFont val="Roboto"/>
      </rPr>
      <t>https://drive.google.com/open?id=1YMA-p1cH3cRS7DoNnLfM-gS3zWxQa93_</t>
    </r>
  </si>
  <si>
    <r>
      <rPr>
        <u/>
        <sz val="10"/>
        <color rgb="FF1155CC"/>
        <rFont val="Roboto"/>
      </rPr>
      <t>https://drive.google.com/open?id=1IBA-s2nyAvO29ZqaCpVOZGS780cVF996</t>
    </r>
  </si>
  <si>
    <r>
      <rPr>
        <u/>
        <sz val="10"/>
        <color rgb="FF1155CC"/>
        <rFont val="Roboto"/>
      </rPr>
      <t>https://drive.google.com/open?id=1tBlBanfye4TNBESciWvi3zelC-fJNu68</t>
    </r>
  </si>
  <si>
    <t>FACTORS AFFECTING GOLD PRICES AND PREDICTING FUTURE GOLD PRICES</t>
  </si>
  <si>
    <r>
      <rPr>
        <u/>
        <sz val="10"/>
        <color rgb="FF1155CC"/>
        <rFont val="Roboto"/>
      </rPr>
      <t>https://drive.google.com/open?id=1KdqSSsR2mJ3MioMUCKI6jrObJcNC4JrN</t>
    </r>
  </si>
  <si>
    <r>
      <rPr>
        <u/>
        <sz val="10"/>
        <color rgb="FF1155CC"/>
        <rFont val="Roboto"/>
      </rPr>
      <t>https://drive.google.com/open?id=1brJY3N6cXIDK61DiLfuk7LeYd0-4w57L</t>
    </r>
  </si>
  <si>
    <r>
      <rPr>
        <u/>
        <sz val="10"/>
        <color rgb="FF1155CC"/>
        <rFont val="Roboto"/>
      </rPr>
      <t>https://drive.google.com/open?id=1yZ-6xLd0DeHWozgsnfMgai7HDBRm0xLW</t>
    </r>
  </si>
  <si>
    <r>
      <rPr>
        <u/>
        <sz val="10"/>
        <color rgb="FF1155CC"/>
        <rFont val="Roboto"/>
      </rPr>
      <t>https://drive.google.com/open?id=1FoCgeNRKbjFBZPtmu64Kn7oA-ZlEd7eR</t>
    </r>
  </si>
  <si>
    <r>
      <rPr>
        <u/>
        <sz val="10"/>
        <color rgb="FF1155CC"/>
        <rFont val="Roboto"/>
      </rPr>
      <t>https://drive.google.com/open?id=1J_TORVxap7GBA_AwRZRpg-RFm-7C5ADs</t>
    </r>
  </si>
  <si>
    <r>
      <rPr>
        <u/>
        <sz val="10"/>
        <color rgb="FF1155CC"/>
        <rFont val="Roboto"/>
      </rPr>
      <t>https://drive.google.com/open?id=1_lYRQYawl2JmM5cwZtMDxoq7d1lfyz4n</t>
    </r>
  </si>
  <si>
    <r>
      <rPr>
        <u/>
        <sz val="10"/>
        <color rgb="FF1155CC"/>
        <rFont val="Roboto"/>
      </rPr>
      <t>https://drive.google.com/open?id=1uW2jHkRMavj2CNm9ayc1VOAhCNsEfw_T</t>
    </r>
  </si>
  <si>
    <t>ASSESSING THE OPERATIONAL PERFORMANCE OF HO CHI MINH CITY DEVELOPMENT JOINT STOCK COMMERCIAL BANK (HDBANK) USING THE CAMELS MODEL</t>
  </si>
  <si>
    <r>
      <rPr>
        <u/>
        <sz val="10"/>
        <color rgb="FF1155CC"/>
        <rFont val="Roboto"/>
      </rPr>
      <t>https://drive.google.com/open?id=1h38jvDJtjSI6oGyoUyeBOOi8wxdoMcuy</t>
    </r>
  </si>
  <si>
    <r>
      <rPr>
        <u/>
        <sz val="10"/>
        <color rgb="FF1155CC"/>
        <rFont val="Roboto"/>
      </rPr>
      <t>https://drive.google.com/open?id=1nIWx94UqSY_6cwwhyu4Gj5EdBs-dNW_I</t>
    </r>
  </si>
  <si>
    <r>
      <rPr>
        <u/>
        <sz val="10"/>
        <color rgb="FF1155CC"/>
        <rFont val="Roboto"/>
      </rPr>
      <t>https://drive.google.com/open?id=1l6pfdefEagvukaL1D_gKLZenwFghcIS1</t>
    </r>
  </si>
  <si>
    <r>
      <rPr>
        <u/>
        <sz val="10"/>
        <color rgb="FF1155CC"/>
        <rFont val="Roboto"/>
      </rPr>
      <t>https://drive.google.com/open?id=11b_GyBPkt4aVlZCigPrVOxSvf481_Qzi</t>
    </r>
  </si>
  <si>
    <r>
      <rPr>
        <u/>
        <sz val="10"/>
        <color rgb="FF1155CC"/>
        <rFont val="Roboto"/>
      </rPr>
      <t>https://drive.google.com/open?id=1T2LdJWbwQ66_vThWW9HK66xSTHT4Xsgg</t>
    </r>
  </si>
  <si>
    <r>
      <rPr>
        <u/>
        <sz val="10"/>
        <color rgb="FF1155CC"/>
        <rFont val="Roboto"/>
      </rPr>
      <t>https://drive.google.com/open?id=1RQ8OgjPyWIloqkxoc-Hbklr7PEv5nmUJ</t>
    </r>
  </si>
  <si>
    <r>
      <rPr>
        <u/>
        <sz val="10"/>
        <color rgb="FF1155CC"/>
        <rFont val="Roboto"/>
      </rPr>
      <t>https://drive.google.com/open?id=1_U7KBemuZk5WZCbdiVQS2XWQVE3Czd46</t>
    </r>
  </si>
  <si>
    <t>AN ANALYSIS OF LENDING ACTIVITIES UNDER THE ENTRUSTED LENDING MODEL AT VINH THANH TRANSACTION OFFICE OF THE VIETNAM BANK FOR SOCIAL POLICIES</t>
  </si>
  <si>
    <r>
      <rPr>
        <u/>
        <sz val="10"/>
        <color rgb="FF1155CC"/>
        <rFont val="Roboto"/>
      </rPr>
      <t>https://drive.google.com/open?id=1vFqfqkqPanRcAZDgO2uSpqwtah68n5Y3</t>
    </r>
  </si>
  <si>
    <r>
      <rPr>
        <u/>
        <sz val="10"/>
        <color rgb="FF1155CC"/>
        <rFont val="Roboto"/>
      </rPr>
      <t>https://drive.google.com/open?id=1l0NCZO7CCzlPVntDbJUMIJyxlLwMpjnz</t>
    </r>
  </si>
  <si>
    <r>
      <rPr>
        <u/>
        <sz val="10"/>
        <color rgb="FF1155CC"/>
        <rFont val="Roboto"/>
      </rPr>
      <t>https://drive.google.com/open?id=1jCo6juEgdP1BHgypou3GFNK86S2kGsPR</t>
    </r>
  </si>
  <si>
    <r>
      <rPr>
        <u/>
        <sz val="10"/>
        <color rgb="FF1155CC"/>
        <rFont val="Roboto"/>
      </rPr>
      <t>https://drive.google.com/open?id=1b6wAb3ttgtJQQNJuhGHJB_5qG8r9AqtX</t>
    </r>
  </si>
  <si>
    <r>
      <rPr>
        <u/>
        <sz val="10"/>
        <color rgb="FF1155CC"/>
        <rFont val="Roboto"/>
      </rPr>
      <t>https://drive.google.com/open?id=19Ygd-wIugzhfAIcSMQkmmQNQASYxIKzc</t>
    </r>
  </si>
  <si>
    <r>
      <rPr>
        <u/>
        <sz val="10"/>
        <color rgb="FF1155CC"/>
        <rFont val="Roboto"/>
      </rPr>
      <t>https://drive.google.com/open?id=1ot7SVp75D0zQFPpknUPDnWIUkpRw5Ihx</t>
    </r>
  </si>
  <si>
    <r>
      <rPr>
        <u/>
        <sz val="10"/>
        <color rgb="FF1155CC"/>
        <rFont val="Roboto"/>
      </rPr>
      <t>https://drive.google.com/open?id=1WQEE_M4lO3fVKOltWKhBSQkyUDSI5vtR</t>
    </r>
  </si>
  <si>
    <r>
      <rPr>
        <u/>
        <sz val="10"/>
        <color rgb="FF1155CC"/>
        <rFont val="Roboto"/>
      </rPr>
      <t>https://drive.google.com/open?id=17hyHFLQZYFsGy29Y3_TFCrI8XljJYZOm</t>
    </r>
  </si>
  <si>
    <r>
      <rPr>
        <u/>
        <sz val="10"/>
        <color rgb="FF1155CC"/>
        <rFont val="Roboto"/>
      </rPr>
      <t>https://drive.google.com/open?id=1Cq_mNciRZNSPjHd_RAWJs-GgfyfXoJK9</t>
    </r>
  </si>
  <si>
    <r>
      <rPr>
        <u/>
        <sz val="10"/>
        <color rgb="FF1155CC"/>
        <rFont val="Roboto"/>
      </rPr>
      <t>https://drive.google.com/open?id=1Pje4K0AmVeqIdRU8lNubhg3UtqpTskUX</t>
    </r>
  </si>
  <si>
    <r>
      <rPr>
        <u/>
        <sz val="10"/>
        <color rgb="FF1155CC"/>
        <rFont val="Roboto"/>
      </rPr>
      <t>https://drive.google.com/open?id=1rIOzm-is4ZxVw_l0QDmvk6lT5KejVU5V</t>
    </r>
  </si>
  <si>
    <r>
      <rPr>
        <u/>
        <sz val="10"/>
        <color rgb="FF1155CC"/>
        <rFont val="Roboto"/>
      </rPr>
      <t>https://drive.google.com/open?id=14m5-s4KWxTaiN7ms3OOXgIhhEQQqp-RI</t>
    </r>
  </si>
  <si>
    <r>
      <rPr>
        <u/>
        <sz val="10"/>
        <color rgb="FF1155CC"/>
        <rFont val="Roboto"/>
      </rPr>
      <t>https://drive.google.com/open?id=1R0DdOOr_n4WscETSU6Ty10I0et601u7r</t>
    </r>
  </si>
  <si>
    <r>
      <rPr>
        <u/>
        <sz val="10"/>
        <color rgb="FF1155CC"/>
        <rFont val="Roboto"/>
      </rPr>
      <t>https://drive.google.com/open?id=1ITJV2AkhvbptLlbSPuoZvJm_vMqP_1jQ</t>
    </r>
  </si>
  <si>
    <t>Application of Deep Learning Models in Forecasting Stock Trend Reversal Points: A Case Study at KAFI Securities Corporation</t>
  </si>
  <si>
    <r>
      <rPr>
        <u/>
        <sz val="10"/>
        <color rgb="FF1155CC"/>
        <rFont val="Roboto"/>
      </rPr>
      <t>https://drive.google.com/open?id=1MLhDKeYEz_oddqgx5S5oz6ozpTk9IveL</t>
    </r>
  </si>
  <si>
    <r>
      <rPr>
        <u/>
        <sz val="10"/>
        <color rgb="FF1155CC"/>
        <rFont val="Roboto"/>
      </rPr>
      <t>https://drive.google.com/open?id=1BjIQ2aQIx20SKBdgBp63UdsvctVp9qUv</t>
    </r>
  </si>
  <si>
    <r>
      <rPr>
        <u/>
        <sz val="10"/>
        <color rgb="FF1155CC"/>
        <rFont val="Roboto"/>
      </rPr>
      <t>https://drive.google.com/open?id=1XPWiFBJutctu0r8FMIsx5W7QveZshjwj</t>
    </r>
  </si>
  <si>
    <t>Ứng dụng mô hình học sâu lai LSTM-GRU trong dự báo điểm đảo chiều xu hướng cổ phiếu: Thực nghiệm tại thị trường chứng khoán Việt Nam</t>
  </si>
  <si>
    <r>
      <rPr>
        <u/>
        <sz val="10"/>
        <color rgb="FF1155CC"/>
        <rFont val="Roboto"/>
      </rPr>
      <t>https://drive.google.com/open?id=1apeGzQjqsRX5_mRKHRLphzoZ5xItuB0T</t>
    </r>
  </si>
  <si>
    <r>
      <rPr>
        <u/>
        <sz val="10"/>
        <color rgb="FF1155CC"/>
        <rFont val="Roboto"/>
      </rPr>
      <t>https://drive.google.com/open?id=1c3xKZHPVNn6WdQ1ZW2_9f5JgWG-mBp-d</t>
    </r>
  </si>
  <si>
    <r>
      <rPr>
        <u/>
        <sz val="10"/>
        <color rgb="FF1155CC"/>
        <rFont val="Roboto"/>
      </rPr>
      <t>https://drive.google.com/open?id=1d4e1w1Wnde-C0nw6TxMZXsDy9v9JuifF</t>
    </r>
  </si>
  <si>
    <r>
      <rPr>
        <u/>
        <sz val="10"/>
        <color rgb="FF1155CC"/>
        <rFont val="Roboto"/>
      </rPr>
      <t>https://drive.google.com/open?id=1xD4GnQ_DwxqjLUaJxYF8fFY8w7cJ7T4M</t>
    </r>
  </si>
  <si>
    <t>Xây dựng Agent Chatbot hỗ trợ Nhân viên Chăm sóc Khách hàng</t>
  </si>
  <si>
    <r>
      <rPr>
        <u/>
        <sz val="10"/>
        <color rgb="FF1155CC"/>
        <rFont val="Roboto"/>
      </rPr>
      <t>https://drive.google.com/open?id=1hRqSbp4lbhnsBOStTvimXuQVxZ3P9kPE</t>
    </r>
  </si>
  <si>
    <r>
      <rPr>
        <u/>
        <sz val="10"/>
        <color rgb="FF1155CC"/>
        <rFont val="Roboto"/>
      </rPr>
      <t>https://drive.google.com/open?id=1NP9PTScPLps9_NtfUPnBe5-d2VBc6v08</t>
    </r>
  </si>
  <si>
    <r>
      <rPr>
        <u/>
        <sz val="10"/>
        <color rgb="FF1155CC"/>
        <rFont val="Roboto"/>
      </rPr>
      <t>https://drive.google.com/open?id=1rZs5wTNqJLJM04GxrAOdk6_J0tugCpJb</t>
    </r>
  </si>
  <si>
    <t>Xây dựng trợ lý hỗ trợ nghiệp vụ ngân hàng dựa trên mô hình RAG và kỹ thuật OCR trong xử lý văn bản</t>
  </si>
  <si>
    <r>
      <rPr>
        <u/>
        <sz val="10"/>
        <color rgb="FF1155CC"/>
        <rFont val="Roboto"/>
      </rPr>
      <t>https://drive.google.com/open?id=1-CkXnJchq4dIj2pgPHRfaPhDXGfLlDB_</t>
    </r>
  </si>
  <si>
    <r>
      <rPr>
        <u/>
        <sz val="10"/>
        <color rgb="FF1155CC"/>
        <rFont val="Roboto"/>
      </rPr>
      <t>https://drive.google.com/open?id=1VJOXEsJap6q2G9l9pnpPFcVjZ5iY3lmF</t>
    </r>
  </si>
  <si>
    <r>
      <rPr>
        <u/>
        <sz val="10"/>
        <color rgb="FF1155CC"/>
        <rFont val="Roboto"/>
      </rPr>
      <t>https://drive.google.com/open?id=1rQYle3avXXgsmohbqXQdMo2Tafuw4siy</t>
    </r>
  </si>
  <si>
    <r>
      <rPr>
        <u/>
        <sz val="10"/>
        <color rgb="FF1155CC"/>
        <rFont val="Roboto"/>
      </rPr>
      <t>https://drive.google.com/open?id=1KUbWWRi5HdYIXs3hF_WPRqGxfK97CUW7</t>
    </r>
  </si>
  <si>
    <r>
      <rPr>
        <u/>
        <sz val="10"/>
        <color rgb="FF1155CC"/>
        <rFont val="Roboto"/>
      </rPr>
      <t>https://drive.google.com/open?id=1QWyfMe9-2Yw_d5k0e_trAyCbBhF0St6W</t>
    </r>
  </si>
  <si>
    <r>
      <rPr>
        <u/>
        <sz val="10"/>
        <color rgb="FF1155CC"/>
        <rFont val="Roboto"/>
      </rPr>
      <t>https://drive.google.com/open?id=1KivUsWLoJLToDIofd98zRktgO3G1ypF_</t>
    </r>
  </si>
  <si>
    <r>
      <rPr>
        <u/>
        <sz val="10"/>
        <color rgb="FF1155CC"/>
        <rFont val="Roboto"/>
      </rPr>
      <t>https://drive.google.com/open?id=1GCzdV9VoSgQuVtz80IXTmJgiOSezGoF0</t>
    </r>
  </si>
  <si>
    <r>
      <rPr>
        <u/>
        <sz val="10"/>
        <color rgb="FF1155CC"/>
        <rFont val="Roboto"/>
      </rPr>
      <t>https://drive.google.com/open?id=10ZzFlVTxL7Y8SOcNk8CGbkjtQMLBoVyi</t>
    </r>
  </si>
  <si>
    <r>
      <rPr>
        <u/>
        <sz val="10"/>
        <color rgb="FF1155CC"/>
        <rFont val="Roboto"/>
      </rPr>
      <t>https://drive.google.com/open?id=1SKY1-J0MB8tMrNO_BLS3MotISjmE-3ez</t>
    </r>
  </si>
  <si>
    <r>
      <rPr>
        <u/>
        <sz val="10"/>
        <color rgb="FF1155CC"/>
        <rFont val="Roboto"/>
      </rPr>
      <t>https://drive.google.com/open?id=1JYI0AkYczb12UstO1ABPw-5VFUxW8fhn</t>
    </r>
  </si>
  <si>
    <t>Application of Clustering Algorithms to the VN30 Stock Basket</t>
  </si>
  <si>
    <r>
      <rPr>
        <u/>
        <sz val="10"/>
        <color rgb="FF1155CC"/>
        <rFont val="Roboto"/>
      </rPr>
      <t>https://drive.google.com/open?id=1Kjdhvdv_31tSlcoELmrZbCIw1JqoZ5L8</t>
    </r>
  </si>
  <si>
    <r>
      <rPr>
        <u/>
        <sz val="10"/>
        <color rgb="FF1155CC"/>
        <rFont val="Roboto"/>
      </rPr>
      <t>https://drive.google.com/open?id=1tvPZtgVdqyzF4tUBy6q6tORQC-npp6WN</t>
    </r>
  </si>
  <si>
    <r>
      <rPr>
        <u/>
        <sz val="10"/>
        <color rgb="FF1155CC"/>
        <rFont val="Roboto"/>
      </rPr>
      <t>https://drive.google.com/open?id=1_TocPymyK03gJrLnkxY1WfHKs79Y3u4G</t>
    </r>
  </si>
  <si>
    <t>Xây dựng và so sánh hiệu quả danh mục đầu tư theo mô hình Markowitz và Downside risk trên rổ cổ phiếu VN100 kết hợp kỹ thuật phân cụm</t>
  </si>
  <si>
    <r>
      <rPr>
        <u/>
        <sz val="10"/>
        <color rgb="FF1155CC"/>
        <rFont val="Roboto"/>
      </rPr>
      <t>https://drive.google.com/open?id=1HBe6sKVWo57SYNJmGwuMlghonFnmX4hz</t>
    </r>
  </si>
  <si>
    <r>
      <rPr>
        <u/>
        <sz val="10"/>
        <color rgb="FF1155CC"/>
        <rFont val="Roboto"/>
      </rPr>
      <t>https://drive.google.com/open?id=1eO0nM4Ow5C1_Vb6v2-DApEUygeBJrq8r</t>
    </r>
  </si>
  <si>
    <r>
      <rPr>
        <u/>
        <sz val="10"/>
        <color rgb="FF1155CC"/>
        <rFont val="Roboto"/>
      </rPr>
      <t>https://drive.google.com/open?id=1VsNvtPUkM0VfGL8x_pbdCKipe-CAwbwd</t>
    </r>
  </si>
  <si>
    <r>
      <rPr>
        <u/>
        <sz val="10"/>
        <color rgb="FF1155CC"/>
        <rFont val="Roboto"/>
      </rPr>
      <t>https://drive.google.com/open?id=1CBMtWKZzH6HVYhF9vHuwlEhq2dRPom53</t>
    </r>
  </si>
  <si>
    <t>SỬ DỤNG MÁY HỌC DỰ ĐOÁN RỦI RO GIAN LẬN BÁO CÁO TÀI CHÍNH</t>
  </si>
  <si>
    <r>
      <rPr>
        <u/>
        <sz val="10"/>
        <color rgb="FF1155CC"/>
        <rFont val="Roboto"/>
      </rPr>
      <t>https://drive.google.com/open?id=1GbQkuj5jqUOmK-HROkbFAqzCQy78qV0k</t>
    </r>
  </si>
  <si>
    <r>
      <rPr>
        <u/>
        <sz val="10"/>
        <color rgb="FF1155CC"/>
        <rFont val="Roboto"/>
      </rPr>
      <t>https://drive.google.com/open?id=1FOBj-CJS_SFfIrg2n6_UXowvXyYthhtQ</t>
    </r>
  </si>
  <si>
    <r>
      <rPr>
        <u/>
        <sz val="10"/>
        <color rgb="FF1155CC"/>
        <rFont val="Roboto"/>
      </rPr>
      <t>https://drive.google.com/open?id=1KdDjoilKw-DA-egkuNSE2L59MZDKAjBA</t>
    </r>
  </si>
  <si>
    <r>
      <rPr>
        <u/>
        <sz val="10"/>
        <color rgb="FF1155CC"/>
        <rFont val="Roboto"/>
      </rPr>
      <t>https://drive.google.com/open?id=1x6N9A5xvj3l1952kvKryUl6h8W4FJ96l</t>
    </r>
  </si>
  <si>
    <r>
      <rPr>
        <u/>
        <sz val="10"/>
        <color rgb="FF1155CC"/>
        <rFont val="Roboto"/>
      </rPr>
      <t>https://drive.google.com/open?id=1RGztSfMTytFn7nu9Od7sVqan9VrhPsvP</t>
    </r>
  </si>
  <si>
    <r>
      <rPr>
        <u/>
        <sz val="10"/>
        <color rgb="FF1155CC"/>
        <rFont val="Roboto"/>
      </rPr>
      <t>https://drive.google.com/open?id=1MWfb7ytxGKfDpJdZDJ7snm7-mt6DeBrK</t>
    </r>
  </si>
  <si>
    <r>
      <rPr>
        <u/>
        <sz val="10"/>
        <color rgb="FF1155CC"/>
        <rFont val="Roboto"/>
      </rPr>
      <t>https://drive.google.com/open?id=1wPD3zN-2pyvg_yrhCNT0Y6ysJcsCy1OO</t>
    </r>
  </si>
  <si>
    <t>FINANCIAL PERFORMANCE AND OPPORTUNITY COST OF ESG-INTEGRATED PORTFOLIOS IN THE VIETNAM STOCK MARKET: AN APPROACH USING THE MARKOWITZ MODEL AND THE NSGA-II ALGORITHM</t>
  </si>
  <si>
    <r>
      <rPr>
        <u/>
        <sz val="10"/>
        <color rgb="FF1155CC"/>
        <rFont val="Roboto"/>
      </rPr>
      <t>https://drive.google.com/open?id=1qGk98rQ3khmqNE_adec0gpK31tPJt8kL</t>
    </r>
  </si>
  <si>
    <r>
      <rPr>
        <u/>
        <sz val="10"/>
        <color rgb="FF1155CC"/>
        <rFont val="Roboto"/>
      </rPr>
      <t>https://drive.google.com/open?id=1fU4FeL8ShvpbnSTnUPWQwJFRUvB3IHd3</t>
    </r>
  </si>
  <si>
    <r>
      <rPr>
        <u/>
        <sz val="10"/>
        <color rgb="FF1155CC"/>
        <rFont val="Roboto"/>
      </rPr>
      <t>https://drive.google.com/open?id=16-xOibueHCR2LpvsiZthEqQ36ugyVZuM</t>
    </r>
  </si>
  <si>
    <r>
      <rPr>
        <u/>
        <sz val="10"/>
        <color rgb="FF1155CC"/>
        <rFont val="Roboto"/>
      </rPr>
      <t>https://drive.google.com/open?id=1xSfqh-DHR1Rawo8iMrafNTP9XhVOIfBZ</t>
    </r>
  </si>
  <si>
    <r>
      <rPr>
        <u/>
        <sz val="10"/>
        <color rgb="FF1155CC"/>
        <rFont val="Roboto"/>
      </rPr>
      <t>https://drive.google.com/open?id=1KYC_-GVYf9AY--ccGxP5fJPNcyL1d49P</t>
    </r>
  </si>
  <si>
    <r>
      <rPr>
        <u/>
        <sz val="10"/>
        <color rgb="FF1155CC"/>
        <rFont val="Roboto"/>
      </rPr>
      <t>https://drive.google.com/open?id=1sBH4U539CsU4R91SLQV138bzQ890RZ9B</t>
    </r>
  </si>
  <si>
    <r>
      <rPr>
        <u/>
        <sz val="10"/>
        <color rgb="FF1155CC"/>
        <rFont val="Roboto"/>
      </rPr>
      <t>https://drive.google.com/open?id=1foJXo5vyJyZCXNtdlXHLZjjNg_TwoUqd</t>
    </r>
  </si>
  <si>
    <r>
      <rPr>
        <u/>
        <sz val="10"/>
        <color rgb="FF1155CC"/>
        <rFont val="Roboto"/>
      </rPr>
      <t>https://drive.google.com/open?id=1856Q8WWFFxfP8g7-tsfxljOcDqBUrYSo</t>
    </r>
  </si>
  <si>
    <r>
      <rPr>
        <u/>
        <sz val="10"/>
        <color rgb="FF1155CC"/>
        <rFont val="Roboto"/>
      </rPr>
      <t>https://drive.google.com/open?id=16TAzlpGz82euNV0RFnQDkq_DFMXwNUlH</t>
    </r>
  </si>
  <si>
    <r>
      <rPr>
        <u/>
        <sz val="10"/>
        <color rgb="FF1155CC"/>
        <rFont val="Roboto"/>
      </rPr>
      <t>https://drive.google.com/open?id=187IFV9QFG8b4cFl3fGsuxjgquLu6CqcM</t>
    </r>
  </si>
  <si>
    <r>
      <rPr>
        <u/>
        <sz val="10"/>
        <color rgb="FF1155CC"/>
        <rFont val="Roboto"/>
      </rPr>
      <t>https://drive.google.com/open?id=1_4WoNPmeGOdzuEQ5tydrLhD2UoON2KFv</t>
    </r>
  </si>
  <si>
    <r>
      <rPr>
        <u/>
        <sz val="10"/>
        <color rgb="FF1155CC"/>
        <rFont val="Roboto"/>
      </rPr>
      <t>https://drive.google.com/open?id=1VPP7NhXpD7CXszUkbpX5i9_i9-BMqPVG</t>
    </r>
  </si>
  <si>
    <r>
      <rPr>
        <u/>
        <sz val="10"/>
        <color rgb="FF1155CC"/>
        <rFont val="Roboto"/>
      </rPr>
      <t>https://drive.google.com/open?id=1EPNhUl4O4yR8oI9faa2k4qzYIpY7uFVJ</t>
    </r>
  </si>
  <si>
    <r>
      <rPr>
        <u/>
        <sz val="10"/>
        <color rgb="FF1155CC"/>
        <rFont val="Roboto"/>
      </rPr>
      <t>https://drive.google.com/open?id=1BvsqiOgrESwb3DnRjhzC0xoNhdLDea7P</t>
    </r>
  </si>
  <si>
    <t>HOẠT ĐỘNG CỦA BỘ PHẬN KINH DOANH TẠI CÔNG TY TRÁCH NHIỆM HỮU HẠN MỘT THÀNH VIÊN THƯƠNG MẠI DỊCH VỤ XUẤT NHẬP KHẨU NHẬT MỸ</t>
  </si>
  <si>
    <r>
      <rPr>
        <u/>
        <sz val="10"/>
        <color rgb="FF1155CC"/>
        <rFont val="Roboto"/>
      </rPr>
      <t>https://drive.google.com/open?id=1BMWzPLbc2kuqbs6nfc0I3CyP8W0FaeOM</t>
    </r>
  </si>
  <si>
    <r>
      <rPr>
        <u/>
        <sz val="10"/>
        <color rgb="FF1155CC"/>
        <rFont val="Roboto"/>
      </rPr>
      <t>https://drive.google.com/open?id=1eEHEOgyQwAkpnOFsOhVsvYwYESHzJ7Vj</t>
    </r>
  </si>
  <si>
    <r>
      <rPr>
        <u/>
        <sz val="10"/>
        <color rgb="FF1155CC"/>
        <rFont val="Roboto"/>
      </rPr>
      <t>https://drive.google.com/open?id=17PVZ2u7ns_goO5NfXBNoQO-8lKOtHQTY</t>
    </r>
  </si>
  <si>
    <r>
      <rPr>
        <u/>
        <sz val="10"/>
        <color rgb="FF1155CC"/>
        <rFont val="Roboto"/>
      </rPr>
      <t>https://drive.google.com/open?id=1nfvXbXBBOl55YDqEI_K3x-gNOV88_xgM</t>
    </r>
  </si>
  <si>
    <r>
      <rPr>
        <u/>
        <sz val="10"/>
        <color rgb="FF1155CC"/>
        <rFont val="Roboto"/>
      </rPr>
      <t>https://drive.google.com/open?id=1lwOP_mrSq1s2GMWzTBodQADxIirLGyqH</t>
    </r>
  </si>
  <si>
    <r>
      <rPr>
        <u/>
        <sz val="10"/>
        <color rgb="FF1155CC"/>
        <rFont val="Roboto"/>
      </rPr>
      <t>https://drive.google.com/open?id=1WtN9DGNOJWmV5jprpHk0Hp3HfwfopWiy</t>
    </r>
  </si>
  <si>
    <t>K22404619</t>
  </si>
  <si>
    <t>The impact of Agency Cost on Overinvestment and the Moderating Role of Free Cash Flow: Evidence in Vietnam Non-financial listed companies</t>
  </si>
  <si>
    <r>
      <rPr>
        <u/>
        <sz val="10"/>
        <color rgb="FF1155CC"/>
        <rFont val="Roboto"/>
      </rPr>
      <t>https://drive.google.com/open?id=1dqhgcS1zXIflOrXsmk3VKr3VWfieqii8</t>
    </r>
  </si>
  <si>
    <r>
      <rPr>
        <u/>
        <sz val="10"/>
        <color rgb="FF1155CC"/>
        <rFont val="Roboto"/>
      </rPr>
      <t>https://drive.google.com/open?id=1C2P2hf0V-cTK7IjQ5JUFe0Snd8kZluHk</t>
    </r>
  </si>
  <si>
    <r>
      <rPr>
        <u/>
        <sz val="10"/>
        <color rgb="FF1155CC"/>
        <rFont val="Roboto"/>
      </rPr>
      <t>https://drive.google.com/open?id=1caUCkfIJd3-NASLYcHL9fPJ0jlYXowWd</t>
    </r>
  </si>
  <si>
    <r>
      <rPr>
        <u/>
        <sz val="10"/>
        <color rgb="FF1155CC"/>
        <rFont val="Roboto"/>
      </rPr>
      <t>https://drive.google.com/open?id=1wgnNPwwir_WOuP4_yGlPuyEJpI854wIZ</t>
    </r>
  </si>
  <si>
    <r>
      <rPr>
        <u/>
        <sz val="10"/>
        <color rgb="FF1155CC"/>
        <rFont val="Roboto"/>
      </rPr>
      <t>https://drive.google.com/open?id=1pcDE6Ohuz8ad8CSwW9CBVypj8semxzKK</t>
    </r>
  </si>
  <si>
    <r>
      <rPr>
        <u/>
        <sz val="10"/>
        <color rgb="FF1155CC"/>
        <rFont val="Roboto"/>
      </rPr>
      <t>https://drive.google.com/open?id=1KSW7hLtpiOQ1qi4fgVxTQnodY41_YtRU</t>
    </r>
  </si>
  <si>
    <t>ANALYSIS OF INDIVIDUAL CUSTOMER LENDING ACTIVITIES AT THE VIETNAM BANK FOR AGRICULTURE AND RURAL DEVELOPMENT</t>
  </si>
  <si>
    <r>
      <rPr>
        <u/>
        <sz val="10"/>
        <color rgb="FF1155CC"/>
        <rFont val="Roboto"/>
      </rPr>
      <t>https://drive.google.com/open?id=1X3sB_oLKEJQhf_Mkqpqp-BdeKCJ2Ie-v</t>
    </r>
  </si>
  <si>
    <r>
      <rPr>
        <u/>
        <sz val="10"/>
        <color rgb="FF1155CC"/>
        <rFont val="Roboto"/>
      </rPr>
      <t>https://drive.google.com/open?id=1SsSI51UTy7OiOI6gEfzbjvVpapB1JBuB</t>
    </r>
  </si>
  <si>
    <r>
      <rPr>
        <u/>
        <sz val="10"/>
        <color rgb="FF1155CC"/>
        <rFont val="Roboto"/>
      </rPr>
      <t>https://drive.google.com/open?id=1hdYuwZZ9VK_HNUexm8NuZameSkNlhGVE</t>
    </r>
  </si>
  <si>
    <r>
      <rPr>
        <u/>
        <sz val="10"/>
        <color rgb="FF1155CC"/>
        <rFont val="Roboto"/>
      </rPr>
      <t>https://drive.google.com/open?id=1-fSe6ljPODfmDnuw0i9YLGHJuwBMowKW</t>
    </r>
  </si>
  <si>
    <r>
      <rPr>
        <u/>
        <sz val="10"/>
        <color rgb="FF1155CC"/>
        <rFont val="Roboto"/>
      </rPr>
      <t>https://drive.google.com/open?id=1kuch92MH67O90sGFYLWAJS1ayM9kxLQa</t>
    </r>
  </si>
  <si>
    <r>
      <rPr>
        <u/>
        <sz val="10"/>
        <color rgb="FF1155CC"/>
        <rFont val="Roboto"/>
      </rPr>
      <t>https://drive.google.com/open?id=1XMnQDn5kp4i7xZPaNh-FSBIVvG80Vws9</t>
    </r>
  </si>
  <si>
    <r>
      <rPr>
        <u/>
        <sz val="10"/>
        <color rgb="FF1155CC"/>
        <rFont val="Roboto"/>
      </rPr>
      <t>https://drive.google.com/open?id=1z1AhKmQcGeKUtuKtyn0EVKI_6MNf_Sp_</t>
    </r>
  </si>
  <si>
    <r>
      <rPr>
        <u/>
        <sz val="10"/>
        <color rgb="FF1155CC"/>
        <rFont val="Roboto"/>
      </rPr>
      <t>https://drive.google.com/open?id=1O2QGou6feFBaLvpDL53oCTcf3hIx0BK9</t>
    </r>
  </si>
  <si>
    <r>
      <rPr>
        <u/>
        <sz val="10"/>
        <color rgb="FF1155CC"/>
        <rFont val="Roboto"/>
      </rPr>
      <t>https://drive.google.com/open?id=1UZ0UgdUXIs6dQodb-RCcT9dkdSXnZo8_</t>
    </r>
  </si>
  <si>
    <r>
      <rPr>
        <u/>
        <sz val="10"/>
        <color rgb="FF1155CC"/>
        <rFont val="Roboto"/>
      </rPr>
      <t>https://drive.google.com/open?id=1S1aP9MNRxraI0Wqe-6fa3C_h6y1Ybksb</t>
    </r>
  </si>
  <si>
    <r>
      <rPr>
        <u/>
        <sz val="10"/>
        <color rgb="FF1155CC"/>
        <rFont val="Roboto"/>
      </rPr>
      <t>https://drive.google.com/open?id=1pV3dCYZAj-pE5bgCdYuZjTNK9r2yHBLF</t>
    </r>
  </si>
  <si>
    <r>
      <rPr>
        <u/>
        <sz val="10"/>
        <color rgb="FF1155CC"/>
        <rFont val="Roboto"/>
      </rPr>
      <t>https://drive.google.com/open?id=1W8MQWV4sanwhYD4NafoB-J7swZrvDuWW</t>
    </r>
  </si>
  <si>
    <r>
      <rPr>
        <u/>
        <sz val="10"/>
        <color rgb="FF1155CC"/>
        <rFont val="Roboto"/>
      </rPr>
      <t>https://drive.google.com/open?id=1UTADVLOpFqBMJR13M3GIHYLz68beUkyu</t>
    </r>
  </si>
  <si>
    <r>
      <rPr>
        <u/>
        <sz val="10"/>
        <color rgb="FF1155CC"/>
        <rFont val="Roboto"/>
      </rPr>
      <t>https://drive.google.com/open?id=1gV5fvJlvJtiqJ9kXdWw8uAtxTaoIPpPX</t>
    </r>
  </si>
  <si>
    <t>MACHINE LEARNING – BASED ESTIMATION OF OPTIMAL CORPORATE CASH HOLDING FOR NON-FINANCIAL FIRMS IN VIETNAM</t>
  </si>
  <si>
    <r>
      <rPr>
        <u/>
        <sz val="10"/>
        <color rgb="FF1155CC"/>
        <rFont val="Roboto"/>
      </rPr>
      <t>https://drive.google.com/open?id=15AVWGF0I_ywFNXJzkJHYeK3ymkBulseE</t>
    </r>
  </si>
  <si>
    <r>
      <rPr>
        <u/>
        <sz val="10"/>
        <color rgb="FF1155CC"/>
        <rFont val="Roboto"/>
      </rPr>
      <t>https://drive.google.com/open?id=1ne0wMLKGInRhVCnAJGYszBCSJsWdaGtM</t>
    </r>
  </si>
  <si>
    <r>
      <rPr>
        <u/>
        <sz val="10"/>
        <color rgb="FF1155CC"/>
        <rFont val="Roboto"/>
      </rPr>
      <t>https://drive.google.com/open?id=1UtN_BuOY7kGce6qz6sjJbuMFyVz2Z9yy</t>
    </r>
  </si>
  <si>
    <t>ỨNG DỤNG HỌC MÁY TRONG XÁC ĐỊNH TỶ LỆ NẮM GIỮ TIỀN MẶT TỐI ƯU CỦA DOANH NGHIỆP PHI TÀI CHÍNH TẠI VIỆT NAM</t>
  </si>
  <si>
    <r>
      <rPr>
        <u/>
        <sz val="10"/>
        <color rgb="FF1155CC"/>
        <rFont val="Roboto"/>
      </rPr>
      <t>https://drive.google.com/open?id=1IHmCXj6UpzuYT5Tf4zUozICgocSzpAV-</t>
    </r>
  </si>
  <si>
    <r>
      <rPr>
        <u/>
        <sz val="10"/>
        <color rgb="FF1155CC"/>
        <rFont val="Roboto"/>
      </rPr>
      <t>https://drive.google.com/open?id=1ZNE3Q8QO5Lt80cjNExoNwJTK7kHSTPQK</t>
    </r>
  </si>
  <si>
    <r>
      <rPr>
        <u/>
        <sz val="10"/>
        <color rgb="FF1155CC"/>
        <rFont val="Roboto"/>
      </rPr>
      <t>https://drive.google.com/open?id=1Q5gyEZfKzPBc5ZpfxbJO8DLThEJcbhWY</t>
    </r>
  </si>
  <si>
    <r>
      <rPr>
        <u/>
        <sz val="10"/>
        <color rgb="FF1155CC"/>
        <rFont val="Roboto"/>
      </rPr>
      <t>https://drive.google.com/open?id=1w5NbhxQ4Y6HEr6t2h2MX4UMNz_bSmaVN</t>
    </r>
  </si>
  <si>
    <t>huongly11052004@gmail.com</t>
  </si>
  <si>
    <t>Analysis of factors affecting the issuance of green bonds in developing countries</t>
  </si>
  <si>
    <r>
      <rPr>
        <u/>
        <sz val="10"/>
        <color rgb="FF1155CC"/>
        <rFont val="Roboto"/>
      </rPr>
      <t>https://drive.google.com/open?id=1mKvYKRkaD_6LgFXFWfElOye2zeFeAf8F</t>
    </r>
  </si>
  <si>
    <r>
      <rPr>
        <u/>
        <sz val="10"/>
        <color rgb="FF1155CC"/>
        <rFont val="Roboto"/>
      </rPr>
      <t>https://drive.google.com/open?id=1DJ67IZK9fbkroKFZfxHfzWwJry6OlMZc</t>
    </r>
  </si>
  <si>
    <r>
      <rPr>
        <u/>
        <sz val="10"/>
        <color rgb="FF1155CC"/>
        <rFont val="Roboto"/>
      </rPr>
      <t>https://drive.google.com/open?id=1lK5a1AvKPLqanKH_ycr0id4qESA8lyFy</t>
    </r>
  </si>
  <si>
    <r>
      <rPr>
        <u/>
        <sz val="10"/>
        <color rgb="FF1155CC"/>
        <rFont val="Roboto"/>
      </rPr>
      <t>https://drive.google.com/open?id=14rZm4z7f6_rVmj3r_6voMl_4U8rtox5F</t>
    </r>
  </si>
  <si>
    <r>
      <rPr>
        <u/>
        <sz val="10"/>
        <color rgb="FF1155CC"/>
        <rFont val="Roboto"/>
      </rPr>
      <t>https://drive.google.com/open?id=1Gv4S7HuIAS7YFM08pRlXEbQoAhJabRo3</t>
    </r>
  </si>
  <si>
    <r>
      <rPr>
        <u/>
        <sz val="10"/>
        <color rgb="FF1155CC"/>
        <rFont val="Roboto"/>
      </rPr>
      <t>https://drive.google.com/open?id=1vkWRD-FF5tvoYjw78YgKJqhEArop8JJM</t>
    </r>
  </si>
  <si>
    <r>
      <rPr>
        <u/>
        <sz val="10"/>
        <color rgb="FF1155CC"/>
        <rFont val="Roboto"/>
      </rPr>
      <t>https://drive.google.com/open?id=1WN9FMXcEch3XtjPFCAulZI0JXYDLivcs</t>
    </r>
  </si>
  <si>
    <r>
      <rPr>
        <u/>
        <sz val="10"/>
        <color rgb="FF1155CC"/>
        <rFont val="Roboto"/>
      </rPr>
      <t>https://drive.google.com/open?id=1cTOiSEPwzk0syQ-NXgLQHz0WQSNLLc6X</t>
    </r>
  </si>
  <si>
    <r>
      <rPr>
        <u/>
        <sz val="10"/>
        <color rgb="FF1155CC"/>
        <rFont val="Roboto"/>
      </rPr>
      <t>https://drive.google.com/open?id=1zxtJnmXIZDDwwI-6dKayZl89lfv7I6p4</t>
    </r>
  </si>
  <si>
    <r>
      <rPr>
        <u/>
        <sz val="10"/>
        <color rgb="FF1155CC"/>
        <rFont val="Roboto"/>
      </rPr>
      <t>https://drive.google.com/open?id=1j90coO--xBBbO1M6WnEQRC7haG5fPAZy</t>
    </r>
  </si>
  <si>
    <r>
      <rPr>
        <u/>
        <sz val="10"/>
        <color rgb="FF1155CC"/>
        <rFont val="Roboto"/>
      </rPr>
      <t>https://drive.google.com/open?id=10lpHY1hjMRfvFeUJEwOX4In0mDiuXT3J</t>
    </r>
  </si>
  <si>
    <r>
      <rPr>
        <u/>
        <sz val="10"/>
        <color rgb="FF1155CC"/>
        <rFont val="Roboto"/>
      </rPr>
      <t>https://drive.google.com/open?id=1lqSr7hotTE5eTp9mKVBsZe0V9TAtCz87</t>
    </r>
  </si>
  <si>
    <r>
      <rPr>
        <u/>
        <sz val="10"/>
        <color rgb="FF1155CC"/>
        <rFont val="Roboto"/>
      </rPr>
      <t>https://drive.google.com/open?id=1ew9hYnVDuazZ4MgYuhKpx8-ovo51tl_o</t>
    </r>
  </si>
  <si>
    <t>Unveiling Hidden Financial Statement Fraud Through Weak Supervision and Dynamic Ensemble Selection: Evidence from Vietnam</t>
  </si>
  <si>
    <r>
      <rPr>
        <u/>
        <sz val="10"/>
        <color rgb="FF1155CC"/>
        <rFont val="Roboto"/>
      </rPr>
      <t>https://drive.google.com/open?id=1a-F88-3rhsEyyPjZ5Cdn0p-ae2jxJzk3</t>
    </r>
  </si>
  <si>
    <r>
      <rPr>
        <u/>
        <sz val="10"/>
        <color rgb="FF1155CC"/>
        <rFont val="Roboto"/>
      </rPr>
      <t>https://drive.google.com/open?id=1MRFIvT2a7MbpVW9iWmNZPjjKo6Z_NFHo</t>
    </r>
  </si>
  <si>
    <r>
      <rPr>
        <u/>
        <sz val="10"/>
        <color rgb="FF1155CC"/>
        <rFont val="Roboto"/>
      </rPr>
      <t>https://drive.google.com/open?id=1hTiZVmtz1BIzOjXP90AS0HPLW9K2ezdT</t>
    </r>
  </si>
  <si>
    <r>
      <rPr>
        <u/>
        <sz val="10"/>
        <color rgb="FF1155CC"/>
        <rFont val="Roboto"/>
      </rPr>
      <t>https://drive.google.com/open?id=1XohfkH1kyZdLJBcurOVOABNzd9VZckoM</t>
    </r>
  </si>
  <si>
    <r>
      <rPr>
        <u/>
        <sz val="10"/>
        <color rgb="FF1155CC"/>
        <rFont val="Roboto"/>
      </rPr>
      <t>https://drive.google.com/open?id=1AxVTTjqBcIHDaIqg2DHdY_DNTLUa7CZ5</t>
    </r>
  </si>
  <si>
    <r>
      <rPr>
        <u/>
        <sz val="10"/>
        <color rgb="FF1155CC"/>
        <rFont val="Roboto"/>
      </rPr>
      <t>https://drive.google.com/open?id=1gaU5GJhiohPJ6vwiM1PvUN99B7Bn-94s</t>
    </r>
  </si>
  <si>
    <r>
      <rPr>
        <u/>
        <sz val="10"/>
        <color rgb="FF1155CC"/>
        <rFont val="Roboto"/>
      </rPr>
      <t>https://drive.google.com/open?id=1yAe2sD1cqBcWaV0Lm7DEmLIiyizeAO8m</t>
    </r>
  </si>
  <si>
    <r>
      <rPr>
        <u/>
        <sz val="10"/>
        <color rgb="FF1155CC"/>
        <rFont val="Roboto"/>
      </rPr>
      <t>https://drive.google.com/open?id=1TuU7-9V8ZnXcYqlKxMJMTa61STtcMv_T</t>
    </r>
  </si>
  <si>
    <r>
      <rPr>
        <u/>
        <sz val="10"/>
        <color rgb="FF1155CC"/>
        <rFont val="Roboto"/>
      </rPr>
      <t>https://drive.google.com/open?id=1qP2kBahmzpZEXRrgJJTWQLRQLAe0IPrA</t>
    </r>
  </si>
  <si>
    <r>
      <rPr>
        <u/>
        <sz val="10"/>
        <color rgb="FF1155CC"/>
        <rFont val="Roboto"/>
      </rPr>
      <t>https://drive.google.com/open?id=12WZbrcWvJeN7Dda77548IP-RmCj7OcXq</t>
    </r>
  </si>
  <si>
    <r>
      <rPr>
        <u/>
        <sz val="10"/>
        <color rgb="FF1155CC"/>
        <rFont val="Roboto"/>
      </rPr>
      <t>https://drive.google.com/open?id=1gj0XTcKScoi3VbTJQb61Kdfhp66i-Kbn</t>
    </r>
  </si>
  <si>
    <r>
      <rPr>
        <u/>
        <sz val="10"/>
        <color rgb="FF1155CC"/>
        <rFont val="Roboto"/>
      </rPr>
      <t>https://drive.google.com/open?id=1BIXksgy_Q9vgje3vPnDJv-qGyxAZR6Xd</t>
    </r>
  </si>
  <si>
    <r>
      <rPr>
        <u/>
        <sz val="10"/>
        <color rgb="FF1155CC"/>
        <rFont val="Roboto"/>
      </rPr>
      <t>https://drive.google.com/open?id=1LNI6b4ktxsZzBTtpoqDqjV8xkCHdXJYL</t>
    </r>
  </si>
  <si>
    <r>
      <rPr>
        <u/>
        <sz val="10"/>
        <color rgb="FF1155CC"/>
        <rFont val="Roboto"/>
      </rPr>
      <t>https://drive.google.com/open?id=1Ok-VdvWDlv7pFaDiLIizN1izbYt3F68w</t>
    </r>
  </si>
  <si>
    <t>nhatvyho04@gmail.com</t>
  </si>
  <si>
    <t>BUILDING STOCK TRADING SYSTEM: COMPARING TRADITIONAL TECHNICAL INDICATORS WITH MACHINE LEARNING FOR TRADING SIGNAL GENERATION</t>
  </si>
  <si>
    <r>
      <rPr>
        <u/>
        <sz val="10"/>
        <color rgb="FF1155CC"/>
        <rFont val="Roboto"/>
      </rPr>
      <t>https://drive.google.com/open?id=17m0KfdZXqUUUl9GK087cBC0EYQ7_NaxY</t>
    </r>
  </si>
  <si>
    <r>
      <rPr>
        <u/>
        <sz val="10"/>
        <color rgb="FF1155CC"/>
        <rFont val="Roboto"/>
      </rPr>
      <t>https://drive.google.com/open?id=1FUs6mNzfUD3uNRtui8OTiyLz62bCxCsQ</t>
    </r>
  </si>
  <si>
    <r>
      <rPr>
        <u/>
        <sz val="10"/>
        <color rgb="FF1155CC"/>
        <rFont val="Roboto"/>
      </rPr>
      <t>https://drive.google.com/open?id=1hdIp_z_on1rF6kBAOldgAodt6TO01WaA</t>
    </r>
  </si>
  <si>
    <t>XÂY DỰNG HỆ THỐNG GIAO DỊCH CỔ PHIẾU: SO SÁNH DỰ BÁO TÍN HIỆU GIAO DỊCH: PHƯƠNG PHÁP KỸ THUẬT TRUYỀN THỐNG VÀ MACHINE LEARNING</t>
  </si>
  <si>
    <r>
      <rPr>
        <u/>
        <sz val="10"/>
        <color rgb="FF1155CC"/>
        <rFont val="Roboto"/>
      </rPr>
      <t>https://drive.google.com/open?id=1PxZ3CQdJ6MRHVAhJxcILeCY7uISOQ9sx</t>
    </r>
  </si>
  <si>
    <r>
      <rPr>
        <u/>
        <sz val="10"/>
        <color rgb="FF1155CC"/>
        <rFont val="Roboto"/>
      </rPr>
      <t>https://drive.google.com/open?id=1tk3deYnlBT_HQvyVtnWPQhx0VnzLw-kW</t>
    </r>
  </si>
  <si>
    <r>
      <rPr>
        <u/>
        <sz val="10"/>
        <color rgb="FF1155CC"/>
        <rFont val="Roboto"/>
      </rPr>
      <t>https://drive.google.com/open?id=1w_th_o_oe1e9BQ4ktSyCKPPYP1bB4l8j</t>
    </r>
  </si>
  <si>
    <r>
      <rPr>
        <u/>
        <sz val="10"/>
        <color rgb="FF1155CC"/>
        <rFont val="Roboto"/>
      </rPr>
      <t>https://drive.google.com/open?id=1tum6Kd_DrW-48EL4cRjW1SFoo-t_mtkA</t>
    </r>
  </si>
  <si>
    <t>PHÂN TÍCH CHẤT LƯỢNG DỊCH VỤ KHÁCH HÀNG TẠI NGÂN HÀNG THƯƠNG MẠI CỔ PHẦN SÀI GÒN – HÀ NỘI – CHI NHÁNH QUẢNG NGÃI</t>
  </si>
  <si>
    <r>
      <rPr>
        <u/>
        <sz val="10"/>
        <color rgb="FF1155CC"/>
        <rFont val="Roboto"/>
      </rPr>
      <t>https://drive.google.com/open?id=1Du5K4AR_-OV5I0XdOGeWWY1N1y4MqxSD</t>
    </r>
  </si>
  <si>
    <r>
      <rPr>
        <u/>
        <sz val="10"/>
        <color rgb="FF1155CC"/>
        <rFont val="Roboto"/>
      </rPr>
      <t>https://drive.google.com/open?id=1tXRBO_-jJcFXyb4HfjTbL2UvXus1gBy_</t>
    </r>
  </si>
  <si>
    <r>
      <rPr>
        <u/>
        <sz val="10"/>
        <color rgb="FF1155CC"/>
        <rFont val="Roboto"/>
      </rPr>
      <t>https://drive.google.com/open?id=1cwc9foRx38U2OOaSqjE9TTQJpJUR4djW</t>
    </r>
  </si>
  <si>
    <r>
      <rPr>
        <u/>
        <sz val="10"/>
        <color rgb="FF1155CC"/>
        <rFont val="Roboto"/>
      </rPr>
      <t>https://drive.google.com/open?id=1jc7fXPv1wf52g4ApMQpNbwU67t9CZQbi</t>
    </r>
  </si>
  <si>
    <r>
      <rPr>
        <u/>
        <sz val="10"/>
        <color rgb="FF1155CC"/>
        <rFont val="Roboto"/>
      </rPr>
      <t>https://drive.google.com/open?id=1SYeFmtmRykFwc-pi5hsOEnlYvWqTKBIB</t>
    </r>
  </si>
  <si>
    <r>
      <rPr>
        <u/>
        <sz val="10"/>
        <color rgb="FF1155CC"/>
        <rFont val="Roboto"/>
      </rPr>
      <t>https://drive.google.com/open?id=1FJgp55cUD7GB_Zh0Hj2CLxe9d54wRIvf</t>
    </r>
  </si>
  <si>
    <r>
      <rPr>
        <u/>
        <sz val="10"/>
        <color rgb="FF1155CC"/>
        <rFont val="Roboto"/>
      </rPr>
      <t>https://drive.google.com/open?id=1emqedl2UEuxo5dzjZ7EUstQuMBccP_Qb</t>
    </r>
  </si>
  <si>
    <t>XÂY DỰNG HỆ THỐNG HỖ TRỢ QUYẾT ĐỊNH ĐẦU TƯ CHỨNG KHOÁN DỰA TRÊN MACHINE LEARNING, TỐI ƯU DANH MỤC THEO MARKOWITZ VÀ CHATBOT SỬ DỤNG MÔ HÌNH NGÔN NGỮ LỚN</t>
  </si>
  <si>
    <r>
      <rPr>
        <u/>
        <sz val="10"/>
        <color rgb="FF1155CC"/>
        <rFont val="Roboto"/>
      </rPr>
      <t>https://drive.google.com/open?id=1Yydyi4DgM9JB8k4WYKpKmUuokDuhxgSZ</t>
    </r>
  </si>
  <si>
    <r>
      <rPr>
        <u/>
        <sz val="10"/>
        <color rgb="FF1155CC"/>
        <rFont val="Roboto"/>
      </rPr>
      <t>https://drive.google.com/open?id=1POTSd8KRPk892pkuttvy3UVpfAtFlAwf</t>
    </r>
  </si>
  <si>
    <r>
      <rPr>
        <u/>
        <sz val="10"/>
        <color rgb="FF1155CC"/>
        <rFont val="Roboto"/>
      </rPr>
      <t>https://drive.google.com/open?id=1yXwxtcn2TSosQTcyGwWeRRE0_lCau0SJ</t>
    </r>
  </si>
  <si>
    <r>
      <rPr>
        <u/>
        <sz val="10"/>
        <color rgb="FF1155CC"/>
        <rFont val="Roboto"/>
      </rPr>
      <t>https://drive.google.com/open?id=1lGSvce6eokP8gde93QUuRwi_6C08vTCI</t>
    </r>
  </si>
  <si>
    <r>
      <rPr>
        <u/>
        <sz val="10"/>
        <color rgb="FF1155CC"/>
        <rFont val="Roboto"/>
      </rPr>
      <t>https://drive.google.com/open?id=1iGYCMu1VvjzMptAvGw8G67q-Jc7vwTFv</t>
    </r>
  </si>
  <si>
    <r>
      <rPr>
        <u/>
        <sz val="10"/>
        <color rgb="FF1155CC"/>
        <rFont val="Roboto"/>
      </rPr>
      <t>https://drive.google.com/open?id=1U3CnEa6ocFvdc8GHJVYyNGYQtbzw-W8U</t>
    </r>
  </si>
  <si>
    <r>
      <rPr>
        <u/>
        <sz val="10"/>
        <color rgb="FF1155CC"/>
        <rFont val="Roboto"/>
      </rPr>
      <t>https://drive.google.com/open?id=19usFsYWjPQJXbuF8xQcnqahwXwxLIFDW</t>
    </r>
  </si>
  <si>
    <r>
      <rPr>
        <u/>
        <sz val="10"/>
        <color rgb="FF1155CC"/>
        <rFont val="Roboto"/>
      </rPr>
      <t>https://drive.google.com/open?id=1kGS2UfMW4YwWBWHHWgz84TahRH_405Dc</t>
    </r>
  </si>
  <si>
    <r>
      <rPr>
        <u/>
        <sz val="10"/>
        <color rgb="FF1155CC"/>
        <rFont val="Roboto"/>
      </rPr>
      <t>https://drive.google.com/open?id=1lIBbvy7zZAFYjIci8_JwV4AJICHWQF25</t>
    </r>
  </si>
  <si>
    <r>
      <rPr>
        <u/>
        <sz val="10"/>
        <color rgb="FF1155CC"/>
        <rFont val="Roboto"/>
      </rPr>
      <t>https://drive.google.com/open?id=1hPd-y0QRyP7xAS-Ua-vkhwZN1TUpFtAI</t>
    </r>
  </si>
  <si>
    <r>
      <rPr>
        <u/>
        <sz val="10"/>
        <color rgb="FF1155CC"/>
        <rFont val="Roboto"/>
      </rPr>
      <t>https://drive.google.com/open?id=1xltPUoWnClLWrv2nWIgqT_Aw1VBJxBLB</t>
    </r>
  </si>
  <si>
    <r>
      <rPr>
        <u/>
        <sz val="10"/>
        <color rgb="FF1155CC"/>
        <rFont val="Roboto"/>
      </rPr>
      <t>https://drive.google.com/open?id=1SNM4D0O4WnYwmkuTkTN5VCsW2C0cWmBM</t>
    </r>
  </si>
  <si>
    <r>
      <rPr>
        <u/>
        <sz val="10"/>
        <color rgb="FF1155CC"/>
        <rFont val="Roboto"/>
      </rPr>
      <t>https://drive.google.com/open?id=1cOInpL22aN1zqpejWt5Rz5RJmWVP8b9A</t>
    </r>
  </si>
  <si>
    <r>
      <rPr>
        <u/>
        <sz val="10"/>
        <color rgb="FF1155CC"/>
        <rFont val="Roboto"/>
      </rPr>
      <t>https://drive.google.com/open?id=1bRmRcOoyot2eNBXY4xcJjG9itcztWplK</t>
    </r>
  </si>
  <si>
    <r>
      <rPr>
        <u/>
        <sz val="10"/>
        <color rgb="FF1155CC"/>
        <rFont val="Roboto"/>
      </rPr>
      <t>https://drive.google.com/open?id=1N-metQOioBkML6eHKGqkjOa-ojxspUaw</t>
    </r>
  </si>
  <si>
    <r>
      <rPr>
        <u/>
        <sz val="10"/>
        <color rgb="FF1155CC"/>
        <rFont val="Roboto"/>
      </rPr>
      <t>https://drive.google.com/open?id=1UtSbpdL0wgV7fYMMRFGRvdpYQqAWiXGn</t>
    </r>
  </si>
  <si>
    <r>
      <rPr>
        <u/>
        <sz val="10"/>
        <color rgb="FF1155CC"/>
        <rFont val="Roboto"/>
      </rPr>
      <t>https://drive.google.com/open?id=1153IDWCNz6trk9W6EzfQ2m3DdjqONwc1</t>
    </r>
  </si>
  <si>
    <r>
      <rPr>
        <u/>
        <sz val="10"/>
        <color rgb="FF1155CC"/>
        <rFont val="Roboto"/>
      </rPr>
      <t>https://drive.google.com/open?id=10UiWBXmtXE6rN1vZae6BNOE4nnwOV4P9</t>
    </r>
  </si>
  <si>
    <r>
      <rPr>
        <u/>
        <sz val="10"/>
        <color rgb="FF1155CC"/>
        <rFont val="Roboto"/>
      </rPr>
      <t>https://drive.google.com/open?id=1sLcI2HtyjXJSjXc-km5CZooJ1hbszcx5</t>
    </r>
  </si>
  <si>
    <r>
      <rPr>
        <u/>
        <sz val="10"/>
        <color rgb="FF1155CC"/>
        <rFont val="Roboto"/>
      </rPr>
      <t>https://drive.google.com/open?id=1VFwLWPENj83jC1zsdzhw3kSg_M2KEelZ</t>
    </r>
  </si>
  <si>
    <t>Xếp hạng tín nhiệm các Ngân hàng thương mại tại Việt Nam dựa trên chỉ số tài chính tổng hợp</t>
  </si>
  <si>
    <r>
      <rPr>
        <u/>
        <sz val="10"/>
        <color rgb="FF1155CC"/>
        <rFont val="Roboto"/>
      </rPr>
      <t>https://drive.google.com/open?id=1jX-4KaRAtsygnkcFdI_zbYTxjI4hAoHV</t>
    </r>
  </si>
  <si>
    <r>
      <rPr>
        <u/>
        <sz val="10"/>
        <color rgb="FF1155CC"/>
        <rFont val="Roboto"/>
      </rPr>
      <t>https://drive.google.com/open?id=1GCGMDJf8Nawi7L4r0390eIF5MEyTD17o</t>
    </r>
  </si>
  <si>
    <r>
      <rPr>
        <u/>
        <sz val="10"/>
        <color rgb="FF1155CC"/>
        <rFont val="Roboto"/>
      </rPr>
      <t>https://drive.google.com/open?id=1MR6Xehd9yJupvdOpSpMTs_Nfote25Hda</t>
    </r>
  </si>
  <si>
    <r>
      <rPr>
        <u/>
        <sz val="10"/>
        <color rgb="FF1155CC"/>
        <rFont val="Roboto"/>
      </rPr>
      <t>https://drive.google.com/open?id=1Eh72Ph2M1E1oyxl12YcWeHNOexQk04dD</t>
    </r>
  </si>
  <si>
    <r>
      <rPr>
        <u/>
        <sz val="10"/>
        <color rgb="FF1155CC"/>
        <rFont val="Roboto"/>
      </rPr>
      <t>https://drive.google.com/open?id=1-mXPqR0BOmaZwqXMfMy1MvUJ7ZoJp7VF</t>
    </r>
  </si>
  <si>
    <r>
      <rPr>
        <u/>
        <sz val="10"/>
        <color rgb="FF1155CC"/>
        <rFont val="Roboto"/>
      </rPr>
      <t>https://drive.google.com/open?id=1oE3_zoS4AASoCgR4CmnkuyUvMot1MB2g</t>
    </r>
  </si>
  <si>
    <r>
      <rPr>
        <u/>
        <sz val="10"/>
        <color rgb="FF1155CC"/>
        <rFont val="Roboto"/>
      </rPr>
      <t>https://drive.google.com/open?id=1vk7iVXK4oTHRGQoO6Pw0R49Clq_9MYsO</t>
    </r>
  </si>
  <si>
    <r>
      <rPr>
        <u/>
        <sz val="10"/>
        <color rgb="FF1155CC"/>
        <rFont val="Roboto"/>
      </rPr>
      <t>https://drive.google.com/open?id=1QrmTPSqdJ7-b-afzBFfSZSES4mQ4fuzF</t>
    </r>
  </si>
  <si>
    <r>
      <rPr>
        <u/>
        <sz val="10"/>
        <color rgb="FF1155CC"/>
        <rFont val="Roboto"/>
      </rPr>
      <t>https://drive.google.com/open?id=12SSXRqShHzQxlToSS9ggufQz1OLWAqet</t>
    </r>
  </si>
  <si>
    <r>
      <rPr>
        <u/>
        <sz val="10"/>
        <color rgb="FF1155CC"/>
        <rFont val="Roboto"/>
      </rPr>
      <t>https://drive.google.com/open?id=1gnHRtxvnFb5EhOlF_MKmIUfnjyxb6znk</t>
    </r>
  </si>
  <si>
    <r>
      <rPr>
        <u/>
        <sz val="10"/>
        <color rgb="FF1155CC"/>
        <rFont val="Roboto"/>
      </rPr>
      <t>https://drive.google.com/open?id=12cFSDH0GuX9HjaeSIOjZeugd06MdvNM8</t>
    </r>
  </si>
  <si>
    <r>
      <rPr>
        <u/>
        <sz val="10"/>
        <color rgb="FF1155CC"/>
        <rFont val="Roboto"/>
      </rPr>
      <t>https://drive.google.com/open?id=1RUsP3lf_PIf8K92_Sf-uef0JrX0FzhPk</t>
    </r>
  </si>
  <si>
    <r>
      <rPr>
        <u/>
        <sz val="10"/>
        <color rgb="FF1155CC"/>
        <rFont val="Roboto"/>
      </rPr>
      <t>https://drive.google.com/open?id=1H9pMCTQ3YQ0IoaI6G8LvRqpqB4VajsU0</t>
    </r>
  </si>
  <si>
    <r>
      <rPr>
        <u/>
        <sz val="10"/>
        <color rgb="FF1155CC"/>
        <rFont val="Roboto"/>
      </rPr>
      <t>https://drive.google.com/open?id=1mLHOl0k_jH9DZv1QaQPdVLLOqHT__zd_</t>
    </r>
  </si>
  <si>
    <r>
      <rPr>
        <u/>
        <sz val="10"/>
        <color rgb="FF1155CC"/>
        <rFont val="Roboto"/>
      </rPr>
      <t>https://drive.google.com/open?id=1tzdiUNyM9R5UmezcOyUZWyhMOJ1OXSZf</t>
    </r>
  </si>
  <si>
    <r>
      <rPr>
        <u/>
        <sz val="10"/>
        <color rgb="FF1155CC"/>
        <rFont val="Roboto"/>
      </rPr>
      <t>https://drive.google.com/open?id=14BueM2JPAWozHYKykmq84vh7X6-tNJFU</t>
    </r>
  </si>
  <si>
    <r>
      <rPr>
        <u/>
        <sz val="10"/>
        <color rgb="FF1155CC"/>
        <rFont val="Roboto"/>
      </rPr>
      <t>https://drive.google.com/open?id=1nEhyjOkz0VE0PBQIhqFTJpv1fKyUfA56</t>
    </r>
  </si>
  <si>
    <r>
      <rPr>
        <u/>
        <sz val="10"/>
        <color rgb="FF1155CC"/>
        <rFont val="Roboto"/>
      </rPr>
      <t>https://drive.google.com/open?id=16-X_PSjs7JIlHm8uxtM_p7IdlbKdl69a</t>
    </r>
  </si>
  <si>
    <r>
      <rPr>
        <u/>
        <sz val="10"/>
        <color rgb="FF1155CC"/>
        <rFont val="Roboto"/>
      </rPr>
      <t>https://drive.google.com/open?id=1SjYXA8vBAtqhSoQB5vBlHx1Ut35nOy6o</t>
    </r>
  </si>
  <si>
    <t>FINTECH PARTNERSHIPS AND THE PERFORMANCE OF VIETNAMESE COMMERCIAL BANKS: EVIDENCE ON THE ROLE OF CEO GENDER</t>
  </si>
  <si>
    <r>
      <rPr>
        <u/>
        <sz val="10"/>
        <color rgb="FF1155CC"/>
        <rFont val="Roboto"/>
      </rPr>
      <t>https://drive.google.com/open?id=1Nd5nggmZWYpCISXzVPp4HxV7W7AErtPs</t>
    </r>
  </si>
  <si>
    <r>
      <rPr>
        <u/>
        <sz val="10"/>
        <color rgb="FF1155CC"/>
        <rFont val="Roboto"/>
      </rPr>
      <t>https://drive.google.com/open?id=1RzWPPha3_M2DmNIyDrNjqQICYCwhXj2H</t>
    </r>
  </si>
  <si>
    <r>
      <rPr>
        <u/>
        <sz val="10"/>
        <color rgb="FF1155CC"/>
        <rFont val="Roboto"/>
      </rPr>
      <t>https://drive.google.com/open?id=1kTWt5tWYpqueLEaUuuH9ExeoaKGnw0Tt</t>
    </r>
  </si>
  <si>
    <r>
      <rPr>
        <u/>
        <sz val="10"/>
        <color rgb="FF1155CC"/>
        <rFont val="Roboto"/>
      </rPr>
      <t>https://drive.google.com/open?id=1w0gYi1WcKDjZDrOpTeDJPi8WuJN5DOLY</t>
    </r>
  </si>
  <si>
    <r>
      <rPr>
        <u/>
        <sz val="10"/>
        <color rgb="FF1155CC"/>
        <rFont val="Roboto"/>
      </rPr>
      <t>https://drive.google.com/open?id=1INN_8HLDZA_E5yBd1V43olBLNB_wbXg_</t>
    </r>
  </si>
  <si>
    <r>
      <rPr>
        <u/>
        <sz val="10"/>
        <color rgb="FF1155CC"/>
        <rFont val="Roboto"/>
      </rPr>
      <t>https://drive.google.com/open?id=1c6fabf-BBpQ7C7ChMP61eHyQl52MRqDv</t>
    </r>
  </si>
  <si>
    <r>
      <rPr>
        <u/>
        <sz val="10"/>
        <color rgb="FF1155CC"/>
        <rFont val="Roboto"/>
      </rPr>
      <t>https://drive.google.com/open?id=12IcXMaMTsWSKeN5AsZz26ePXIPq5MNcU</t>
    </r>
  </si>
  <si>
    <t>ANALYSIS OF FINANCIAL MANAGEMENT EFFICIENCY OF HO CHI MINH CITY DEVELOPMENT JOINT STOCK COMMECIAL BANK (HDBANK) USING THE CAMELS FRAMEWORK DURING THE PERIOD 2019 – 2023</t>
  </si>
  <si>
    <r>
      <rPr>
        <u/>
        <sz val="10"/>
        <color rgb="FF1155CC"/>
        <rFont val="Roboto"/>
      </rPr>
      <t>https://drive.google.com/open?id=1MFZGl7XMlI44-QYpHzglpCtoExUefhQd</t>
    </r>
  </si>
  <si>
    <r>
      <rPr>
        <u/>
        <sz val="10"/>
        <color rgb="FF1155CC"/>
        <rFont val="Roboto"/>
      </rPr>
      <t>https://drive.google.com/open?id=1GrHgtiuGMFVeBOLpCK6CmQIfigbDe2oZ</t>
    </r>
  </si>
  <si>
    <r>
      <rPr>
        <u/>
        <sz val="10"/>
        <color rgb="FF1155CC"/>
        <rFont val="Roboto"/>
      </rPr>
      <t>https://drive.google.com/open?id=1h_TO-sTgcFptcf50OXTslG2EfVTnWSB4</t>
    </r>
  </si>
  <si>
    <r>
      <rPr>
        <u/>
        <sz val="10"/>
        <color rgb="FF1155CC"/>
        <rFont val="Roboto"/>
      </rPr>
      <t>https://drive.google.com/open?id=1IZUczFmSsSUx3cFTANtXrp3D_qMwm_9P</t>
    </r>
  </si>
  <si>
    <r>
      <rPr>
        <u/>
        <sz val="10"/>
        <color rgb="FF1155CC"/>
        <rFont val="Roboto"/>
      </rPr>
      <t>https://drive.google.com/open?id=1G054BX5vZlNLCG-TAWB89PBRP1XdIkde</t>
    </r>
  </si>
  <si>
    <r>
      <rPr>
        <u/>
        <sz val="10"/>
        <color rgb="FF1155CC"/>
        <rFont val="Roboto"/>
      </rPr>
      <t>https://drive.google.com/open?id=10KpeldYPf4sJpud9ge7TWANnBWQH8bwK</t>
    </r>
  </si>
  <si>
    <t>Financial Determinants Of Corporate Cash Holdings: Evidence From Non-Financial Listed Companies In Vietnam</t>
  </si>
  <si>
    <r>
      <rPr>
        <u/>
        <sz val="10"/>
        <color rgb="FF1155CC"/>
        <rFont val="Roboto"/>
      </rPr>
      <t>https://drive.google.com/open?id=15DE4ZDiUrX2Yh0qnS6mae8EIl_6JRhlZ</t>
    </r>
  </si>
  <si>
    <r>
      <rPr>
        <u/>
        <sz val="10"/>
        <color rgb="FF1155CC"/>
        <rFont val="Roboto"/>
      </rPr>
      <t>https://drive.google.com/open?id=1MhUnV9MtNjlLmgXuyUrIMZLZnfRH5TvG</t>
    </r>
  </si>
  <si>
    <r>
      <rPr>
        <u/>
        <sz val="10"/>
        <color rgb="FF1155CC"/>
        <rFont val="Roboto"/>
      </rPr>
      <t>https://drive.google.com/open?id=1JvUxqipLGRDzkgSeYKYh9142XUxwR3mz</t>
    </r>
  </si>
  <si>
    <r>
      <rPr>
        <u/>
        <sz val="10"/>
        <color rgb="FF1155CC"/>
        <rFont val="Roboto"/>
      </rPr>
      <t>https://drive.google.com/open?id=1Rwo5UibdDKr23FYYs5uFNi0kccDucLfJ</t>
    </r>
  </si>
  <si>
    <r>
      <rPr>
        <u/>
        <sz val="10"/>
        <color rgb="FF1155CC"/>
        <rFont val="Roboto"/>
      </rPr>
      <t>https://drive.google.com/open?id=15XhpoL6FG4YGwaGAz25RtvyoaYiLnysp</t>
    </r>
  </si>
  <si>
    <r>
      <rPr>
        <u/>
        <sz val="10"/>
        <color rgb="FF1155CC"/>
        <rFont val="Roboto"/>
      </rPr>
      <t>https://drive.google.com/open?id=1MfWRRsZzZqRjRiU5J6Akt859NdTVSw06</t>
    </r>
  </si>
  <si>
    <r>
      <rPr>
        <u/>
        <sz val="10"/>
        <color rgb="FF1155CC"/>
        <rFont val="Roboto"/>
      </rPr>
      <t>https://drive.google.com/open?id=1FpikhrrgeakMA1jsqRLSHvHCUhNsl2o3</t>
    </r>
  </si>
  <si>
    <r>
      <rPr>
        <u/>
        <sz val="10"/>
        <color rgb="FF1155CC"/>
        <rFont val="Roboto"/>
      </rPr>
      <t>https://drive.google.com/open?id=1uRkJoL8a427wRXKLculD4eqPuSKEKN7S</t>
    </r>
  </si>
  <si>
    <r>
      <rPr>
        <u/>
        <sz val="10"/>
        <color rgb="FF1155CC"/>
        <rFont val="Roboto"/>
      </rPr>
      <t>https://drive.google.com/open?id=1FA9m-ZC85a101ZrFUkIi2_XLadbFGbB2</t>
    </r>
  </si>
  <si>
    <r>
      <rPr>
        <u/>
        <sz val="10"/>
        <color rgb="FF1155CC"/>
        <rFont val="Roboto"/>
      </rPr>
      <t>https://drive.google.com/open?id=1wwwobvHURW1OuA9Svdor_ihBk0_vqV3F</t>
    </r>
  </si>
  <si>
    <r>
      <rPr>
        <u/>
        <sz val="10"/>
        <color rgb="FF1155CC"/>
        <rFont val="Roboto"/>
      </rPr>
      <t>https://drive.google.com/open?id=1MMO2klqiwJmVx71SU3BM3tUGI3JYt4N6</t>
    </r>
  </si>
  <si>
    <r>
      <rPr>
        <u/>
        <sz val="10"/>
        <color rgb="FF1155CC"/>
        <rFont val="Roboto"/>
      </rPr>
      <t>https://drive.google.com/open?id=18c7u_or8pO5n6YHqBse2nhgqnbkgaIq0</t>
    </r>
  </si>
  <si>
    <r>
      <rPr>
        <u/>
        <sz val="10"/>
        <color rgb="FF1155CC"/>
        <rFont val="Roboto"/>
      </rPr>
      <t>https://drive.google.com/open?id=1rNRpMNXiZIcH7bXRVDrbgTdfDrFu198F</t>
    </r>
  </si>
  <si>
    <r>
      <rPr>
        <u/>
        <sz val="10"/>
        <color rgb="FF1155CC"/>
        <rFont val="Roboto"/>
      </rPr>
      <t>https://drive.google.com/open?id=1dReAwzubtvA1aM2eVHwqdU-GcDKZbst4</t>
    </r>
  </si>
  <si>
    <t>Các yếu tố ảnh hưởng đến hành vi sử dụng và duy trì thanh toán số tại Việt Nam: Tiếp cận kết hợp phân tích định lượng và khai phá dữ liệu cảm xúc.</t>
  </si>
  <si>
    <r>
      <rPr>
        <u/>
        <sz val="10"/>
        <color rgb="FF1155CC"/>
        <rFont val="Roboto"/>
      </rPr>
      <t>https://drive.google.com/open?id=1EW521o6EsqDPKN4Ls3xmI5PWrzCECI8r</t>
    </r>
  </si>
  <si>
    <r>
      <rPr>
        <u/>
        <sz val="10"/>
        <color rgb="FF1155CC"/>
        <rFont val="Roboto"/>
      </rPr>
      <t>https://drive.google.com/open?id=1njvmG4_yFT_PxWQEx74dVbsfPKsawp2r</t>
    </r>
  </si>
  <si>
    <r>
      <rPr>
        <u/>
        <sz val="10"/>
        <color rgb="FF1155CC"/>
        <rFont val="Roboto"/>
      </rPr>
      <t>https://drive.google.com/open?id=1BGcY_84iIfOD-LDrayg9hlSzUAZQPejs</t>
    </r>
  </si>
  <si>
    <r>
      <rPr>
        <u/>
        <sz val="10"/>
        <color rgb="FF1155CC"/>
        <rFont val="Roboto"/>
      </rPr>
      <t>https://drive.google.com/open?id=13dM8Jgv_WKqJWF6vFfUqOB9izDPx4iT8</t>
    </r>
  </si>
  <si>
    <t>PHÂN TÍCH VÀ ỨNG DỤNG HỌC MÁY TRONG CẢNH BÁO SỚM RỦI RO TÀI CHÍNH CỦA CÁC DOANH NGHIỆP PHI TÀI CHÍNH NIÊM YẾT TẠI VIỆT NAM</t>
  </si>
  <si>
    <r>
      <rPr>
        <u/>
        <sz val="10"/>
        <color rgb="FF1155CC"/>
        <rFont val="Roboto"/>
      </rPr>
      <t>https://drive.google.com/open?id=1C11FbRgWuRhvRLn0A-GJP71ivs78Nuln</t>
    </r>
  </si>
  <si>
    <r>
      <rPr>
        <u/>
        <sz val="10"/>
        <color rgb="FF1155CC"/>
        <rFont val="Roboto"/>
      </rPr>
      <t>https://drive.google.com/open?id=1rznn3NDPrQrgrAcDtCH0D5xxMSEq083g</t>
    </r>
  </si>
  <si>
    <r>
      <rPr>
        <u/>
        <sz val="10"/>
        <color rgb="FF1155CC"/>
        <rFont val="Roboto"/>
      </rPr>
      <t>https://drive.google.com/open?id=1ck4ueyFOzvWD5YlSQrTG8a1zMr0Xd9lg</t>
    </r>
  </si>
  <si>
    <r>
      <rPr>
        <u/>
        <sz val="10"/>
        <color rgb="FF1155CC"/>
        <rFont val="Roboto"/>
      </rPr>
      <t>https://drive.google.com/open?id=1ik8rS8-FKwXAote9J5tcBc2yA80_AfRp</t>
    </r>
  </si>
  <si>
    <r>
      <rPr>
        <u/>
        <sz val="10"/>
        <color rgb="FF1155CC"/>
        <rFont val="Roboto"/>
      </rPr>
      <t>https://drive.google.com/open?id=1VeJNlV_NkR2K-yCn7sqXIiVDRaLovyQ7</t>
    </r>
  </si>
  <si>
    <r>
      <rPr>
        <u/>
        <sz val="10"/>
        <color rgb="FF1155CC"/>
        <rFont val="Roboto"/>
      </rPr>
      <t>https://drive.google.com/open?id=1t4W2DmEesY7z3Tqr2toaONyeH4hfV1Zb</t>
    </r>
  </si>
  <si>
    <r>
      <rPr>
        <u/>
        <sz val="10"/>
        <color rgb="FF1155CC"/>
        <rFont val="Roboto"/>
      </rPr>
      <t>https://drive.google.com/open?id=113l9gmlaKPrLByxtFxLaMA3khi9h_tHL</t>
    </r>
  </si>
  <si>
    <t>k224040613</t>
  </si>
  <si>
    <t>AN ANALYSIS OF LENDING ACTIVITIES FOR INDIVIDUAL CUSTOMERS AT VIETNAM JOINT STOCK COMMERCIAL BANK FOR INDUSTRY AND TRADE - NAM SAI GON BRANCH</t>
  </si>
  <si>
    <r>
      <rPr>
        <u/>
        <sz val="10"/>
        <color rgb="FF1155CC"/>
        <rFont val="Roboto"/>
      </rPr>
      <t>https://drive.google.com/open?id=1lpz0HdRvb8NV3OCSIrNZurGjEFagzL52</t>
    </r>
  </si>
  <si>
    <r>
      <rPr>
        <u/>
        <sz val="10"/>
        <color rgb="FF1155CC"/>
        <rFont val="Roboto"/>
      </rPr>
      <t>https://drive.google.com/open?id=16uLZJ3LGRSA-b2veqxJByic3IXhf1g16</t>
    </r>
  </si>
  <si>
    <r>
      <rPr>
        <u/>
        <sz val="10"/>
        <color rgb="FF1155CC"/>
        <rFont val="Roboto"/>
      </rPr>
      <t>https://drive.google.com/open?id=1sl_yva5_KwOuMYsJX1ARYwDzq4rlovLE</t>
    </r>
  </si>
  <si>
    <r>
      <rPr>
        <u/>
        <sz val="10"/>
        <color rgb="FF1155CC"/>
        <rFont val="Roboto"/>
      </rPr>
      <t>https://drive.google.com/open?id=1mbOmRU9UhnMj1e3Ac0UBN7MiyAPrul9H</t>
    </r>
  </si>
  <si>
    <r>
      <rPr>
        <u/>
        <sz val="10"/>
        <color rgb="FF1155CC"/>
        <rFont val="Roboto"/>
      </rPr>
      <t>https://drive.google.com/open?id=1GT-uxLYPudOJ-mK7Uzgu157fiUgjih8p</t>
    </r>
  </si>
  <si>
    <r>
      <rPr>
        <u/>
        <sz val="10"/>
        <color rgb="FF1155CC"/>
        <rFont val="Roboto"/>
      </rPr>
      <t>https://drive.google.com/open?id=1f9uojzFUBga16paETrwmlx-wGowbbVF6</t>
    </r>
  </si>
  <si>
    <r>
      <rPr>
        <u/>
        <sz val="10"/>
        <color rgb="FF1155CC"/>
        <rFont val="Roboto"/>
      </rPr>
      <t>https://drive.google.com/open?id=1JtolidBIUGBixWrAz_kT1xWktdV-JBQ5</t>
    </r>
  </si>
  <si>
    <r>
      <rPr>
        <u/>
        <sz val="10"/>
        <color rgb="FF1155CC"/>
        <rFont val="Roboto"/>
      </rPr>
      <t>https://drive.google.com/open?id=1XgeKvYKiEQ9qDnQwQNJB1o5QAjTOlzW7</t>
    </r>
  </si>
  <si>
    <r>
      <rPr>
        <u/>
        <sz val="10"/>
        <color rgb="FF1155CC"/>
        <rFont val="Roboto"/>
      </rPr>
      <t>https://drive.google.com/open?id=1jwCIfiRG1PaFpXBOlfzCB-idxThmtQoY</t>
    </r>
  </si>
  <si>
    <r>
      <rPr>
        <u/>
        <sz val="10"/>
        <color rgb="FF1155CC"/>
        <rFont val="Roboto"/>
      </rPr>
      <t>https://drive.google.com/open?id=1lc7a2obXdIsBaGGxvJP4NhfonvjjAH7f</t>
    </r>
  </si>
  <si>
    <r>
      <rPr>
        <u/>
        <sz val="10"/>
        <color rgb="FF1155CC"/>
        <rFont val="Roboto"/>
      </rPr>
      <t>https://drive.google.com/open?id=1FtRwF6YaiwM030qsAMkx-ETnQDK9dG9o</t>
    </r>
  </si>
  <si>
    <r>
      <rPr>
        <u/>
        <sz val="10"/>
        <color rgb="FF1155CC"/>
        <rFont val="Roboto"/>
      </rPr>
      <t>https://drive.google.com/open?id=1AGCuvHP1Q6-XOLF4trIzhhT5b6UvDNrb</t>
    </r>
  </si>
  <si>
    <r>
      <rPr>
        <u/>
        <sz val="10"/>
        <color rgb="FF1155CC"/>
        <rFont val="Roboto"/>
      </rPr>
      <t>https://drive.google.com/open?id=16NNo68FlXd88aK4LrnAR5FAT7g7Y_D9Z</t>
    </r>
  </si>
  <si>
    <r>
      <rPr>
        <u/>
        <sz val="10"/>
        <color rgb="FF1155CC"/>
        <rFont val="Roboto"/>
      </rPr>
      <t>https://drive.google.com/open?id=1uGaZIX-WB7wzcelM4yG10IsvhPfE0qFw</t>
    </r>
  </si>
  <si>
    <t>The Impact of Financial Leverage on Firm Value of HOSE-Listed Manufacturing Companies (2016–2024)</t>
  </si>
  <si>
    <r>
      <rPr>
        <u/>
        <sz val="10"/>
        <color rgb="FF1155CC"/>
        <rFont val="Roboto"/>
      </rPr>
      <t>https://drive.google.com/open?id=1K2NfBDFrHh4cN-5QuF7hJUIYRpARfO73</t>
    </r>
  </si>
  <si>
    <r>
      <rPr>
        <u/>
        <sz val="10"/>
        <color rgb="FF1155CC"/>
        <rFont val="Roboto"/>
      </rPr>
      <t>https://drive.google.com/open?id=1rgW6qbdPhUwlnND7SzI9iUioHz0sQLSm</t>
    </r>
  </si>
  <si>
    <r>
      <rPr>
        <u/>
        <sz val="10"/>
        <color rgb="FF1155CC"/>
        <rFont val="Roboto"/>
      </rPr>
      <t>https://drive.google.com/open?id=1hj4IJfbW8PqtVZ4ksSq5HayAhdtUJbhe</t>
    </r>
  </si>
  <si>
    <r>
      <rPr>
        <u/>
        <sz val="10"/>
        <color rgb="FF1155CC"/>
        <rFont val="Roboto"/>
      </rPr>
      <t>https://drive.google.com/open?id=1Vz5BNY90QzJDn0TAS3F6VG7YZJ-njYP4</t>
    </r>
  </si>
  <si>
    <r>
      <rPr>
        <u/>
        <sz val="10"/>
        <color rgb="FF1155CC"/>
        <rFont val="Roboto"/>
      </rPr>
      <t>https://drive.google.com/open?id=1Td9BnicvMI19o756U06BofN2KnVzo6iu</t>
    </r>
  </si>
  <si>
    <r>
      <rPr>
        <u/>
        <sz val="10"/>
        <color rgb="FF1155CC"/>
        <rFont val="Roboto"/>
      </rPr>
      <t>https://drive.google.com/open?id=1wDVBpFNNtbwga3K9WnHT7TMKS4eEWTRk</t>
    </r>
  </si>
  <si>
    <r>
      <rPr>
        <u/>
        <sz val="10"/>
        <color rgb="FF1155CC"/>
        <rFont val="Roboto"/>
      </rPr>
      <t>https://drive.google.com/open?id=1cx_WMwcybjZYxR0Bz0j9MfQ-SlTReg61</t>
    </r>
  </si>
  <si>
    <t>Các yếu tố tác động đến biên lãi ròng của các ngân hàng quy mô vừa và nhỏ tại Việt Nam giai đoạn 2014-2024</t>
  </si>
  <si>
    <r>
      <rPr>
        <u/>
        <sz val="10"/>
        <color rgb="FF1155CC"/>
        <rFont val="Roboto"/>
      </rPr>
      <t>https://drive.google.com/open?id=11yGhiDuEpewyFuPpEFaX4AjR2P_isdQG</t>
    </r>
  </si>
  <si>
    <r>
      <rPr>
        <u/>
        <sz val="10"/>
        <color rgb="FF1155CC"/>
        <rFont val="Roboto"/>
      </rPr>
      <t>https://drive.google.com/open?id=12tui8HUKjdP38BQeDSoSsFkEE4NEeqGN</t>
    </r>
  </si>
  <si>
    <r>
      <rPr>
        <u/>
        <sz val="10"/>
        <color rgb="FF1155CC"/>
        <rFont val="Roboto"/>
      </rPr>
      <t>https://drive.google.com/open?id=1OouxOWNbfUSAE8JqwRDRXpPN4id4fPJ3</t>
    </r>
  </si>
  <si>
    <r>
      <rPr>
        <u/>
        <sz val="10"/>
        <color rgb="FF1155CC"/>
        <rFont val="Roboto"/>
      </rPr>
      <t>https://drive.google.com/open?id=1OEpYckDJnZy6-xFaEjecrWYk0rZZr-F5</t>
    </r>
  </si>
  <si>
    <r>
      <rPr>
        <u/>
        <sz val="10"/>
        <color rgb="FF1155CC"/>
        <rFont val="Roboto"/>
      </rPr>
      <t>https://drive.google.com/open?id=1L8r8ppUS8S5-DrYEa5168cWLieUMaWuq</t>
    </r>
  </si>
  <si>
    <r>
      <rPr>
        <u/>
        <sz val="10"/>
        <color rgb="FF1155CC"/>
        <rFont val="Roboto"/>
      </rPr>
      <t>https://drive.google.com/open?id=1fXFGkkYkeAFnDWvMCDSdqYbdS41YGTtW</t>
    </r>
  </si>
  <si>
    <r>
      <rPr>
        <u/>
        <sz val="10"/>
        <color rgb="FF1155CC"/>
        <rFont val="Roboto"/>
      </rPr>
      <t>https://drive.google.com/open?id=1QAFhz2ElYbbHTQ8W_8HXKb0J8ASAE87W</t>
    </r>
  </si>
  <si>
    <r>
      <rPr>
        <u/>
        <sz val="10"/>
        <color rgb="FF1155CC"/>
        <rFont val="Roboto"/>
      </rPr>
      <t>https://drive.google.com/open?id=1LfEkdO37csNNcUwmkOmFCP-nxfqm4Y52</t>
    </r>
  </si>
  <si>
    <r>
      <rPr>
        <u/>
        <sz val="10"/>
        <color rgb="FF1155CC"/>
        <rFont val="Roboto"/>
      </rPr>
      <t>https://drive.google.com/open?id=1mavV4_jGLtedbiDa3zq8Rjlnj_S2J7rR</t>
    </r>
  </si>
  <si>
    <r>
      <rPr>
        <u/>
        <sz val="10"/>
        <color rgb="FF1155CC"/>
        <rFont val="Roboto"/>
      </rPr>
      <t>https://drive.google.com/open?id=14rWPLJmTJKqMD8KSlWNXGrSZ3njUmrwh</t>
    </r>
  </si>
  <si>
    <r>
      <rPr>
        <u/>
        <sz val="10"/>
        <color rgb="FF1155CC"/>
        <rFont val="Roboto"/>
      </rPr>
      <t>https://drive.google.com/open?id=1OldC04FdmM2csIvv1gn5hwt0N5DAv9X4</t>
    </r>
  </si>
  <si>
    <r>
      <rPr>
        <u/>
        <sz val="10"/>
        <color rgb="FF1155CC"/>
        <rFont val="Roboto"/>
      </rPr>
      <t>https://drive.google.com/open?id=1Kmx1ZJDTqCrFG_WqUqUovGe-OhQPKMSP</t>
    </r>
  </si>
  <si>
    <t>So sánh và phân tích khả năng dự báo đòn bẩy tài chính giữa các mô hình Học máy và mô hình Kinh tế lượng truyền thống đối với các doanh nghiệp phi tài chính niêm yết tại Việt Nam</t>
  </si>
  <si>
    <r>
      <rPr>
        <u/>
        <sz val="10"/>
        <color rgb="FF1155CC"/>
        <rFont val="Roboto"/>
      </rPr>
      <t>https://drive.google.com/open?id=11eK_eDZNyE3fMVssAzG1H_2ueaOlRrXj</t>
    </r>
  </si>
  <si>
    <r>
      <rPr>
        <u/>
        <sz val="10"/>
        <color rgb="FF1155CC"/>
        <rFont val="Roboto"/>
      </rPr>
      <t>https://drive.google.com/open?id=1t9JO3J6Mn9uw2nfXtUbgcJUIaEDfpfd4</t>
    </r>
  </si>
  <si>
    <r>
      <rPr>
        <u/>
        <sz val="10"/>
        <color rgb="FF1155CC"/>
        <rFont val="Roboto"/>
      </rPr>
      <t>https://drive.google.com/open?id=1k3VHvLUuHzO55cmt1ogWMSYWU_5RRv-y</t>
    </r>
  </si>
  <si>
    <t>Dự báo tỷ lệ đòn bẩy tài chính: So sánh và phân tích khả năng dự báo giữa các mô hình Học máy và mô hình Kinh tế lượng truyền thống đối với các doanh nghiệp phi tài chính được niêm yết tại Việt Nam</t>
  </si>
  <si>
    <r>
      <rPr>
        <u/>
        <sz val="10"/>
        <color rgb="FF1155CC"/>
        <rFont val="Roboto"/>
      </rPr>
      <t>https://drive.google.com/open?id=1_dzaRlymbqO_J7lNRGkF7Ga1qICe0WQq</t>
    </r>
  </si>
  <si>
    <r>
      <rPr>
        <u/>
        <sz val="10"/>
        <color rgb="FF1155CC"/>
        <rFont val="Roboto"/>
      </rPr>
      <t>https://drive.google.com/open?id=1fGWpO8klza-k8mrSA1mvjYhQO_F6W6pG</t>
    </r>
  </si>
  <si>
    <r>
      <rPr>
        <u/>
        <sz val="10"/>
        <color rgb="FF1155CC"/>
        <rFont val="Roboto"/>
      </rPr>
      <t>https://drive.google.com/open?id=19oB0eka7RXUNohXYLxjFiR6mTsgtLyBY</t>
    </r>
  </si>
  <si>
    <t>PREMIER CUSTOMER LENDING ACTIVITIES AT THE JOINT STOCK COMMERCIAL BANK FOR INVESTMENT AND DEVELOPMENT OF VIETNAM – DONG SAI GON BRANCH</t>
  </si>
  <si>
    <r>
      <rPr>
        <u/>
        <sz val="10"/>
        <color rgb="FF1155CC"/>
        <rFont val="Roboto"/>
      </rPr>
      <t>https://drive.google.com/open?id=1-0vUWckh88BfTtiq8acH-dITcfR-YSTw</t>
    </r>
  </si>
  <si>
    <r>
      <rPr>
        <u/>
        <sz val="10"/>
        <color rgb="FF1155CC"/>
        <rFont val="Roboto"/>
      </rPr>
      <t>https://drive.google.com/open?id=15uOIgqJj4AkXCWpZy64A0igbBuIeEZNf</t>
    </r>
  </si>
  <si>
    <r>
      <rPr>
        <u/>
        <sz val="10"/>
        <color rgb="FF1155CC"/>
        <rFont val="Roboto"/>
      </rPr>
      <t>https://drive.google.com/open?id=1bPtn0mPHPKTMvuJ-Dv6x52EW0ZPgUjt-</t>
    </r>
  </si>
  <si>
    <r>
      <rPr>
        <u/>
        <sz val="10"/>
        <color rgb="FF1155CC"/>
        <rFont val="Roboto"/>
      </rPr>
      <t>https://drive.google.com/open?id=1UpXYj3H39zDtCwq-P6wIyVFpU2fPcQo2</t>
    </r>
  </si>
  <si>
    <r>
      <rPr>
        <u/>
        <sz val="10"/>
        <color rgb="FF1155CC"/>
        <rFont val="Roboto"/>
      </rPr>
      <t>https://drive.google.com/open?id=1zEZFt3QIFXlg6RqJors6v931eZGjTeG8</t>
    </r>
  </si>
  <si>
    <r>
      <rPr>
        <u/>
        <sz val="10"/>
        <color rgb="FF1155CC"/>
        <rFont val="Roboto"/>
      </rPr>
      <t>https://drive.google.com/open?id=1Pf2ZQ6KZKQrQt08dsb2iOJkgYf3_W2J3</t>
    </r>
  </si>
  <si>
    <t>The impact of capital structure on liquidity of Vietnamese commercial banks: Evidence during 2019-2025</t>
  </si>
  <si>
    <r>
      <rPr>
        <u/>
        <sz val="10"/>
        <color rgb="FF1155CC"/>
        <rFont val="Roboto"/>
      </rPr>
      <t>https://drive.google.com/open?id=1gKnD7l2C7Hmg2IEABOsCGhK-eH6YIyzD</t>
    </r>
  </si>
  <si>
    <r>
      <rPr>
        <u/>
        <sz val="10"/>
        <color rgb="FF1155CC"/>
        <rFont val="Roboto"/>
      </rPr>
      <t>https://drive.google.com/open?id=1LrKKuKXl-4OtdYaopu_RkAtzSHv5z7XW</t>
    </r>
  </si>
  <si>
    <r>
      <rPr>
        <u/>
        <sz val="10"/>
        <color rgb="FF1155CC"/>
        <rFont val="Roboto"/>
      </rPr>
      <t>https://drive.google.com/open?id=1mMSNihYsEb94hD2XLPqXJubWyhBTMpra</t>
    </r>
  </si>
  <si>
    <r>
      <rPr>
        <u/>
        <sz val="10"/>
        <color rgb="FF1155CC"/>
        <rFont val="Roboto"/>
      </rPr>
      <t>https://drive.google.com/open?id=18Epq500tcInZOdyxjts7YvFMq-JZkXks</t>
    </r>
  </si>
  <si>
    <r>
      <rPr>
        <u/>
        <sz val="10"/>
        <color rgb="FF1155CC"/>
        <rFont val="Roboto"/>
      </rPr>
      <t>https://drive.google.com/open?id=18W0G8EIy_YLVPx8v9TgJCfE1YdC6_umm</t>
    </r>
  </si>
  <si>
    <r>
      <rPr>
        <u/>
        <sz val="10"/>
        <color rgb="FF1155CC"/>
        <rFont val="Roboto"/>
      </rPr>
      <t>https://drive.google.com/open?id=1PGAU9B_kEZgwE_-dsI4Wd5SVGQud_2Gy</t>
    </r>
  </si>
  <si>
    <r>
      <rPr>
        <u/>
        <sz val="10"/>
        <color rgb="FF1155CC"/>
        <rFont val="Roboto"/>
      </rPr>
      <t>https://drive.google.com/open?id=15NoC7VNe9Z6njqvWCuFxaAcAt7_AbdnB</t>
    </r>
  </si>
  <si>
    <t>ỨNG DỤNG HỌC MÁY TRONG PHÂN LOẠI SỨC KHỎE TÀI CHÍNH VÀ ĐÁNH GIÁ TÍN NHIỆM DOANH NGHIỆP PHI TÀI CHÍNH VIỆT NAM</t>
  </si>
  <si>
    <r>
      <rPr>
        <u/>
        <sz val="10"/>
        <color rgb="FF1155CC"/>
        <rFont val="Roboto"/>
      </rPr>
      <t>https://drive.google.com/open?id=1PjLq2RpphSPqoKZG5KH3RXcf75Mlxbmb</t>
    </r>
  </si>
  <si>
    <r>
      <rPr>
        <u/>
        <sz val="10"/>
        <color rgb="FF1155CC"/>
        <rFont val="Roboto"/>
      </rPr>
      <t>https://drive.google.com/open?id=1WprlA3D4DVaEobp5_odpxKOW8PDyxTTA</t>
    </r>
  </si>
  <si>
    <r>
      <rPr>
        <u/>
        <sz val="10"/>
        <color rgb="FF1155CC"/>
        <rFont val="Roboto"/>
      </rPr>
      <t>https://drive.google.com/open?id=1gRiNih6IgUwZ6jl0IDQVlAnTwNKsxWuH</t>
    </r>
  </si>
  <si>
    <r>
      <rPr>
        <u/>
        <sz val="10"/>
        <color rgb="FF1155CC"/>
        <rFont val="Roboto"/>
      </rPr>
      <t>https://drive.google.com/open?id=1RgOEnqncxiwz0uPnMw6askGZVose1ex_</t>
    </r>
  </si>
  <si>
    <r>
      <rPr>
        <u/>
        <sz val="10"/>
        <color rgb="FF1155CC"/>
        <rFont val="Roboto"/>
      </rPr>
      <t>https://drive.google.com/open?id=1BKlk5xZOFLrY30gVCiNIBpWm3fAZ4BZY</t>
    </r>
  </si>
  <si>
    <r>
      <rPr>
        <u/>
        <sz val="10"/>
        <color rgb="FF1155CC"/>
        <rFont val="Roboto"/>
      </rPr>
      <t>https://drive.google.com/open?id=1V0yGNeODKxqS6EzjodbZ0dm54gc9TgaV</t>
    </r>
  </si>
  <si>
    <r>
      <rPr>
        <u/>
        <sz val="10"/>
        <color rgb="FF1155CC"/>
        <rFont val="Roboto"/>
      </rPr>
      <t>https://drive.google.com/open?id=18RQ8wQwDoWSQW4sBKWj3RihVCcsy4yjZ</t>
    </r>
  </si>
  <si>
    <t>Cao Thị Phương Ạnh</t>
  </si>
  <si>
    <r>
      <rPr>
        <u/>
        <sz val="10"/>
        <color rgb="FF1155CC"/>
        <rFont val="Roboto"/>
      </rPr>
      <t>https://drive.google.com/open?id=17MBVAy1wa0SR8yaFeYAn0mla9HWQHGnn</t>
    </r>
  </si>
  <si>
    <r>
      <rPr>
        <u/>
        <sz val="10"/>
        <color rgb="FF1155CC"/>
        <rFont val="Roboto"/>
      </rPr>
      <t>https://drive.google.com/open?id=1t8UyoqDm71ShyxjJ3yxhyuXWHo-fQ3EP</t>
    </r>
  </si>
  <si>
    <r>
      <rPr>
        <u/>
        <sz val="10"/>
        <color rgb="FF1155CC"/>
        <rFont val="Roboto"/>
      </rPr>
      <t>https://drive.google.com/open?id=1gP4OvqoeqPRl-wmq9p-h3uvODzFM4-yl</t>
    </r>
  </si>
  <si>
    <r>
      <rPr>
        <u/>
        <sz val="10"/>
        <color rgb="FF1155CC"/>
        <rFont val="Roboto"/>
      </rPr>
      <t>https://drive.google.com/open?id=1LSSfc8W7cR_6pTdqatT6ksPKn0Xu4u5K</t>
    </r>
  </si>
  <si>
    <r>
      <rPr>
        <u/>
        <sz val="10"/>
        <color rgb="FF1155CC"/>
        <rFont val="Roboto"/>
      </rPr>
      <t>https://drive.google.com/open?id=1wZ065BbLPeQrwtJ8uMJhvQPLmiuNtZRh</t>
    </r>
  </si>
  <si>
    <r>
      <rPr>
        <u/>
        <sz val="10"/>
        <color rgb="FF1155CC"/>
        <rFont val="Roboto"/>
      </rPr>
      <t>https://drive.google.com/open?id=1dNo8f5Zadck6_MwFrvpgfTkyvXw3CIQV</t>
    </r>
  </si>
  <si>
    <r>
      <rPr>
        <u/>
        <sz val="10"/>
        <color rgb="FF1155CC"/>
        <rFont val="Roboto"/>
      </rPr>
      <t>https://drive.google.com/open?id=1EfaSiPWkaQB0rwT_c_uHKoSApnbB03Uk</t>
    </r>
  </si>
  <si>
    <r>
      <rPr>
        <u/>
        <sz val="10"/>
        <color rgb="FF1155CC"/>
        <rFont val="Roboto"/>
      </rPr>
      <t>https://drive.google.com/open?id=1giTfKwo2-75wiVlC4CsgP_841YRSZMRR</t>
    </r>
  </si>
  <si>
    <r>
      <rPr>
        <u/>
        <sz val="10"/>
        <color rgb="FF1155CC"/>
        <rFont val="Roboto"/>
      </rPr>
      <t>https://drive.google.com/open?id=1iJDoe3-7w9iPF6KRl4pNvCHTVYkK6aGf</t>
    </r>
  </si>
  <si>
    <r>
      <rPr>
        <u/>
        <sz val="10"/>
        <color rgb="FF1155CC"/>
        <rFont val="Roboto"/>
      </rPr>
      <t>https://drive.google.com/open?id=1zErh6ZUT-Yqk0uqOJ72HL1Gcyoco35Bn</t>
    </r>
  </si>
  <si>
    <r>
      <rPr>
        <u/>
        <sz val="10"/>
        <color rgb="FF1155CC"/>
        <rFont val="Roboto"/>
      </rPr>
      <t>https://drive.google.com/open?id=1SFyMzggOYrOCej4FkZcKyxcOLQXBrPOj</t>
    </r>
  </si>
  <si>
    <r>
      <rPr>
        <u/>
        <sz val="10"/>
        <color rgb="FF1155CC"/>
        <rFont val="Roboto"/>
      </rPr>
      <t>https://drive.google.com/open?id=1oe6aJSIhzEH_PJBxOTWdBSkjbnVbcx7u</t>
    </r>
  </si>
  <si>
    <r>
      <rPr>
        <u/>
        <sz val="10"/>
        <color rgb="FF1155CC"/>
        <rFont val="Roboto"/>
      </rPr>
      <t>https://drive.google.com/open?id=15JSU7_gXUwDI3UfcDMiFHfEe-Au3hckc</t>
    </r>
  </si>
  <si>
    <r>
      <rPr>
        <u/>
        <sz val="10"/>
        <color rgb="FF1155CC"/>
        <rFont val="Roboto"/>
      </rPr>
      <t>https://drive.google.com/open?id=1YBh8L9twfJOwRl8bJspMxWepbJyeUgSx</t>
    </r>
  </si>
  <si>
    <t>Phân tích thực nghiệm tác động của thông tin cơ bản, kỹ thuật và tâm lý đến dự báo xu hướng cổ phiếu theo ngành: Ứng dụng mạng nơ-ron đa lớp (MLP)</t>
  </si>
  <si>
    <r>
      <rPr>
        <u/>
        <sz val="10"/>
        <color rgb="FF1155CC"/>
        <rFont val="Roboto"/>
      </rPr>
      <t>https://drive.google.com/open?id=1dubNeYfNPfWmXqEmM31y0gq_n6rNaw2b</t>
    </r>
  </si>
  <si>
    <r>
      <rPr>
        <u/>
        <sz val="10"/>
        <color rgb="FF1155CC"/>
        <rFont val="Roboto"/>
      </rPr>
      <t>https://drive.google.com/open?id=1noeH7UJ21wnJce1BOLtSAJe4_l_8GfY3</t>
    </r>
  </si>
  <si>
    <r>
      <rPr>
        <u/>
        <sz val="10"/>
        <color rgb="FF1155CC"/>
        <rFont val="Roboto"/>
      </rPr>
      <t>https://drive.google.com/open?id=1lJgc4LjyprNiZs_hL4hJzRb1CzKj9W3p</t>
    </r>
  </si>
  <si>
    <r>
      <rPr>
        <u/>
        <sz val="10"/>
        <color rgb="FF1155CC"/>
        <rFont val="Roboto"/>
      </rPr>
      <t>https://drive.google.com/open?id=1TAM1UI94ZpbJT2dn4apzTYwpPmqKkRIH</t>
    </r>
  </si>
  <si>
    <r>
      <rPr>
        <u/>
        <sz val="10"/>
        <color rgb="FF1155CC"/>
        <rFont val="Roboto"/>
      </rPr>
      <t>https://drive.google.com/open?id=1gdURw4CmZk3HF2VhB7U0CB7g4CGvk8s2</t>
    </r>
  </si>
  <si>
    <r>
      <rPr>
        <u/>
        <sz val="10"/>
        <color rgb="FF1155CC"/>
        <rFont val="Roboto"/>
      </rPr>
      <t>https://drive.google.com/open?id=15M8CsaTyvOn1Nd_QfWD05Y6XawsDdtZP</t>
    </r>
  </si>
  <si>
    <r>
      <rPr>
        <u/>
        <sz val="10"/>
        <color rgb="FF1155CC"/>
        <rFont val="Roboto"/>
      </rPr>
      <t>https://drive.google.com/open?id=1O3R7hH9XCdxZdULTT8e8RgrAR1R66I6S</t>
    </r>
  </si>
  <si>
    <r>
      <rPr>
        <u/>
        <sz val="10"/>
        <color rgb="FF1155CC"/>
        <rFont val="Roboto"/>
      </rPr>
      <t>https://drive.google.com/open?id=13AA37OJ-cQdYIXlY4AJ_SVAvfB1Hvx2r</t>
    </r>
  </si>
  <si>
    <r>
      <rPr>
        <u/>
        <sz val="10"/>
        <color rgb="FF1155CC"/>
        <rFont val="Roboto"/>
      </rPr>
      <t>https://drive.google.com/open?id=12nM35HF4c5CyR2QLhZVFaajgw-AfxHZ-</t>
    </r>
  </si>
  <si>
    <r>
      <rPr>
        <u/>
        <sz val="10"/>
        <color rgb="FF1155CC"/>
        <rFont val="Roboto"/>
      </rPr>
      <t>https://drive.google.com/open?id=1HGDmrV1AyFMNnE8cbbHgBEVW9t4Kfi-_</t>
    </r>
  </si>
  <si>
    <r>
      <rPr>
        <u/>
        <sz val="10"/>
        <color rgb="FF1155CC"/>
        <rFont val="Roboto"/>
      </rPr>
      <t>https://drive.google.com/open?id=1Wv57NATsyfsfOJ3Wqu4_xw5aLiFUfFqQ</t>
    </r>
  </si>
  <si>
    <r>
      <rPr>
        <u/>
        <sz val="10"/>
        <color rgb="FF1155CC"/>
        <rFont val="Roboto"/>
      </rPr>
      <t>https://drive.google.com/open?id=1ICvqP6NkPQyO07iyE1mUOgM9BQxmY44S</t>
    </r>
  </si>
  <si>
    <r>
      <rPr>
        <u/>
        <sz val="10"/>
        <color rgb="FF1155CC"/>
        <rFont val="Roboto"/>
      </rPr>
      <t>https://drive.google.com/open?id=1q803reKwz-ac2EcN23TT1WhoJhQNaF_N</t>
    </r>
  </si>
  <si>
    <r>
      <rPr>
        <u/>
        <sz val="10"/>
        <color rgb="FF1155CC"/>
        <rFont val="Roboto"/>
      </rPr>
      <t>https://drive.google.com/open?id=1YZ9d8dmUneaIveL7s8HWAblHcmZ1DNvu</t>
    </r>
  </si>
  <si>
    <r>
      <rPr>
        <u/>
        <sz val="10"/>
        <color rgb="FF1155CC"/>
        <rFont val="Roboto"/>
      </rPr>
      <t>https://drive.google.com/open?id=1TM1vT46hVPIrlLXY41qnHHodBkLhjL-q</t>
    </r>
  </si>
  <si>
    <r>
      <rPr>
        <u/>
        <sz val="10"/>
        <color rgb="FF1155CC"/>
        <rFont val="Roboto"/>
      </rPr>
      <t>https://drive.google.com/open?id=1UHxrkB5Ato37VqPjBk_oZUlEKyEQUIh8</t>
    </r>
  </si>
  <si>
    <r>
      <rPr>
        <u/>
        <sz val="10"/>
        <color rgb="FF1155CC"/>
        <rFont val="Roboto"/>
      </rPr>
      <t>https://drive.google.com/open?id=1CeoNVAH4BZ9OmuGdOzZchKfj-B1scLGX</t>
    </r>
  </si>
  <si>
    <r>
      <rPr>
        <u/>
        <sz val="10"/>
        <color rgb="FF1155CC"/>
        <rFont val="Roboto"/>
      </rPr>
      <t>https://drive.google.com/open?id=1m9l7Y5aDeTrqHvocJz8oOOPWFDYhMIO5</t>
    </r>
  </si>
  <si>
    <r>
      <rPr>
        <u/>
        <sz val="10"/>
        <color rgb="FF1155CC"/>
        <rFont val="Roboto"/>
      </rPr>
      <t>https://drive.google.com/open?id=10nwYLPEiRB7_yVriq85Oms19R88wtbee</t>
    </r>
  </si>
  <si>
    <r>
      <rPr>
        <u/>
        <sz val="10"/>
        <color rgb="FF1155CC"/>
        <rFont val="Roboto"/>
      </rPr>
      <t>https://drive.google.com/open?id=1-hb-A2JShzXGc0FIJFiIy6FG6qh1eqGk</t>
    </r>
  </si>
  <si>
    <r>
      <rPr>
        <u/>
        <sz val="10"/>
        <color rgb="FF1155CC"/>
        <rFont val="Roboto"/>
      </rPr>
      <t>https://drive.google.com/open?id=1VvnBOgVshJm1BygDw5_L2TYFyrikjPuC</t>
    </r>
  </si>
  <si>
    <t>APPLYING MACHINE LEARNING TO ASSESS FINANCIAL RISK OF VIETNAMESE LISTED FIRMS USING CLASSICAL BANKRUPTCY MODELS AND PRICE-BASED RISK MEASURES</t>
  </si>
  <si>
    <r>
      <rPr>
        <u/>
        <sz val="10"/>
        <color rgb="FF1155CC"/>
        <rFont val="Roboto"/>
      </rPr>
      <t>https://drive.google.com/open?id=1K5yaP82uARnWCrtHlziR-bnZlRn9HmkW</t>
    </r>
  </si>
  <si>
    <r>
      <rPr>
        <u/>
        <sz val="10"/>
        <color rgb="FF1155CC"/>
        <rFont val="Roboto"/>
      </rPr>
      <t>https://drive.google.com/open?id=1LPGb41iXo9CQJEgUvi_kVonrzN5QhTEu</t>
    </r>
  </si>
  <si>
    <r>
      <rPr>
        <u/>
        <sz val="10"/>
        <color rgb="FF1155CC"/>
        <rFont val="Roboto"/>
      </rPr>
      <t>https://drive.google.com/open?id=10n621xD449Ok7cSWktljnab0xwAyUSyN</t>
    </r>
  </si>
  <si>
    <r>
      <rPr>
        <u/>
        <sz val="10"/>
        <color rgb="FF1155CC"/>
        <rFont val="Roboto"/>
      </rPr>
      <t>https://drive.google.com/open?id=1j0SOYbvN-zT3wki1_Soaju3X2FjgX1mG</t>
    </r>
  </si>
  <si>
    <r>
      <rPr>
        <u/>
        <sz val="10"/>
        <color rgb="FF1155CC"/>
        <rFont val="Roboto"/>
      </rPr>
      <t>https://drive.google.com/open?id=1eM4ZCxfCpPwE1MAtKlcGcnMAnYdCxBQG</t>
    </r>
  </si>
  <si>
    <r>
      <rPr>
        <u/>
        <sz val="10"/>
        <color rgb="FF1155CC"/>
        <rFont val="Roboto"/>
      </rPr>
      <t>https://drive.google.com/open?id=1UwApHKvIJ1MwkL-YGAz-CjR_OSOXmck9</t>
    </r>
  </si>
  <si>
    <r>
      <rPr>
        <u/>
        <sz val="10"/>
        <color rgb="FF1155CC"/>
        <rFont val="Roboto"/>
      </rPr>
      <t>https://drive.google.com/open?id=13RRQ_K4pKqYHGkFsugkJ8erTCg31tNCr</t>
    </r>
  </si>
  <si>
    <t>PREDICTING PROFIT CHANGES AND IDENTIFYING DOWNSIDE PROFIT DECLINE RISK OF LISTED NON-FINANCIAL FIRMS IN VIETNAM USING MACHINE LEARNING</t>
  </si>
  <si>
    <r>
      <rPr>
        <u/>
        <sz val="10"/>
        <color rgb="FF1155CC"/>
        <rFont val="Roboto"/>
      </rPr>
      <t>https://drive.google.com/open?id=1BMx-Pm0tp4jLdFfsi65QUWJswpkYt6Q2</t>
    </r>
  </si>
  <si>
    <r>
      <rPr>
        <u/>
        <sz val="10"/>
        <color rgb="FF1155CC"/>
        <rFont val="Roboto"/>
      </rPr>
      <t>https://drive.google.com/open?id=157_Y08Hdz55wharfDTZl1to79nxToU9Z</t>
    </r>
  </si>
  <si>
    <r>
      <rPr>
        <u/>
        <sz val="10"/>
        <color rgb="FF1155CC"/>
        <rFont val="Roboto"/>
      </rPr>
      <t>https://drive.google.com/open?id=1nUtr12VhlmX2Vw8DpDOjSI8Ba7_xUwm8</t>
    </r>
  </si>
  <si>
    <r>
      <rPr>
        <u/>
        <sz val="10"/>
        <color rgb="FF1155CC"/>
        <rFont val="Roboto"/>
      </rPr>
      <t>https://drive.google.com/open?id=1dJq_RVgjBeEYnc_ImqAGy9-JBEjabtLd</t>
    </r>
  </si>
  <si>
    <r>
      <rPr>
        <u/>
        <sz val="10"/>
        <color rgb="FF1155CC"/>
        <rFont val="Roboto"/>
      </rPr>
      <t>https://drive.google.com/open?id=1MRekJoKTQarKm5u102k8SdEBQBxp7q3L</t>
    </r>
  </si>
  <si>
    <r>
      <rPr>
        <u/>
        <sz val="10"/>
        <color rgb="FF1155CC"/>
        <rFont val="Roboto"/>
      </rPr>
      <t>https://drive.google.com/open?id=1S6EDNgZzqoZ_Mzyqb8I4Z1_6laLIJ6yV</t>
    </r>
  </si>
  <si>
    <r>
      <rPr>
        <u/>
        <sz val="10"/>
        <color rgb="FF1155CC"/>
        <rFont val="Roboto"/>
      </rPr>
      <t>https://drive.google.com/open?id=1en9rUWNEajzF9K31b3O2cQCcMrOZrViM</t>
    </r>
  </si>
  <si>
    <t>THE IMPACT OF NEWS SENTIMENT ON THE FORECASTING ABILITY OF STOCK RETURN VOLATILITY: EMPIRICAL EVIDENCE FROM REAL ESTATE INDUSTRY STOCKS</t>
  </si>
  <si>
    <r>
      <rPr>
        <u/>
        <sz val="10"/>
        <color rgb="FF1155CC"/>
        <rFont val="Roboto"/>
      </rPr>
      <t>https://drive.google.com/open?id=12emzH5_O0nlSpkas2Vd2aLoyT8jgYEj7</t>
    </r>
  </si>
  <si>
    <r>
      <rPr>
        <u/>
        <sz val="10"/>
        <color rgb="FF1155CC"/>
        <rFont val="Roboto"/>
      </rPr>
      <t>https://drive.google.com/open?id=1UwcQbSlEDyygX67oT-QsRVIJKwE4WTF8</t>
    </r>
  </si>
  <si>
    <r>
      <rPr>
        <u/>
        <sz val="10"/>
        <color rgb="FF1155CC"/>
        <rFont val="Roboto"/>
      </rPr>
      <t>https://drive.google.com/open?id=14l0x7AE5VN0yYCcTy4cbnd1mEVjGwtvT</t>
    </r>
  </si>
  <si>
    <r>
      <rPr>
        <u/>
        <sz val="10"/>
        <color rgb="FF1155CC"/>
        <rFont val="Roboto"/>
      </rPr>
      <t>https://drive.google.com/open?id=1m5FU35p93TuLe9zWALJhV_TU14_0oMhx</t>
    </r>
  </si>
  <si>
    <r>
      <rPr>
        <u/>
        <sz val="10"/>
        <color rgb="FF1155CC"/>
        <rFont val="Roboto"/>
      </rPr>
      <t>https://drive.google.com/open?id=1NNbGVU_-DY0G2CbyAZ66WqQdITq8P2QX</t>
    </r>
  </si>
  <si>
    <r>
      <rPr>
        <u/>
        <sz val="10"/>
        <color rgb="FF1155CC"/>
        <rFont val="Roboto"/>
      </rPr>
      <t>https://drive.google.com/open?id=12TDzpCLR3A7o_WXlLxzYmw40bG6Lp7ln</t>
    </r>
  </si>
  <si>
    <r>
      <rPr>
        <u/>
        <sz val="10"/>
        <color rgb="FF1155CC"/>
        <rFont val="Roboto"/>
      </rPr>
      <t>https://drive.google.com/open?id=1blOknRrS5Jgrv53GNIVeepDW2gmCe--N</t>
    </r>
  </si>
  <si>
    <t>THE CURRENT SITUATION OF MOBILIZING SAVINGS DEPOSITS AT VPBANK HO CHI MINH BRANCH, TRANSACTION OFFICE 2</t>
  </si>
  <si>
    <r>
      <rPr>
        <u/>
        <sz val="10"/>
        <color rgb="FF1155CC"/>
        <rFont val="Roboto"/>
      </rPr>
      <t>https://drive.google.com/open?id=1_-Yh7iy6hHbvFizBk15vMm4zVCOBYwoK</t>
    </r>
  </si>
  <si>
    <r>
      <rPr>
        <u/>
        <sz val="10"/>
        <color rgb="FF1155CC"/>
        <rFont val="Roboto"/>
      </rPr>
      <t>https://drive.google.com/open?id=1RFsSR3HqRh5_BmklxL-_yRHrIunC-4DW</t>
    </r>
  </si>
  <si>
    <r>
      <rPr>
        <u/>
        <sz val="10"/>
        <color rgb="FF1155CC"/>
        <rFont val="Roboto"/>
      </rPr>
      <t>https://drive.google.com/open?id=1YCGd-C5vQWSlxpls3_MpqtE8-eewhqZD</t>
    </r>
  </si>
  <si>
    <r>
      <rPr>
        <u/>
        <sz val="10"/>
        <color rgb="FF1155CC"/>
        <rFont val="Roboto"/>
      </rPr>
      <t>https://drive.google.com/open?id=1-rZ-ZucoaJauNbvzEgG6VPW2Kj9jqGPf</t>
    </r>
  </si>
  <si>
    <r>
      <rPr>
        <u/>
        <sz val="10"/>
        <color rgb="FF1155CC"/>
        <rFont val="Roboto"/>
      </rPr>
      <t>https://drive.google.com/open?id=1jRqCqqYaAjCvb9YKNPrLZjMIeR_njvXB</t>
    </r>
  </si>
  <si>
    <r>
      <rPr>
        <u/>
        <sz val="10"/>
        <color rgb="FF1155CC"/>
        <rFont val="Roboto"/>
      </rPr>
      <t>https://drive.google.com/open?id=11gG4rxqqXc6_IQi_RWhcHkueciXv3vrP</t>
    </r>
  </si>
  <si>
    <r>
      <rPr>
        <u/>
        <sz val="10"/>
        <color rgb="FF1155CC"/>
        <rFont val="Roboto"/>
      </rPr>
      <t>https://drive.google.com/open?id=1nvsnIHslClP_EeZefysovQtFQ7qXPWY8</t>
    </r>
  </si>
  <si>
    <t>PHÂN TÍCH HOẠT ĐỘNG CHO VAY KHÁCH HÀNG CÁ NHÂN TẠI NGÂN HÀNG AGRIBANK – CHI NHÁNH DĨ AN SÓNG THẦN</t>
  </si>
  <si>
    <r>
      <rPr>
        <u/>
        <sz val="10"/>
        <color rgb="FF1155CC"/>
        <rFont val="Roboto"/>
      </rPr>
      <t>https://drive.google.com/open?id=1EkDv41M5jteLpPVBSyi2CITBxGHqnW7k</t>
    </r>
  </si>
  <si>
    <r>
      <rPr>
        <u/>
        <sz val="10"/>
        <color rgb="FF1155CC"/>
        <rFont val="Roboto"/>
      </rPr>
      <t>https://drive.google.com/open?id=19JluUdbzQQhkXMtF9sL8n2UWMDSz9X5A</t>
    </r>
  </si>
  <si>
    <r>
      <rPr>
        <u/>
        <sz val="10"/>
        <color rgb="FF1155CC"/>
        <rFont val="Roboto"/>
      </rPr>
      <t>https://drive.google.com/open?id=1pp9gm2O_8PpL2qPWgtoLVoswV9S3uY8B</t>
    </r>
  </si>
  <si>
    <r>
      <rPr>
        <u/>
        <sz val="10"/>
        <color rgb="FF1155CC"/>
        <rFont val="Roboto"/>
      </rPr>
      <t>https://drive.google.com/open?id=1CoYdJf0d_DYGOl6usVw774BLv1xbgnRe</t>
    </r>
  </si>
  <si>
    <r>
      <rPr>
        <u/>
        <sz val="10"/>
        <color rgb="FF1155CC"/>
        <rFont val="Roboto"/>
      </rPr>
      <t>https://drive.google.com/open?id=15bnEA1hV4JtjlNHFlAg5s01eNuFvZk3D</t>
    </r>
  </si>
  <si>
    <r>
      <rPr>
        <u/>
        <sz val="10"/>
        <color rgb="FF1155CC"/>
        <rFont val="Roboto"/>
      </rPr>
      <t>https://drive.google.com/open?id=1jF1dg5PkTJKlvdkAPTXnlbpBmEve2yJn</t>
    </r>
  </si>
  <si>
    <r>
      <rPr>
        <u/>
        <sz val="10"/>
        <color rgb="FF1155CC"/>
        <rFont val="Roboto"/>
      </rPr>
      <t>https://drive.google.com/open?id=1_U65OQoIXW3c0dNaScK1O_c4qWrU8cmk</t>
    </r>
  </si>
  <si>
    <r>
      <rPr>
        <u/>
        <sz val="10"/>
        <color rgb="FF1155CC"/>
        <rFont val="Roboto"/>
      </rPr>
      <t>https://drive.google.com/open?id=1Z3_SMeMwTiNxSFbWgkjzPf1IBT4LDDxF</t>
    </r>
  </si>
  <si>
    <r>
      <rPr>
        <u/>
        <sz val="10"/>
        <color rgb="FF1155CC"/>
        <rFont val="Roboto"/>
      </rPr>
      <t>https://drive.google.com/open?id=1XRIwkn6-MF9y1Yz3kz-km-fcexVu9kH6</t>
    </r>
  </si>
  <si>
    <r>
      <rPr>
        <u/>
        <sz val="10"/>
        <color rgb="FF1155CC"/>
        <rFont val="Roboto"/>
      </rPr>
      <t>https://drive.google.com/open?id=1Zmv0pbvytBv__aLOHzeoDpxFwoaE6qxZ</t>
    </r>
  </si>
  <si>
    <r>
      <rPr>
        <u/>
        <sz val="10"/>
        <color rgb="FF1155CC"/>
        <rFont val="Roboto"/>
      </rPr>
      <t>https://drive.google.com/open?id=1JIEXEas3CPItZeqlCwFxIQCr5a4SOfKH</t>
    </r>
  </si>
  <si>
    <r>
      <rPr>
        <u/>
        <sz val="10"/>
        <color rgb="FF1155CC"/>
        <rFont val="Roboto"/>
      </rPr>
      <t>https://drive.google.com/open?id=1TOd57GzFlrYn8YVdtUrywKvmR7Q5dWtg</t>
    </r>
  </si>
  <si>
    <r>
      <rPr>
        <u/>
        <sz val="10"/>
        <color rgb="FF1155CC"/>
        <rFont val="Roboto"/>
      </rPr>
      <t>https://drive.google.com/open?id=1xqjd-70ojgy_IfzOtPAfLQbx7oKrJiMD</t>
    </r>
  </si>
  <si>
    <t>ỨNG DỤNG MACHINE LEARNING ĐỂ DỰ ĐOÁN QUYẾT ĐỊNH CHI TRẢ CỔ TỨC CỦA CÁC DOANH NGHIỆP NIÊM YẾT TRÊN SÀN HOSE</t>
  </si>
  <si>
    <r>
      <rPr>
        <u/>
        <sz val="10"/>
        <color rgb="FF1155CC"/>
        <rFont val="Roboto"/>
      </rPr>
      <t>https://drive.google.com/open?id=166qovSpYmhgIeWuSC5iRYJwn8HmIv_M4</t>
    </r>
  </si>
  <si>
    <r>
      <rPr>
        <u/>
        <sz val="10"/>
        <color rgb="FF1155CC"/>
        <rFont val="Roboto"/>
      </rPr>
      <t>https://drive.google.com/open?id=1AQw3mMNXiY6hqSOAnhKM1S3rytoMGdec</t>
    </r>
  </si>
  <si>
    <r>
      <rPr>
        <u/>
        <sz val="10"/>
        <color rgb="FF1155CC"/>
        <rFont val="Roboto"/>
      </rPr>
      <t>https://drive.google.com/open?id=1WqlYFnYgAGeQogRBuMHeib6XYr8ylaJr</t>
    </r>
  </si>
  <si>
    <r>
      <rPr>
        <u/>
        <sz val="10"/>
        <color rgb="FF1155CC"/>
        <rFont val="Roboto"/>
      </rPr>
      <t>https://drive.google.com/open?id=1gBGPHVhSQscehQZeM2kMNvmmLUukyJ6f</t>
    </r>
  </si>
  <si>
    <r>
      <rPr>
        <u/>
        <sz val="10"/>
        <color rgb="FF1155CC"/>
        <rFont val="Roboto"/>
      </rPr>
      <t>https://drive.google.com/open?id=1DjcFITIiHeJOaxZ__as3ulU_dVBVEsu1</t>
    </r>
  </si>
  <si>
    <r>
      <rPr>
        <u/>
        <sz val="10"/>
        <color rgb="FF1155CC"/>
        <rFont val="Roboto"/>
      </rPr>
      <t>https://drive.google.com/open?id=1dO2i7Gzh4USYouY8NLV1TOWk2VZsontY</t>
    </r>
  </si>
  <si>
    <r>
      <rPr>
        <u/>
        <sz val="10"/>
        <color rgb="FF1155CC"/>
        <rFont val="Roboto"/>
      </rPr>
      <t>https://drive.google.com/open?id=1cUjkdAseL02rn8vGxo_Vcy0-Pik0xaxl</t>
    </r>
  </si>
  <si>
    <t>Tự động hóa quy trình ghi nhận hóa đơn và đơn đặt hàng (Invoice &amp; Purchase Order)</t>
  </si>
  <si>
    <r>
      <rPr>
        <u/>
        <sz val="10"/>
        <color rgb="FF1155CC"/>
        <rFont val="Roboto"/>
      </rPr>
      <t>https://drive.google.com/open?id=1lAqxiTxZnttf6Vw4ApjR5Ws5AqpgmWMx</t>
    </r>
  </si>
  <si>
    <r>
      <rPr>
        <u/>
        <sz val="10"/>
        <color rgb="FF1155CC"/>
        <rFont val="Roboto"/>
      </rPr>
      <t>https://drive.google.com/open?id=1VBBLfbCwCGJt1sIBVOn40ewU4femhmOl</t>
    </r>
  </si>
  <si>
    <r>
      <rPr>
        <u/>
        <sz val="10"/>
        <color rgb="FF1155CC"/>
        <rFont val="Roboto"/>
      </rPr>
      <t>https://drive.google.com/open?id=1iaLGZD6F9dKl7045TcTWSevQMBwETiwN</t>
    </r>
  </si>
  <si>
    <r>
      <rPr>
        <u/>
        <sz val="10"/>
        <color rgb="FF1155CC"/>
        <rFont val="Roboto"/>
      </rPr>
      <t>https://drive.google.com/open?id=18tJZVAsGfXKDv7Q1HFdrAi2hVfn4fFOB</t>
    </r>
  </si>
  <si>
    <r>
      <rPr>
        <u/>
        <sz val="10"/>
        <color rgb="FF1155CC"/>
        <rFont val="Roboto"/>
      </rPr>
      <t>https://drive.google.com/open?id=1pMyJhCcPlMtR_8ifKeSAAVBuSFfsn6F_</t>
    </r>
  </si>
  <si>
    <r>
      <rPr>
        <u/>
        <sz val="10"/>
        <color rgb="FF1155CC"/>
        <rFont val="Roboto"/>
      </rPr>
      <t>https://drive.google.com/open?id=1qwc-5Jx6Sfw07PuLGUpAzN-osuragFiu</t>
    </r>
  </si>
  <si>
    <r>
      <rPr>
        <u/>
        <sz val="10"/>
        <color rgb="FF1155CC"/>
        <rFont val="Roboto"/>
      </rPr>
      <t>https://drive.google.com/open?id=1GFMobQ4zPPvkmJwkhIhhxI-qLnGP69dZ</t>
    </r>
  </si>
  <si>
    <t>Xu hướng thanh toán không dùng tiền mặt và vai trò của MB trong việc thúc đẩy hành vi này</t>
  </si>
  <si>
    <r>
      <rPr>
        <u/>
        <sz val="10"/>
        <color rgb="FF1155CC"/>
        <rFont val="Roboto"/>
      </rPr>
      <t>https://drive.google.com/open?id=1Tntlxqh2C2FsD_grEQ1T3KwOZ0JlZP0L</t>
    </r>
  </si>
  <si>
    <r>
      <rPr>
        <u/>
        <sz val="10"/>
        <color rgb="FF1155CC"/>
        <rFont val="Roboto"/>
      </rPr>
      <t>https://drive.google.com/open?id=1WzWPs9CNDCFryDWpxCtSDTcM0RLZhVF5</t>
    </r>
  </si>
  <si>
    <r>
      <rPr>
        <u/>
        <sz val="10"/>
        <color rgb="FF1155CC"/>
        <rFont val="Roboto"/>
      </rPr>
      <t>https://drive.google.com/open?id=1iLqTZTrmVVMa6etabTwtBfSkFFCL6fuw</t>
    </r>
  </si>
  <si>
    <t>Dự báo biến động tỷ giá các ngoại tệ chủ chốt tại Việt Nam: Nghiên cứu so sánh giữa các mô hình thống kê và học sâu</t>
  </si>
  <si>
    <r>
      <rPr>
        <u/>
        <sz val="10"/>
        <color rgb="FF1155CC"/>
        <rFont val="Roboto"/>
      </rPr>
      <t>https://drive.google.com/open?id=1ZL5tv8lsR_dzwzLqY-AQRE8Pu6eGrUEL</t>
    </r>
  </si>
  <si>
    <r>
      <rPr>
        <u/>
        <sz val="10"/>
        <color rgb="FF1155CC"/>
        <rFont val="Roboto"/>
      </rPr>
      <t>https://drive.google.com/open?id=12q54KmRdMvgyZlwzDYcPERqgJntostqL</t>
    </r>
  </si>
  <si>
    <r>
      <rPr>
        <u/>
        <sz val="10"/>
        <color rgb="FF1155CC"/>
        <rFont val="Roboto"/>
      </rPr>
      <t>https://drive.google.com/open?id=1-Ciet1dyr5mlTQUrTE734hejb_EwOLMq</t>
    </r>
  </si>
  <si>
    <r>
      <rPr>
        <u/>
        <sz val="10"/>
        <color rgb="FF1155CC"/>
        <rFont val="Roboto"/>
      </rPr>
      <t>https://drive.google.com/open?id=1FzpoahBkF4Deej6KtnDgIjwwIXWZSbg7</t>
    </r>
  </si>
  <si>
    <t>APPLYING MACHINE LEARNING TECHNIQUES TO PREDICT LIQUIDITY RISK IN VIETNAMESE COMMERCIAL BANKS</t>
  </si>
  <si>
    <r>
      <rPr>
        <u/>
        <sz val="10"/>
        <color rgb="FF1155CC"/>
        <rFont val="Roboto"/>
      </rPr>
      <t>https://drive.google.com/open?id=1PHchAnwNklc60p--MA90KaU-Gsia--0Y</t>
    </r>
  </si>
  <si>
    <r>
      <rPr>
        <u/>
        <sz val="10"/>
        <color rgb="FF1155CC"/>
        <rFont val="Roboto"/>
      </rPr>
      <t>https://drive.google.com/open?id=1egnFq3QQkOTZ4mcLurNcLAVd-DLKxcGh</t>
    </r>
  </si>
  <si>
    <r>
      <rPr>
        <u/>
        <sz val="10"/>
        <color rgb="FF1155CC"/>
        <rFont val="Roboto"/>
      </rPr>
      <t>https://drive.google.com/open?id=1wcVsQEiyd7rurf2oPJIRwoAOldB0ygs_</t>
    </r>
  </si>
  <si>
    <r>
      <rPr>
        <u/>
        <sz val="10"/>
        <color rgb="FF1155CC"/>
        <rFont val="Roboto"/>
      </rPr>
      <t>https://drive.google.com/open?id=1h_mZeupS44TgPflfSEpuY_s05KHp6vlX</t>
    </r>
  </si>
  <si>
    <r>
      <rPr>
        <u/>
        <sz val="10"/>
        <color rgb="FF1155CC"/>
        <rFont val="Roboto"/>
      </rPr>
      <t>https://drive.google.com/open?id=1KKrJoXZKWxw882rMIlPcxrmuN_X12uRP</t>
    </r>
  </si>
  <si>
    <r>
      <rPr>
        <u/>
        <sz val="10"/>
        <color rgb="FF1155CC"/>
        <rFont val="Roboto"/>
      </rPr>
      <t>https://drive.google.com/open?id=1c3y001dotHmDz5gWrjouvWohD7NBzr4T</t>
    </r>
  </si>
  <si>
    <r>
      <rPr>
        <u/>
        <sz val="10"/>
        <color rgb="FF1155CC"/>
        <rFont val="Roboto"/>
      </rPr>
      <t>https://drive.google.com/open?id=10n-qMVaBqZABx-ADbdBDzP4CZCv7AGGP</t>
    </r>
  </si>
  <si>
    <t>DEVELOPING A FINANCIAL STATE MONITORING FRAMEWORK FOR NON-FINANCIAL FIRMS LISTED ON THE HO CHI MINH CITY STOCK EXCHANGE BASED CORPORATE FINANCIAL HEALTH INDICATORS FOR THE PERIOD 2020-2024</t>
  </si>
  <si>
    <r>
      <rPr>
        <u/>
        <sz val="10"/>
        <color rgb="FF1155CC"/>
        <rFont val="Roboto"/>
      </rPr>
      <t>https://drive.google.com/open?id=1tphw-xGZQa4-eEuJSU5BxhMnnc5ztKGv</t>
    </r>
  </si>
  <si>
    <r>
      <rPr>
        <u/>
        <sz val="10"/>
        <color rgb="FF1155CC"/>
        <rFont val="Roboto"/>
      </rPr>
      <t>https://drive.google.com/open?id=1R74G10pdfWp_jJcYHVzE3rUywN8dEoDH</t>
    </r>
  </si>
  <si>
    <r>
      <rPr>
        <u/>
        <sz val="10"/>
        <color rgb="FF1155CC"/>
        <rFont val="Roboto"/>
      </rPr>
      <t>https://drive.google.com/open?id=1pkb0v1lzbrfJg5vCyuYi6WouE3QTzLR8</t>
    </r>
  </si>
  <si>
    <r>
      <rPr>
        <u/>
        <sz val="10"/>
        <color rgb="FF1155CC"/>
        <rFont val="Roboto"/>
      </rPr>
      <t>https://drive.google.com/open?id=1l93mWrG5nsk37PxUH--elC6lb_9Jb_h1</t>
    </r>
  </si>
  <si>
    <r>
      <rPr>
        <u/>
        <sz val="10"/>
        <color rgb="FF1155CC"/>
        <rFont val="Roboto"/>
      </rPr>
      <t>https://drive.google.com/open?id=1bwBRA6ON2Lqee9hcY4B6rPpLwN2r55QC</t>
    </r>
  </si>
  <si>
    <r>
      <rPr>
        <u/>
        <sz val="10"/>
        <color rgb="FF1155CC"/>
        <rFont val="Roboto"/>
      </rPr>
      <t>https://drive.google.com/open?id=1Jpvi84lJiTcOL2Vwni4ndmJaxC1tCTOM</t>
    </r>
  </si>
  <si>
    <r>
      <rPr>
        <u/>
        <sz val="10"/>
        <color rgb="FF1155CC"/>
        <rFont val="Roboto"/>
      </rPr>
      <t>https://drive.google.com/open?id=1EdL7O5x6QUNe-ATyS9ongH7RopQmrCyv</t>
    </r>
  </si>
  <si>
    <r>
      <rPr>
        <u/>
        <sz val="10"/>
        <color rgb="FF1155CC"/>
        <rFont val="Roboto"/>
      </rPr>
      <t>https://drive.google.com/open?id=1Jc-UMnspQBNZr0Nbb25qrUlnyEfUSwVu</t>
    </r>
  </si>
  <si>
    <r>
      <rPr>
        <u/>
        <sz val="10"/>
        <color rgb="FF1155CC"/>
        <rFont val="Roboto"/>
      </rPr>
      <t>https://drive.google.com/open?id=1lHqUFMySWsmygQf12beuuxJ8xf2C4YBR</t>
    </r>
  </si>
  <si>
    <r>
      <rPr>
        <u/>
        <sz val="10"/>
        <color rgb="FF1155CC"/>
        <rFont val="Roboto"/>
      </rPr>
      <t>https://drive.google.com/open?id=1dK-OFCESsl7U8R2YblzEL7L09lkpfLlV</t>
    </r>
  </si>
  <si>
    <r>
      <rPr>
        <u/>
        <sz val="10"/>
        <color rgb="FF1155CC"/>
        <rFont val="Roboto"/>
      </rPr>
      <t>https://drive.google.com/open?id=1UzaoSXBMO4CfGq1iiIntbd9aRE6JILEH</t>
    </r>
  </si>
  <si>
    <t>ĐÁNH GIÁ HIỆU QUẢ HOẠT ĐỘNG CỦA CÁC NGÂN HÀNG THƯƠNG MẠI TẠI VIỆT NAM TRONG GIAI ĐOẠN 2020-2024 BẰNG PHƯƠNG PHÁP BAO DỮ LIỆU</t>
  </si>
  <si>
    <r>
      <rPr>
        <u/>
        <sz val="10"/>
        <color rgb="FF1155CC"/>
        <rFont val="Roboto"/>
      </rPr>
      <t>https://drive.google.com/open?id=1K8GLmBYhxX7kyJpMttKl4wxwqkQZuvwW</t>
    </r>
  </si>
  <si>
    <r>
      <rPr>
        <u/>
        <sz val="10"/>
        <color rgb="FF1155CC"/>
        <rFont val="Roboto"/>
      </rPr>
      <t>https://drive.google.com/open?id=1CArhjwikSxNzUmYPxhfWkJmwPB74suv5</t>
    </r>
  </si>
  <si>
    <r>
      <rPr>
        <u/>
        <sz val="10"/>
        <color rgb="FF1155CC"/>
        <rFont val="Roboto"/>
      </rPr>
      <t>https://drive.google.com/open?id=1tuS1_J4QOOa3Hiq6sgoTzPfHHUPDqRYw</t>
    </r>
  </si>
  <si>
    <r>
      <rPr>
        <u/>
        <sz val="10"/>
        <color rgb="FF1155CC"/>
        <rFont val="Roboto"/>
      </rPr>
      <t>https://drive.google.com/open?id=1xh6oIYeGk3U6ezY7Hri-oHKSpQd-5twl</t>
    </r>
  </si>
  <si>
    <r>
      <rPr>
        <u/>
        <sz val="10"/>
        <color rgb="FF1155CC"/>
        <rFont val="Roboto"/>
      </rPr>
      <t>https://drive.google.com/open?id=1VpZVDfeadsu-zCtVyzI_QawwlmJtttUb</t>
    </r>
  </si>
  <si>
    <r>
      <rPr>
        <u/>
        <sz val="10"/>
        <color rgb="FF1155CC"/>
        <rFont val="Roboto"/>
      </rPr>
      <t>https://drive.google.com/open?id=1_ht9lVdVuXUmgsv79-5vKbcALbUVRv9f</t>
    </r>
  </si>
  <si>
    <r>
      <rPr>
        <u/>
        <sz val="10"/>
        <color rgb="FF1155CC"/>
        <rFont val="Roboto"/>
      </rPr>
      <t>https://drive.google.com/open?id=1MZ7599oiRcOQp0CodgVK4pOk5nNN66Rq</t>
    </r>
  </si>
  <si>
    <t>XÂY DỰNG DANH MỤC ĐẦU TƯ TỐI ƯU THEO KHẨU VỊ RỦI RO</t>
  </si>
  <si>
    <r>
      <rPr>
        <u/>
        <sz val="10"/>
        <color rgb="FF1155CC"/>
        <rFont val="Roboto"/>
      </rPr>
      <t>https://drive.google.com/open?id=1AqU5LG3OrDWPNwm9iKGYQZhCFpIYoLHV</t>
    </r>
  </si>
  <si>
    <r>
      <rPr>
        <u/>
        <sz val="10"/>
        <color rgb="FF1155CC"/>
        <rFont val="Roboto"/>
      </rPr>
      <t>https://drive.google.com/open?id=12YkIHmUUVzHgiAy9PugTOerJQrFRbxL2</t>
    </r>
  </si>
  <si>
    <r>
      <rPr>
        <u/>
        <sz val="10"/>
        <color rgb="FF1155CC"/>
        <rFont val="Roboto"/>
      </rPr>
      <t>https://drive.google.com/open?id=12K77f0CuMXL2NkY_DrMXwHHLVwKjFBnb</t>
    </r>
  </si>
  <si>
    <r>
      <rPr>
        <u/>
        <sz val="10"/>
        <color rgb="FF1155CC"/>
        <rFont val="Roboto"/>
      </rPr>
      <t>https://drive.google.com/open?id=1Zt3d2tQWoEksEjCQPYlZTMlOO3qvLmqo</t>
    </r>
  </si>
  <si>
    <r>
      <rPr>
        <u/>
        <sz val="10"/>
        <color rgb="FF1155CC"/>
        <rFont val="Roboto"/>
      </rPr>
      <t>https://drive.google.com/open?id=189fwVhR8V35BiE1q2K8uIrXiHDBP6aac</t>
    </r>
  </si>
  <si>
    <r>
      <rPr>
        <u/>
        <sz val="10"/>
        <color rgb="FF1155CC"/>
        <rFont val="Roboto"/>
      </rPr>
      <t>https://drive.google.com/open?id=1sk7OgVq4ymbQ9EhLypZq2dHWMhaKwJ5H</t>
    </r>
  </si>
  <si>
    <r>
      <rPr>
        <u/>
        <sz val="10"/>
        <color rgb="FF1155CC"/>
        <rFont val="Roboto"/>
      </rPr>
      <t>https://drive.google.com/open?id=1uDhlPfERS-B4D8ck7ALNQgO35pbEA3bF</t>
    </r>
  </si>
  <si>
    <t>FACTORS IMPACT ON FINANCIAL SUSTAINABILITY IN VIETNAMESE JOINT STOCK COMMERCIAL BANKS DURING THE PERIOD: A QUANTILE-BASED APPROACH</t>
  </si>
  <si>
    <r>
      <rPr>
        <u/>
        <sz val="10"/>
        <color rgb="FF1155CC"/>
        <rFont val="Roboto"/>
      </rPr>
      <t>https://drive.google.com/open?id=1SSh_Hhr0Fu9Jb62TEbgxdGEsRKFykRYt</t>
    </r>
  </si>
  <si>
    <r>
      <rPr>
        <u/>
        <sz val="10"/>
        <color rgb="FF1155CC"/>
        <rFont val="Roboto"/>
      </rPr>
      <t>https://drive.google.com/open?id=1zD8EW76dp_9gXqucDWTvNv6-z8Yhxxt0</t>
    </r>
  </si>
  <si>
    <r>
      <rPr>
        <u/>
        <sz val="10"/>
        <color rgb="FF1155CC"/>
        <rFont val="Roboto"/>
      </rPr>
      <t>https://drive.google.com/open?id=1fbOYCNtIFM1JOXTS23XamaCb1imy8To8</t>
    </r>
  </si>
  <si>
    <r>
      <rPr>
        <u/>
        <sz val="10"/>
        <color rgb="FF1155CC"/>
        <rFont val="Roboto"/>
      </rPr>
      <t>https://drive.google.com/open?id=1rE1KUM2gCZLbUrOD1CaHIhcJ24SpDQwL</t>
    </r>
  </si>
  <si>
    <r>
      <rPr>
        <u/>
        <sz val="10"/>
        <color rgb="FF1155CC"/>
        <rFont val="Roboto"/>
      </rPr>
      <t>https://drive.google.com/open?id=14vERjTsgx7f8IqqqZ5rlXtRUTbmVU1y7</t>
    </r>
  </si>
  <si>
    <r>
      <rPr>
        <u/>
        <sz val="10"/>
        <color rgb="FF1155CC"/>
        <rFont val="Roboto"/>
      </rPr>
      <t>https://drive.google.com/open?id=1GABFRLcLVo-rJuEDOu_N0ZABzWu382OC</t>
    </r>
  </si>
  <si>
    <t>ANALYSIS OF FACTORS AFFECTING THE FINANCIAL STRESS OF MATERIALS COMPANIES LISTED ON THE HO CHI MINH CITY STOCK EXCHANGE DURING THE PERIOD 2014–2024</t>
  </si>
  <si>
    <r>
      <rPr>
        <u/>
        <sz val="10"/>
        <color rgb="FF1155CC"/>
        <rFont val="Roboto"/>
      </rPr>
      <t>https://drive.google.com/open?id=1d5EjbDT674DggQmyoVLHMTlJ4z_4NfOS</t>
    </r>
  </si>
  <si>
    <r>
      <rPr>
        <u/>
        <sz val="10"/>
        <color rgb="FF1155CC"/>
        <rFont val="Roboto"/>
      </rPr>
      <t>https://drive.google.com/open?id=1RW2B1DdXewxzyZUl9OMXLfJOjd9P-fnq</t>
    </r>
  </si>
  <si>
    <r>
      <rPr>
        <u/>
        <sz val="10"/>
        <color rgb="FF1155CC"/>
        <rFont val="Roboto"/>
      </rPr>
      <t>https://drive.google.com/open?id=1jeTfvZTpcochE1L1fL9_HGGuhuKD17WL</t>
    </r>
  </si>
  <si>
    <r>
      <rPr>
        <u/>
        <sz val="10"/>
        <color rgb="FF1155CC"/>
        <rFont val="Roboto"/>
      </rPr>
      <t>https://drive.google.com/open?id=18QfMm1Jj2t20BOVXKpXpIhlVpP8jeB7H</t>
    </r>
  </si>
  <si>
    <r>
      <rPr>
        <u/>
        <sz val="10"/>
        <color rgb="FF1155CC"/>
        <rFont val="Roboto"/>
      </rPr>
      <t>https://drive.google.com/open?id=1ZT9tO5DoTRWCgtQGWggkPxctvUpx9xuL</t>
    </r>
  </si>
  <si>
    <r>
      <rPr>
        <u/>
        <sz val="10"/>
        <color rgb="FF1155CC"/>
        <rFont val="Roboto"/>
      </rPr>
      <t>https://drive.google.com/open?id=1Pn0bB2YpMFYQinigs8lE6P9HTHdwf7P7</t>
    </r>
  </si>
  <si>
    <r>
      <rPr>
        <u/>
        <sz val="10"/>
        <color rgb="FF1155CC"/>
        <rFont val="Roboto"/>
      </rPr>
      <t>https://drive.google.com/open?id=1xTuwnXyvMnPn37oUYOh-Jr8E-z6A0Elh</t>
    </r>
  </si>
  <si>
    <t>Tác động của đòn bẩy tài chính lên kiệt quệ tài chính: Trường hợp doanh nghiệp bất động sản niêm yết trên Sở Giao dịch Chứng khoán Thành phố Hồ Chí Minh</t>
  </si>
  <si>
    <r>
      <rPr>
        <u/>
        <sz val="10"/>
        <color rgb="FF1155CC"/>
        <rFont val="Roboto"/>
      </rPr>
      <t>https://drive.google.com/open?id=1p38fk3S42PvlEGk6mFjgq3GOm0bAxrrz</t>
    </r>
  </si>
  <si>
    <r>
      <rPr>
        <u/>
        <sz val="10"/>
        <color rgb="FF1155CC"/>
        <rFont val="Roboto"/>
      </rPr>
      <t>https://drive.google.com/open?id=1QUPPpCSi74btPIUyw3ry26Wv_ejrfois</t>
    </r>
  </si>
  <si>
    <r>
      <rPr>
        <u/>
        <sz val="10"/>
        <color rgb="FF1155CC"/>
        <rFont val="Roboto"/>
      </rPr>
      <t>https://drive.google.com/open?id=1nRtNkdF7ZtK9u82WBi0DKKNPJugxBgQD</t>
    </r>
  </si>
  <si>
    <t>The Impact of Financial Leverage on Financial Distress: The case of Real Estate firms listed on the Ho Chi Minh Stock Exchange</t>
  </si>
  <si>
    <r>
      <rPr>
        <u/>
        <sz val="10"/>
        <color rgb="FF1155CC"/>
        <rFont val="Roboto"/>
      </rPr>
      <t>https://drive.google.com/open?id=1JYWXzbtHVhgeBJDkoS4ELCeERGbh8m-Z</t>
    </r>
  </si>
  <si>
    <r>
      <rPr>
        <u/>
        <sz val="10"/>
        <color rgb="FF1155CC"/>
        <rFont val="Roboto"/>
      </rPr>
      <t>https://drive.google.com/open?id=1qk-hU3f_Y-ewYWWPOQuhbepyr7Jou1J5</t>
    </r>
  </si>
  <si>
    <r>
      <rPr>
        <u/>
        <sz val="10"/>
        <color rgb="FF1155CC"/>
        <rFont val="Roboto"/>
      </rPr>
      <t>https://drive.google.com/open?id=1VSudDsxg1r5WFzFzgH8giYO8LOWSLRH6</t>
    </r>
  </si>
  <si>
    <t>Ứng dụng mô hình Hedonic và Machine Learning trong phân tích các yếu tố ảnh hưởng đến giá căn hộ chung cư tại TP.HCM</t>
  </si>
  <si>
    <r>
      <rPr>
        <u/>
        <sz val="10"/>
        <color rgb="FF1155CC"/>
        <rFont val="Roboto"/>
      </rPr>
      <t>https://drive.google.com/open?id=1MzERKqWe1IYoortKzeCk1OcCN2QV9oaN</t>
    </r>
  </si>
  <si>
    <r>
      <rPr>
        <u/>
        <sz val="10"/>
        <color rgb="FF1155CC"/>
        <rFont val="Roboto"/>
      </rPr>
      <t>https://drive.google.com/open?id=1WBNYxjjh04sAk2w19Sv5lnjQTlxOfRZa</t>
    </r>
  </si>
  <si>
    <r>
      <rPr>
        <u/>
        <sz val="10"/>
        <color rgb="FF1155CC"/>
        <rFont val="Roboto"/>
      </rPr>
      <t>https://drive.google.com/open?id=12UTeuqZBY_b0mbIapJTWrYL6dTNJlk8G</t>
    </r>
  </si>
  <si>
    <r>
      <rPr>
        <u/>
        <sz val="10"/>
        <color rgb="FF1155CC"/>
        <rFont val="Roboto"/>
      </rPr>
      <t>https://drive.google.com/open?id=1rqbS8g3SruQRRw9kpmc5kXg9tKJVEn5h</t>
    </r>
  </si>
  <si>
    <r>
      <rPr>
        <u/>
        <sz val="10"/>
        <color rgb="FF1155CC"/>
        <rFont val="Roboto"/>
      </rPr>
      <t>https://drive.google.com/open?id=18qYOj2RLcPuqUiBf48El9kIZ0IB7xsnu</t>
    </r>
  </si>
  <si>
    <r>
      <rPr>
        <u/>
        <sz val="10"/>
        <color rgb="FF1155CC"/>
        <rFont val="Roboto"/>
      </rPr>
      <t>https://drive.google.com/open?id=1XLub5cc12UzZqd9_Aoee4OMX4RLAgbHI</t>
    </r>
  </si>
  <si>
    <r>
      <rPr>
        <u/>
        <sz val="10"/>
        <color rgb="FF1155CC"/>
        <rFont val="Roboto"/>
      </rPr>
      <t>https://drive.google.com/open?id=1awqvp4LJyUJQ2TFWVSxZXN1kdQ2RL8Ly</t>
    </r>
  </si>
  <si>
    <t>Digital Transformation in Cost Management and Macroeconomic Impacts on Manufacturing Performance: A Case Study at R-pac Vietnam Limited.</t>
  </si>
  <si>
    <r>
      <rPr>
        <u/>
        <sz val="10"/>
        <color rgb="FF1155CC"/>
        <rFont val="Roboto"/>
      </rPr>
      <t>https://drive.google.com/open?id=12bQT5GdaKFB-d-YNzazPVw_OC6G22VoA</t>
    </r>
  </si>
  <si>
    <r>
      <rPr>
        <u/>
        <sz val="10"/>
        <color rgb="FF1155CC"/>
        <rFont val="Roboto"/>
      </rPr>
      <t>https://drive.google.com/open?id=1s7IsjWwiv2YcmtVOY84AywO0mUQsL9eB</t>
    </r>
  </si>
  <si>
    <r>
      <rPr>
        <u/>
        <sz val="10"/>
        <color rgb="FF1155CC"/>
        <rFont val="Roboto"/>
      </rPr>
      <t>https://drive.google.com/open?id=1BnIu12-0_4YyTk4FicrqbO-V2xUcTWGd</t>
    </r>
  </si>
  <si>
    <t>Unveiling Non-linear Dynamics: How Economic Policy Uncertainty Impacts Manufacturing Stock Returns through XGBoost and Random Forest Analysis.</t>
  </si>
  <si>
    <r>
      <rPr>
        <u/>
        <sz val="10"/>
        <color rgb="FF1155CC"/>
        <rFont val="Roboto"/>
      </rPr>
      <t>https://drive.google.com/open?id=1BXrXuHjaYZJeGqw9UA-qrMNj4p-OSff8</t>
    </r>
  </si>
  <si>
    <r>
      <rPr>
        <u/>
        <sz val="10"/>
        <color rgb="FF1155CC"/>
        <rFont val="Roboto"/>
      </rPr>
      <t>https://drive.google.com/open?id=1LSivDPmyb79hxjH2u1KNveOlWZqUi0T3</t>
    </r>
  </si>
  <si>
    <r>
      <rPr>
        <u/>
        <sz val="10"/>
        <color rgb="FF1155CC"/>
        <rFont val="Roboto"/>
      </rPr>
      <t>https://drive.google.com/open?id=1vzuRHxrRa8d7dDZP-wTtUaC-sQ_oGiNW</t>
    </r>
  </si>
  <si>
    <r>
      <rPr>
        <u/>
        <sz val="10"/>
        <color rgb="FF1155CC"/>
        <rFont val="Roboto"/>
      </rPr>
      <t>https://drive.google.com/open?id=1L0aqAVzDbd-ezi7-K_Ox2td54tNM0ufq</t>
    </r>
  </si>
  <si>
    <t>Financial News Sentiment and Short-Term Stock Direction Prediction: Evidence from VN30 Firms</t>
  </si>
  <si>
    <r>
      <rPr>
        <u/>
        <sz val="10"/>
        <color rgb="FF1155CC"/>
        <rFont val="Roboto"/>
      </rPr>
      <t>https://drive.google.com/open?id=1sBKtmKmyKUTtQ9THxd3hY0c4C-QqVEHH</t>
    </r>
  </si>
  <si>
    <r>
      <rPr>
        <u/>
        <sz val="10"/>
        <color rgb="FF1155CC"/>
        <rFont val="Roboto"/>
      </rPr>
      <t>https://drive.google.com/open?id=1ZPsapHm8I7ZdwphjsZSnW46-tPKfCIYB</t>
    </r>
  </si>
  <si>
    <r>
      <rPr>
        <u/>
        <sz val="10"/>
        <color rgb="FF1155CC"/>
        <rFont val="Roboto"/>
      </rPr>
      <t>https://drive.google.com/open?id=1mM4YX33mpAoiqsg4aef3Lq8LavdoMClg</t>
    </r>
  </si>
  <si>
    <t>Financial News Sentiment and Short-Term Stock Direction Prediction:\\ Evidence from VN30 Firms</t>
  </si>
  <si>
    <r>
      <rPr>
        <u/>
        <sz val="10"/>
        <color rgb="FF1155CC"/>
        <rFont val="Roboto"/>
      </rPr>
      <t>https://drive.google.com/open?id=1Sev5CtkGnJJUDJwyzkgSsXgA5db3m3jZ</t>
    </r>
  </si>
  <si>
    <r>
      <rPr>
        <u/>
        <sz val="10"/>
        <color rgb="FF1155CC"/>
        <rFont val="Roboto"/>
      </rPr>
      <t>https://drive.google.com/open?id=1lR387YkF6fnLBzIWKfaebgWEK3w2ghTS</t>
    </r>
  </si>
  <si>
    <r>
      <rPr>
        <u/>
        <sz val="10"/>
        <color rgb="FF1155CC"/>
        <rFont val="Roboto"/>
      </rPr>
      <t>https://drive.google.com/open?id=1Z_npW6z9YO3oyLQeVmlK9gMq8C7dnkHF</t>
    </r>
  </si>
  <si>
    <r>
      <rPr>
        <u/>
        <sz val="10"/>
        <color rgb="FF1155CC"/>
        <rFont val="Roboto"/>
      </rPr>
      <t>https://drive.google.com/open?id=1xP8Vq7nyW9tYprEz8IwV9uC8mpslKfEZ</t>
    </r>
  </si>
  <si>
    <t>baochaunguyen694@gmail.com</t>
  </si>
  <si>
    <t>ANALYSIS OF BUSINESS PERFORMANCE AT ANH MINH CO., LTD</t>
  </si>
  <si>
    <r>
      <rPr>
        <u/>
        <sz val="10"/>
        <color rgb="FF1155CC"/>
        <rFont val="Roboto"/>
      </rPr>
      <t>https://drive.google.com/open?id=1dXEzloJmecdXHvwKGbFp_K74qE3tvqG2</t>
    </r>
  </si>
  <si>
    <r>
      <rPr>
        <u/>
        <sz val="10"/>
        <color rgb="FF1155CC"/>
        <rFont val="Roboto"/>
      </rPr>
      <t>https://drive.google.com/open?id=1RlzlSeeegp0PFy44hF5QSTC7kTvGkrsG</t>
    </r>
  </si>
  <si>
    <r>
      <rPr>
        <u/>
        <sz val="10"/>
        <color rgb="FF1155CC"/>
        <rFont val="Roboto"/>
      </rPr>
      <t>https://drive.google.com/open?id=1tzea4vgZgf-x4KqI778KPqEqQXP9Kykd</t>
    </r>
  </si>
  <si>
    <r>
      <rPr>
        <u/>
        <sz val="10"/>
        <color rgb="FF1155CC"/>
        <rFont val="Roboto"/>
      </rPr>
      <t>https://drive.google.com/open?id=1F-jRjtqt-14dhtWiA78S3WjXKNdQ6pC1</t>
    </r>
  </si>
  <si>
    <r>
      <rPr>
        <u/>
        <sz val="10"/>
        <color rgb="FF1155CC"/>
        <rFont val="Roboto"/>
      </rPr>
      <t>https://drive.google.com/open?id=1cfwjNq8I0TmiuW-qScwF4__gQZbF8Moh</t>
    </r>
  </si>
  <si>
    <r>
      <rPr>
        <u/>
        <sz val="10"/>
        <color rgb="FF1155CC"/>
        <rFont val="Roboto"/>
      </rPr>
      <t>https://drive.google.com/open?id=1miuejRbZv0h_tkc8vGK9trg32wzdrL5X</t>
    </r>
  </si>
  <si>
    <r>
      <rPr>
        <u/>
        <sz val="10"/>
        <color rgb="FF1155CC"/>
        <rFont val="Roboto"/>
      </rPr>
      <t>https://drive.google.com/open?id=1gEAnWwquEPTHpH_-BjkMD9jBfEmKgrz0</t>
    </r>
  </si>
  <si>
    <t>Ứng dụng Graph Neural Network trong dự báo và phân tích lan truyền rủi ro tài chính doanh nghiệp tại Việt Nam</t>
  </si>
  <si>
    <r>
      <rPr>
        <u/>
        <sz val="10"/>
        <color rgb="FF1155CC"/>
        <rFont val="Roboto"/>
      </rPr>
      <t>https://drive.google.com/open?id=1cZ63RkuhVAkB8FJaWmjnyCN8lddq16bF</t>
    </r>
  </si>
  <si>
    <r>
      <rPr>
        <u/>
        <sz val="10"/>
        <color rgb="FF1155CC"/>
        <rFont val="Roboto"/>
      </rPr>
      <t>https://drive.google.com/open?id=1sHGrvmZYCKD_A0mEbqo2f2aUtuFPdfEK</t>
    </r>
  </si>
  <si>
    <r>
      <rPr>
        <u/>
        <sz val="10"/>
        <color rgb="FF1155CC"/>
        <rFont val="Roboto"/>
      </rPr>
      <t>https://drive.google.com/open?id=1pHqHxcdAuxRmI4vRP7CNKoa1hDltCeJz</t>
    </r>
  </si>
  <si>
    <r>
      <rPr>
        <u/>
        <sz val="10"/>
        <color rgb="FF1155CC"/>
        <rFont val="Roboto"/>
      </rPr>
      <t>https://drive.google.com/open?id=1U5K_-h0dv_c1uIKCkahKmWmzVeaTolni</t>
    </r>
  </si>
  <si>
    <r>
      <rPr>
        <u/>
        <sz val="10"/>
        <color rgb="FF1155CC"/>
        <rFont val="Roboto"/>
      </rPr>
      <t>https://drive.google.com/open?id=1pnh9ApM_dG3j1eF57-xFDuEs4THGV2Q0</t>
    </r>
  </si>
  <si>
    <r>
      <rPr>
        <u/>
        <sz val="10"/>
        <color rgb="FF1155CC"/>
        <rFont val="Roboto"/>
      </rPr>
      <t>https://drive.google.com/open?id=13UXpA7uei85RKAa02A2ohCYOkYPYbRnL</t>
    </r>
  </si>
  <si>
    <r>
      <rPr>
        <u/>
        <sz val="10"/>
        <color rgb="FF1155CC"/>
        <rFont val="Roboto"/>
      </rPr>
      <t>https://drive.google.com/open?id=1Xr6OJbh51tddmXgZF8pOqrg5TB6KmtFQ</t>
    </r>
  </si>
  <si>
    <t>APPLYING FINANCIAL ANALYSIS METHODS IN EVALUATING STORE OPENING PROJECTS - A CASE STUDY AT KATINAT CAFÉ JOINT STOCK</t>
  </si>
  <si>
    <r>
      <rPr>
        <u/>
        <sz val="10"/>
        <color rgb="FF1155CC"/>
        <rFont val="Roboto"/>
      </rPr>
      <t>https://drive.google.com/open?id=1XFqim3m0qP9TJD2Px57RBP8LhM0bGf0n</t>
    </r>
  </si>
  <si>
    <r>
      <rPr>
        <u/>
        <sz val="10"/>
        <color rgb="FF1155CC"/>
        <rFont val="Roboto"/>
      </rPr>
      <t>https://drive.google.com/open?id=1GzrYUBwZKFdPE8ndDFzSLjBjawdjvL6H</t>
    </r>
  </si>
  <si>
    <r>
      <rPr>
        <u/>
        <sz val="10"/>
        <color rgb="FF1155CC"/>
        <rFont val="Roboto"/>
      </rPr>
      <t>https://drive.google.com/open?id=1GlFu7cdbFdhe2SDOqcxyehX5wVivpGSO</t>
    </r>
  </si>
  <si>
    <t>Investment Efficiency and Firm-Level Determinants of Investment Deviation: Evidence from Vietnamese Non-Financial Firms</t>
  </si>
  <si>
    <r>
      <rPr>
        <u/>
        <sz val="10"/>
        <color rgb="FF1155CC"/>
        <rFont val="Roboto"/>
      </rPr>
      <t>https://drive.google.com/open?id=1MOnapvIgYdr1i72IMc5zK9k5TVMNhl_D</t>
    </r>
  </si>
  <si>
    <r>
      <rPr>
        <u/>
        <sz val="10"/>
        <color rgb="FF1155CC"/>
        <rFont val="Roboto"/>
      </rPr>
      <t>https://drive.google.com/open?id=11Cpqwd-n2Nvd32Si8r4NSN1-P3PT-nOM</t>
    </r>
  </si>
  <si>
    <r>
      <rPr>
        <u/>
        <sz val="10"/>
        <color rgb="FF1155CC"/>
        <rFont val="Roboto"/>
      </rPr>
      <t>https://drive.google.com/open?id=1_IoV-73QnfWRVb8GYutYiBFYXyxvOtK0</t>
    </r>
  </si>
  <si>
    <t>K22424C</t>
  </si>
  <si>
    <t>TỐI ƯU HÓA DANH MỤC ĐẦU TƯ DỰA TRÊN DỰ BÁO LỢI SUẤT BẰNG CÁC MÔ HÌNH HỌC MÁY VÀ HỌC SÂU</t>
  </si>
  <si>
    <r>
      <rPr>
        <u/>
        <sz val="10"/>
        <color rgb="FF1155CC"/>
        <rFont val="Roboto"/>
      </rPr>
      <t>https://drive.google.com/open?id=1leHDLjai5-yN7UbhomO6T9WKFpL5E5iT</t>
    </r>
  </si>
  <si>
    <r>
      <rPr>
        <u/>
        <sz val="10"/>
        <color rgb="FF1155CC"/>
        <rFont val="Roboto"/>
      </rPr>
      <t>https://drive.google.com/open?id=1d5k41ygMvz5aKL0CZ4ya9w9eJnf6hBcS</t>
    </r>
  </si>
  <si>
    <r>
      <rPr>
        <u/>
        <sz val="10"/>
        <color rgb="FF1155CC"/>
        <rFont val="Roboto"/>
      </rPr>
      <t>https://drive.google.com/open?id=1qJXuPJBjRiNh9akDI0_o3geRqcXUJ45A</t>
    </r>
  </si>
  <si>
    <r>
      <rPr>
        <u/>
        <sz val="10"/>
        <color rgb="FF1155CC"/>
        <rFont val="Roboto"/>
      </rPr>
      <t>https://drive.google.com/open?id=19cSXqoAzuh-GmVZ9lbsd1KmaUprdwCrM</t>
    </r>
  </si>
  <si>
    <r>
      <rPr>
        <u/>
        <sz val="10"/>
        <color rgb="FF1155CC"/>
        <rFont val="Roboto"/>
      </rPr>
      <t>https://drive.google.com/open?id=16lUF0_S-U46ytDiZYuzOFOobEqPQ0mN-</t>
    </r>
  </si>
  <si>
    <r>
      <rPr>
        <u/>
        <sz val="10"/>
        <color rgb="FF1155CC"/>
        <rFont val="Roboto"/>
      </rPr>
      <t>https://drive.google.com/open?id=1LKiKy3L9iNSu11AfG5O-JCrp60OxJNRq</t>
    </r>
  </si>
  <si>
    <r>
      <rPr>
        <u/>
        <sz val="10"/>
        <color rgb="FF1155CC"/>
        <rFont val="Roboto"/>
      </rPr>
      <t>https://drive.google.com/open?id=1lwCNcXeUzPe_H883-CdWrdoPcBoPMizK</t>
    </r>
  </si>
  <si>
    <t>THE IMPACT OF BOARD CHARACTERISTICS ON THE PERFORMANCE OF COMMERCIAL BANKS LISTED IN VIETNAM</t>
  </si>
  <si>
    <r>
      <rPr>
        <u/>
        <sz val="10"/>
        <color rgb="FF1155CC"/>
        <rFont val="Roboto"/>
      </rPr>
      <t>https://drive.google.com/open?id=1UdiyFTp4_I4HcWIwuF1AMlC9wZWh8Hnj</t>
    </r>
  </si>
  <si>
    <r>
      <rPr>
        <u/>
        <sz val="10"/>
        <color rgb="FF1155CC"/>
        <rFont val="Roboto"/>
      </rPr>
      <t>https://drive.google.com/open?id=1JSZcXWLnYl8j6-LQdZNeck8lLfMu4hqU</t>
    </r>
  </si>
  <si>
    <r>
      <rPr>
        <u/>
        <sz val="10"/>
        <color rgb="FF1155CC"/>
        <rFont val="Roboto"/>
      </rPr>
      <t>https://drive.google.com/open?id=1su2l3gf5JfgbE80Y_gmIs4xaWASjwNfp</t>
    </r>
  </si>
  <si>
    <t>THE IMPACT OF BOARD CHARACTERISTICS ON THE FINANCIAL PERFORMANCE OF LISTED COMMERCIAL BANKS IN VIETNAM: EVIDENCE FROM 2015-2024</t>
  </si>
  <si>
    <r>
      <rPr>
        <u/>
        <sz val="10"/>
        <color rgb="FF1155CC"/>
        <rFont val="Roboto"/>
      </rPr>
      <t>https://drive.google.com/open?id=15j5YHsntLpLHRKY-37OhUdxiuoKMh1Ss</t>
    </r>
  </si>
  <si>
    <r>
      <rPr>
        <u/>
        <sz val="10"/>
        <color rgb="FF1155CC"/>
        <rFont val="Roboto"/>
      </rPr>
      <t>https://drive.google.com/open?id=14vosYyJQwP4iRF_ZNUXTsHLj6CkvRN5V</t>
    </r>
  </si>
  <si>
    <r>
      <rPr>
        <u/>
        <sz val="10"/>
        <color rgb="FF1155CC"/>
        <rFont val="Roboto"/>
      </rPr>
      <t>https://drive.google.com/open?id=1Tr-aUWXmBWmU-4ofiuZrYxs1ifQ9hcIx</t>
    </r>
  </si>
  <si>
    <r>
      <rPr>
        <u/>
        <sz val="10"/>
        <color rgb="FF1155CC"/>
        <rFont val="Roboto"/>
      </rPr>
      <t>https://drive.google.com/open?id=1-4mQbWgXX69uaLIhfBz1f-dCMzG1sGKc</t>
    </r>
  </si>
  <si>
    <t>QuantVN Strategy Forge : Chuẩn hóa quy trình backtesting cho cổ phiếu HOSE</t>
  </si>
  <si>
    <r>
      <rPr>
        <u/>
        <sz val="10"/>
        <color rgb="FF1155CC"/>
        <rFont val="Roboto"/>
      </rPr>
      <t>https://drive.google.com/open?id=1P-Fz8qlq7qQKWyl9Mk27PQTbzfkv-NTR</t>
    </r>
  </si>
  <si>
    <r>
      <rPr>
        <u/>
        <sz val="10"/>
        <color rgb="FF1155CC"/>
        <rFont val="Roboto"/>
      </rPr>
      <t>https://drive.google.com/open?id=1WhrVF_rx4hT-PKRFVQpJOw2pPjxzyC8v</t>
    </r>
  </si>
  <si>
    <r>
      <rPr>
        <u/>
        <sz val="10"/>
        <color rgb="FF1155CC"/>
        <rFont val="Roboto"/>
      </rPr>
      <t>https://drive.google.com/open?id=1kPldGgbvfyQPebrXGvV0QKiotgrGjRsr</t>
    </r>
  </si>
  <si>
    <t>QuantVN Strategy Forge: Thiết kế và triển khai nền tảng phân tích định lượng hỗ trợ xây dựng chiến lược giao dịch và kiểm định quá khứ trên thị trường cổ phiếu Việt Nam (HOSE)</t>
  </si>
  <si>
    <r>
      <rPr>
        <u/>
        <sz val="10"/>
        <color rgb="FF1155CC"/>
        <rFont val="Roboto"/>
      </rPr>
      <t>https://drive.google.com/open?id=17R1d5-5pxA0Ba0AC7kKHNbZKHZrnAYss</t>
    </r>
  </si>
  <si>
    <r>
      <rPr>
        <u/>
        <sz val="10"/>
        <color rgb="FF1155CC"/>
        <rFont val="Roboto"/>
      </rPr>
      <t>https://drive.google.com/open?id=1PtT5e0m0JfaHGy-9pPBRyAnTQBa9QIBM</t>
    </r>
  </si>
  <si>
    <r>
      <rPr>
        <u/>
        <sz val="10"/>
        <color rgb="FF1155CC"/>
        <rFont val="Roboto"/>
      </rPr>
      <t>https://drive.google.com/open?id=1Dkl1dCD_48wtYXTlDNzNeN9-iHEQICdS</t>
    </r>
  </si>
  <si>
    <r>
      <rPr>
        <u/>
        <sz val="10"/>
        <color rgb="FF1155CC"/>
        <rFont val="Roboto"/>
      </rPr>
      <t>https://drive.google.com/open?id=1-VNXDWOhNvKyNBMvHCtIh7_C0C2qYqA1</t>
    </r>
  </si>
  <si>
    <t>Phân tích hoạt động tín dụng doanh nghiệp tại ngân hàng TMCP Bản Việt - Chi Nhánh Nam Sài Gòn</t>
  </si>
  <si>
    <r>
      <rPr>
        <u/>
        <sz val="10"/>
        <color rgb="FF1155CC"/>
        <rFont val="Roboto"/>
      </rPr>
      <t>https://drive.google.com/open?id=1EtAmndjV1WjWOUs-t-ZpOuOAkpO7dBpv</t>
    </r>
  </si>
  <si>
    <r>
      <rPr>
        <u/>
        <sz val="10"/>
        <color rgb="FF1155CC"/>
        <rFont val="Roboto"/>
      </rPr>
      <t>https://drive.google.com/open?id=1ErZ7kHLPUxDPR7Ym9dYgao0On9FEmlyz</t>
    </r>
  </si>
  <si>
    <r>
      <rPr>
        <u/>
        <sz val="10"/>
        <color rgb="FF1155CC"/>
        <rFont val="Roboto"/>
      </rPr>
      <t>https://drive.google.com/open?id=1R-pepwMat5iTbdsvumkUoUzwDfySG4h7</t>
    </r>
  </si>
  <si>
    <t>Ứng dụng thuật toán phân cụm trong xây dựng mô hình chấm điểm tín dụng doanh nghiệp</t>
  </si>
  <si>
    <r>
      <rPr>
        <u/>
        <sz val="10"/>
        <color rgb="FF1155CC"/>
        <rFont val="Roboto"/>
      </rPr>
      <t>https://drive.google.com/open?id=192cNv33ABUm8Z5LICz_76AKJv5OesCV5</t>
    </r>
  </si>
  <si>
    <r>
      <rPr>
        <u/>
        <sz val="10"/>
        <color rgb="FF1155CC"/>
        <rFont val="Roboto"/>
      </rPr>
      <t>https://drive.google.com/open?id=1-99E1ujeXHdm-Sx8zrjkOHC08PyLGE7y</t>
    </r>
  </si>
  <si>
    <r>
      <rPr>
        <u/>
        <sz val="10"/>
        <color rgb="FF1155CC"/>
        <rFont val="Roboto"/>
      </rPr>
      <t>https://drive.google.com/open?id=1mwTpCZKpholNW74NsIQlle6y-31OaVlx</t>
    </r>
  </si>
  <si>
    <r>
      <rPr>
        <u/>
        <sz val="10"/>
        <color rgb="FF1155CC"/>
        <rFont val="Roboto"/>
      </rPr>
      <t>https://drive.google.com/open?id=19Dp3HBSHErqNRg2WJciw2CLJgvp7mtMy</t>
    </r>
  </si>
  <si>
    <t>FORECASTING VN-INDEX RETURNS USING TRADITIONAL MODELS, MACHINE LEARNING AND DEEP LEARNING</t>
  </si>
  <si>
    <r>
      <rPr>
        <u/>
        <sz val="10"/>
        <color rgb="FF1155CC"/>
        <rFont val="Roboto"/>
      </rPr>
      <t>https://drive.google.com/open?id=1fibKQFgCEvTbZ1PAhh3KKKRUslJQ3stT</t>
    </r>
  </si>
  <si>
    <r>
      <rPr>
        <u/>
        <sz val="10"/>
        <color rgb="FF1155CC"/>
        <rFont val="Roboto"/>
      </rPr>
      <t>https://drive.google.com/open?id=1jX4R6e_bWWmcHX7sBkk6e1xjPA2-7Q_w</t>
    </r>
  </si>
  <si>
    <r>
      <rPr>
        <u/>
        <sz val="10"/>
        <color rgb="FF1155CC"/>
        <rFont val="Roboto"/>
      </rPr>
      <t>https://drive.google.com/open?id=1gb45hExXzBCFxwNxE4z5PWIiFAyZT6Is</t>
    </r>
  </si>
  <si>
    <r>
      <rPr>
        <u/>
        <sz val="10"/>
        <color rgb="FF1155CC"/>
        <rFont val="Roboto"/>
      </rPr>
      <t>https://drive.google.com/open?id=1DBKOj-gp3D4ekJzbo8Fuvdb_dX8Iqwtf</t>
    </r>
  </si>
  <si>
    <r>
      <rPr>
        <u/>
        <sz val="10"/>
        <color rgb="FF1155CC"/>
        <rFont val="Roboto"/>
      </rPr>
      <t>https://drive.google.com/open?id=1KGsHSZKpHTiu08VMb-g6JPf8hNEkW2gm</t>
    </r>
  </si>
  <si>
    <r>
      <rPr>
        <u/>
        <sz val="10"/>
        <color rgb="FF1155CC"/>
        <rFont val="Roboto"/>
      </rPr>
      <t>https://drive.google.com/open?id=1w6I79mOJCHybCt0hKyK6JVnHESeuK6fr</t>
    </r>
  </si>
  <si>
    <r>
      <rPr>
        <u/>
        <sz val="10"/>
        <color rgb="FF1155CC"/>
        <rFont val="Roboto"/>
      </rPr>
      <t>https://drive.google.com/open?id=1Gi2uUwvXsHfFX-5rE39s93fzMh7Vdsbq</t>
    </r>
  </si>
  <si>
    <t>DƯƠNG THỊ THÙY LINH</t>
  </si>
  <si>
    <r>
      <rPr>
        <u/>
        <sz val="10"/>
        <color rgb="FF1155CC"/>
        <rFont val="Roboto"/>
      </rPr>
      <t>https://drive.google.com/open?id=1By-7MqGtshF6mr-FpkDLKL_28lJFeu8m</t>
    </r>
  </si>
  <si>
    <r>
      <rPr>
        <u/>
        <sz val="10"/>
        <color rgb="FF1155CC"/>
        <rFont val="Roboto"/>
      </rPr>
      <t>https://drive.google.com/open?id=1zzlyEGUn4GAT5xArnPjkRqKjCwSMxILu</t>
    </r>
  </si>
  <si>
    <r>
      <rPr>
        <u/>
        <sz val="10"/>
        <color rgb="FF1155CC"/>
        <rFont val="Roboto"/>
      </rPr>
      <t>https://drive.google.com/open?id=1PqepHbxi1nYzSlL121bouAb6UfkfF0Fu</t>
    </r>
  </si>
  <si>
    <r>
      <rPr>
        <u/>
        <sz val="10"/>
        <color rgb="FF1155CC"/>
        <rFont val="Roboto"/>
      </rPr>
      <t>https://drive.google.com/open?id=137Bc0e9Rfq_KOa8V8tra8rBiu6dAJAyq</t>
    </r>
  </si>
  <si>
    <r>
      <rPr>
        <u/>
        <sz val="10"/>
        <color rgb="FF1155CC"/>
        <rFont val="Roboto"/>
      </rPr>
      <t>https://drive.google.com/open?id=1T9l5BJbwuoN25dSCRA6PvW-Yz5zZZlSP</t>
    </r>
  </si>
  <si>
    <r>
      <rPr>
        <u/>
        <sz val="10"/>
        <color rgb="FF1155CC"/>
        <rFont val="Roboto"/>
      </rPr>
      <t>https://drive.google.com/open?id=1iWg81IHqE_9Pb8CNsoiOOLq2BTWGcCCf</t>
    </r>
  </si>
  <si>
    <r>
      <rPr>
        <u/>
        <sz val="10"/>
        <color rgb="FF1155CC"/>
        <rFont val="Roboto"/>
      </rPr>
      <t>https://drive.google.com/open?id=1p2C33kgSXqg7UvKAnLV8zOz-FMw3COmU</t>
    </r>
  </si>
  <si>
    <r>
      <rPr>
        <u/>
        <sz val="10"/>
        <color rgb="FF1155CC"/>
        <rFont val="Roboto"/>
      </rPr>
      <t>https://drive.google.com/open?id=13WBZoVGWNtT-Wxx2Fwb1Z26pQx6_ssNo</t>
    </r>
  </si>
  <si>
    <r>
      <rPr>
        <u/>
        <sz val="10"/>
        <color rgb="FF1155CC"/>
        <rFont val="Roboto"/>
      </rPr>
      <t>https://drive.google.com/open?id=1uEzytHwbvZaNG0vyWcvQiF4tE2opTGmZ</t>
    </r>
  </si>
  <si>
    <r>
      <rPr>
        <u/>
        <sz val="10"/>
        <color rgb="FF1155CC"/>
        <rFont val="Roboto"/>
      </rPr>
      <t>https://drive.google.com/open?id=1SxIaVmyhdUjBST4qniI6KnRhn8v588NV</t>
    </r>
  </si>
  <si>
    <r>
      <rPr>
        <u/>
        <sz val="10"/>
        <color rgb="FF1155CC"/>
        <rFont val="Roboto"/>
      </rPr>
      <t>https://drive.google.com/open?id=1N3lcfAsakig5w7KQk8bS-G6dankkAlwF</t>
    </r>
  </si>
  <si>
    <r>
      <rPr>
        <u/>
        <sz val="10"/>
        <color rgb="FF1155CC"/>
        <rFont val="Roboto"/>
      </rPr>
      <t>https://drive.google.com/open?id=1r88GRgIYs_neCl80_HEvAc6T_cslSymQ</t>
    </r>
  </si>
  <si>
    <r>
      <rPr>
        <u/>
        <sz val="10"/>
        <color rgb="FF1155CC"/>
        <rFont val="Roboto"/>
      </rPr>
      <t>https://drive.google.com/open?id=15N_SR_k7GpKSa6aWf0-yqsFxbtjuS8QN</t>
    </r>
  </si>
  <si>
    <r>
      <rPr>
        <u/>
        <sz val="10"/>
        <color rgb="FF1155CC"/>
        <rFont val="Roboto"/>
      </rPr>
      <t>https://drive.google.com/open?id=1iV27U2qYHehYcC0Wa0DbKWE5WTU7pgUU</t>
    </r>
  </si>
  <si>
    <t>MỐI QUAN HỆ GIỮA CAR VÀ KHẢ NĂNG SINH LỜI CỦA CÁC NGÂN HÀNG THƯƠNG MẠI VIỆT NAM</t>
  </si>
  <si>
    <r>
      <rPr>
        <u/>
        <sz val="10"/>
        <color rgb="FF1155CC"/>
        <rFont val="Roboto"/>
      </rPr>
      <t>https://drive.google.com/open?id=1SjPJT5KLJGLBT0EBwHRfD7k91_jaQXWX</t>
    </r>
  </si>
  <si>
    <r>
      <rPr>
        <u/>
        <sz val="10"/>
        <color rgb="FF1155CC"/>
        <rFont val="Roboto"/>
      </rPr>
      <t>https://drive.google.com/open?id=1Uqd_oQ4I7GQQ5zI5aB2sP5xGjDNsqRGw</t>
    </r>
  </si>
  <si>
    <r>
      <rPr>
        <u/>
        <sz val="10"/>
        <color rgb="FF1155CC"/>
        <rFont val="Roboto"/>
      </rPr>
      <t>https://drive.google.com/open?id=1dU0BG3jMcnmdhnJZOMvEr8QT9pY12hGC</t>
    </r>
  </si>
  <si>
    <r>
      <rPr>
        <u/>
        <sz val="10"/>
        <color rgb="FF1155CC"/>
        <rFont val="Roboto"/>
      </rPr>
      <t>https://drive.google.com/open?id=1ywmDN0TaUUKDU3qV4cNAseMuy-f04vnK</t>
    </r>
  </si>
  <si>
    <r>
      <rPr>
        <u/>
        <sz val="10"/>
        <color rgb="FF1155CC"/>
        <rFont val="Roboto"/>
      </rPr>
      <t>https://drive.google.com/open?id=1_cBqAlVvG8rhzOYW9wI2QW__XfVQyLyC</t>
    </r>
  </si>
  <si>
    <r>
      <rPr>
        <u/>
        <sz val="10"/>
        <color rgb="FF1155CC"/>
        <rFont val="Roboto"/>
      </rPr>
      <t>https://drive.google.com/open?id=1j15wlknKP7lFcC2GziKaC7ul8DEa4AXf</t>
    </r>
  </si>
  <si>
    <t>Các yếu tố ảnh hưởng đến hoạt động huy động vốn của ngân hàng thương mại Việt Nam</t>
  </si>
  <si>
    <r>
      <rPr>
        <u/>
        <sz val="10"/>
        <color rgb="FF1155CC"/>
        <rFont val="Roboto"/>
      </rPr>
      <t>https://drive.google.com/open?id=1dsZPEZH9WYdal32ILRfj8SQCojJAftO3</t>
    </r>
  </si>
  <si>
    <r>
      <rPr>
        <u/>
        <sz val="10"/>
        <color rgb="FF1155CC"/>
        <rFont val="Roboto"/>
      </rPr>
      <t>https://drive.google.com/open?id=12-5yMVCZ6Zdz29UUS-RfY60T4YdulR1I</t>
    </r>
  </si>
  <si>
    <r>
      <rPr>
        <u/>
        <sz val="10"/>
        <color rgb="FF1155CC"/>
        <rFont val="Roboto"/>
      </rPr>
      <t>https://drive.google.com/open?id=1amLsz-wU0LMF5afG77Mk-lX-n_VEL1up</t>
    </r>
  </si>
  <si>
    <r>
      <rPr>
        <u/>
        <sz val="10"/>
        <color rgb="FF1155CC"/>
        <rFont val="Roboto"/>
      </rPr>
      <t>https://drive.google.com/open?id=186y1iuhE4YBZhzsIvEl_WgkEWTWnFFAd</t>
    </r>
  </si>
  <si>
    <r>
      <rPr>
        <u/>
        <sz val="10"/>
        <color rgb="FF1155CC"/>
        <rFont val="Roboto"/>
      </rPr>
      <t>https://drive.google.com/open?id=14rfOvwfjx6iyueMtO6b21-iMKF3UqImK</t>
    </r>
  </si>
  <si>
    <r>
      <rPr>
        <u/>
        <sz val="10"/>
        <color rgb="FF1155CC"/>
        <rFont val="Roboto"/>
      </rPr>
      <t>https://drive.google.com/open?id=1V0spmarOOkCwTwk2zmkwXOksdHP_TnLF</t>
    </r>
  </si>
  <si>
    <r>
      <rPr>
        <u/>
        <sz val="10"/>
        <color rgb="FF1155CC"/>
        <rFont val="Roboto"/>
      </rPr>
      <t>https://drive.google.com/open?id=1VwwnEvjGBcqcXqbh0DdmbKbP75gl9cBL</t>
    </r>
  </si>
  <si>
    <t>NGHIÊN CỨU HIỆU QUẢ CỦA MÔ HÌNH LSTM TRONG DỰ BÁO GIÁ CỔ PHIẾU VÀ ỨNG DỤNG VÀO TỐI ƯU HÓA DANH MỤC ĐẦU TƯ: SO SÁNH PHƯƠNG PHÁP EQUAL WEIGHT, MARKOWITZ VÀ HRP</t>
  </si>
  <si>
    <r>
      <rPr>
        <u/>
        <sz val="10"/>
        <color rgb="FF1155CC"/>
        <rFont val="Roboto"/>
      </rPr>
      <t>https://drive.google.com/open?id=1rHpAizE7KMd-f8TdmUH-BYn_99tpfAsT</t>
    </r>
  </si>
  <si>
    <r>
      <rPr>
        <u/>
        <sz val="10"/>
        <color rgb="FF1155CC"/>
        <rFont val="Roboto"/>
      </rPr>
      <t>https://drive.google.com/open?id=1Chxfwa4KIr49Z8PxbGqkrfxzUTN_ciAO</t>
    </r>
  </si>
  <si>
    <r>
      <rPr>
        <u/>
        <sz val="10"/>
        <color rgb="FF1155CC"/>
        <rFont val="Roboto"/>
      </rPr>
      <t>https://drive.google.com/open?id=1LmiMt_sCydMNGUYyOrmKOGo917nWIT3b</t>
    </r>
  </si>
  <si>
    <r>
      <rPr>
        <u/>
        <sz val="10"/>
        <color rgb="FF1155CC"/>
        <rFont val="Roboto"/>
      </rPr>
      <t>https://drive.google.com/open?id=1NUPZLaXV0GHW8hix8OuKmPUhmGW18egA</t>
    </r>
  </si>
  <si>
    <r>
      <rPr>
        <u/>
        <sz val="10"/>
        <color rgb="FF1155CC"/>
        <rFont val="Roboto"/>
      </rPr>
      <t>https://drive.google.com/open?id=189CJYydEQ0cG5YyeMstuIa3mPfye1nWf</t>
    </r>
  </si>
  <si>
    <t>Phân tích chiến lược cạnh tranh của Công ty TNHH MTV Chứng khoán Ngân hàng số Vikki</t>
  </si>
  <si>
    <r>
      <rPr>
        <u/>
        <sz val="10"/>
        <color rgb="FF1155CC"/>
        <rFont val="Roboto"/>
      </rPr>
      <t>https://drive.google.com/open?id=1Ga1qGwhjIAYi1wDs2A2SLVbdXSml7UDX</t>
    </r>
  </si>
  <si>
    <r>
      <rPr>
        <u/>
        <sz val="10"/>
        <color rgb="FF1155CC"/>
        <rFont val="Roboto"/>
      </rPr>
      <t>https://drive.google.com/open?id=1_M2TNW-kSfrTVo7-9aQlUHoigYsR4Gzb</t>
    </r>
  </si>
  <si>
    <r>
      <rPr>
        <u/>
        <sz val="10"/>
        <color rgb="FF1155CC"/>
        <rFont val="Roboto"/>
      </rPr>
      <t>https://drive.google.com/open?id=1J_lImwGnoi0C006EAlaME6Uslt8PXEm3</t>
    </r>
  </si>
  <si>
    <t>Ứng dụng mô hình Mean - Variance và Hierarchical Risk Parity trong phân bổ danh mục cổ phiếu tại thị trường chứng khoán Việt Nam</t>
  </si>
  <si>
    <r>
      <rPr>
        <u/>
        <sz val="10"/>
        <color rgb="FF1155CC"/>
        <rFont val="Roboto"/>
      </rPr>
      <t>https://drive.google.com/open?id=1u_Y61HKiFIFxBoTp3KxWmkF3T5WpVdB7</t>
    </r>
  </si>
  <si>
    <r>
      <rPr>
        <u/>
        <sz val="10"/>
        <color rgb="FF1155CC"/>
        <rFont val="Roboto"/>
      </rPr>
      <t>https://drive.google.com/open?id=1etDF0Jg6IWqVnyUn_1aqS78rcM8onOLP</t>
    </r>
  </si>
  <si>
    <r>
      <rPr>
        <u/>
        <sz val="10"/>
        <color rgb="FF1155CC"/>
        <rFont val="Roboto"/>
      </rPr>
      <t>https://drive.google.com/open?id=1itvLpUc-MKdbIOd_nlMeikZhE_RwtpqC</t>
    </r>
  </si>
  <si>
    <r>
      <rPr>
        <u/>
        <sz val="10"/>
        <color rgb="FF1155CC"/>
        <rFont val="Roboto"/>
      </rPr>
      <t>https://drive.google.com/open?id=1QEYGheP69wUhy8zOrLWBBFheLxmLc9pu</t>
    </r>
  </si>
  <si>
    <t>Ứng dụng Machine Learning trong phát hiện các chiến lược quản trị lợi nhuận ở doanh nghiệp Việt Nam theo tình trạng tài chính</t>
  </si>
  <si>
    <r>
      <rPr>
        <u/>
        <sz val="10"/>
        <color rgb="FF1155CC"/>
        <rFont val="Roboto"/>
      </rPr>
      <t>https://drive.google.com/open?id=1Sk4i-MveCr82K5UphogUwRXU77SPW9W4</t>
    </r>
  </si>
  <si>
    <r>
      <rPr>
        <u/>
        <sz val="10"/>
        <color rgb="FF1155CC"/>
        <rFont val="Roboto"/>
      </rPr>
      <t>https://drive.google.com/open?id=1vzOw3FzKVSVE-vq7vQbOXk79ucHrj0Rr</t>
    </r>
  </si>
  <si>
    <r>
      <rPr>
        <u/>
        <sz val="10"/>
        <color rgb="FF1155CC"/>
        <rFont val="Roboto"/>
      </rPr>
      <t>https://drive.google.com/open?id=1F7aNFgyWrXIX6cf1acXp7-iSN67EPT50</t>
    </r>
  </si>
  <si>
    <r>
      <rPr>
        <u/>
        <sz val="10"/>
        <color rgb="FF1155CC"/>
        <rFont val="Roboto"/>
      </rPr>
      <t>https://drive.google.com/open?id=1-XTUy194DxBY5b-PjHMi6UqokmdAY1U-</t>
    </r>
  </si>
  <si>
    <r>
      <rPr>
        <u/>
        <sz val="10"/>
        <color rgb="FF1155CC"/>
        <rFont val="Roboto"/>
      </rPr>
      <t>https://drive.google.com/open?id=1bxZS_cUelyJcmWQG_03Wtp4f7AQT9ex0</t>
    </r>
  </si>
  <si>
    <t>ANALYZING THE PERFORMANCE OF RETAIL CUSTOMER CREDIT ACTIVITIES AT BIDV - THU DAU MOT BRANCH AND IMPLICATIONS FOR ASSET QUALITY CONTROL</t>
  </si>
  <si>
    <r>
      <rPr>
        <u/>
        <sz val="10"/>
        <color rgb="FF1155CC"/>
        <rFont val="Roboto"/>
      </rPr>
      <t>https://drive.google.com/open?id=1dHA-zRIVx5LjjjrBWuEFli1GJSrQkXpr</t>
    </r>
  </si>
  <si>
    <r>
      <rPr>
        <u/>
        <sz val="10"/>
        <color rgb="FF1155CC"/>
        <rFont val="Roboto"/>
      </rPr>
      <t>https://drive.google.com/open?id=1lbH6XeKk5Kp7itxZMzSOyxklrrt0Gat3</t>
    </r>
  </si>
  <si>
    <r>
      <rPr>
        <u/>
        <sz val="10"/>
        <color rgb="FF1155CC"/>
        <rFont val="Roboto"/>
      </rPr>
      <t>https://drive.google.com/open?id=18OUuh8W17eiJRaXCmeigZ_jzxoFxecdD</t>
    </r>
  </si>
  <si>
    <r>
      <rPr>
        <u/>
        <sz val="10"/>
        <color rgb="FF1155CC"/>
        <rFont val="Roboto"/>
      </rPr>
      <t>https://drive.google.com/open?id=1i-hHqujFgTa7XcnC4VkcWos2AzaivvAI</t>
    </r>
  </si>
  <si>
    <r>
      <rPr>
        <u/>
        <sz val="10"/>
        <color rgb="FF1155CC"/>
        <rFont val="Roboto"/>
      </rPr>
      <t>https://drive.google.com/open?id=1KPEzEr0BKOUPRp_43xCWmxgXxtrwkqMd</t>
    </r>
  </si>
  <si>
    <r>
      <rPr>
        <u/>
        <sz val="10"/>
        <color rgb="FF1155CC"/>
        <rFont val="Roboto"/>
      </rPr>
      <t>https://drive.google.com/open?id=1X0YPsRlue74T5cMrdnGEtgP6VBdrt0km</t>
    </r>
  </si>
  <si>
    <r>
      <rPr>
        <u/>
        <sz val="10"/>
        <color rgb="FF1155CC"/>
        <rFont val="Roboto"/>
      </rPr>
      <t>https://drive.google.com/open?id=1iwpn0J5bv3F0RmsaRFONpbK3BZ_VLeUB</t>
    </r>
  </si>
  <si>
    <t>MÔ HÌNH HÓA VÀ ĐẶC TẢ CÁC NGHIỆP VỤ HỖ TRỢ TÍN DỤNG KHÁCH HÀNG CÁ NHÂN TẠI NGÂN HÀNG TMCP ĐẦU TƯ VÀ PHÁT TRIỂN VIỆT NAM - CHI NHÁNH ĐÔNG SÀI GÒN</t>
  </si>
  <si>
    <r>
      <rPr>
        <u/>
        <sz val="10"/>
        <color rgb="FF1155CC"/>
        <rFont val="Roboto"/>
      </rPr>
      <t>https://drive.google.com/open?id=1Cd5Q_X5ZuAtqUlIIpDK7iz6NCxM8qO-H</t>
    </r>
  </si>
  <si>
    <r>
      <rPr>
        <u/>
        <sz val="10"/>
        <color rgb="FF1155CC"/>
        <rFont val="Roboto"/>
      </rPr>
      <t>https://drive.google.com/open?id=1DSUC-Mi_lUBSegoZ3uIeZ15I2-mxAjlR</t>
    </r>
  </si>
  <si>
    <r>
      <rPr>
        <u/>
        <sz val="10"/>
        <color rgb="FF1155CC"/>
        <rFont val="Roboto"/>
      </rPr>
      <t>https://drive.google.com/open?id=1rvsvrjz4rQ1H_J6K2g8ZXcfdIVgKmS4i</t>
    </r>
  </si>
  <si>
    <t>ỨNG DỤNG HỌC MÁY KHÔNG GIÁM SÁT TRONG PHÂN TÍCH HÀNH VI GIÁ CỔ PHIẾU VÀ XÂY DỰNG DANH MỤC ĐẦU TƯ TRÊN THỊ TRƯỜNG CHỨNG KHOÁN VIỆT NAM</t>
  </si>
  <si>
    <r>
      <rPr>
        <u/>
        <sz val="10"/>
        <color rgb="FF1155CC"/>
        <rFont val="Roboto"/>
      </rPr>
      <t>https://drive.google.com/open?id=1go0o92OlcI3SdTEDYOnuqqRxwlTlr93z</t>
    </r>
  </si>
  <si>
    <r>
      <rPr>
        <u/>
        <sz val="10"/>
        <color rgb="FF1155CC"/>
        <rFont val="Roboto"/>
      </rPr>
      <t>https://drive.google.com/open?id=169lJExNhR59CbZKDEYMqFCSmXff9qVbW</t>
    </r>
  </si>
  <si>
    <r>
      <rPr>
        <u/>
        <sz val="10"/>
        <color rgb="FF1155CC"/>
        <rFont val="Roboto"/>
      </rPr>
      <t>https://drive.google.com/open?id=1sxfhoSmbhmk9w9vn4ZjSLpFvgLvt3CJm</t>
    </r>
  </si>
  <si>
    <t>K224141C</t>
  </si>
  <si>
    <t>ĐÁNH GIÁ CÔNG TÁC QUẢN TRỊ DÒNG TIỀN TẠICÔNG TY TNHH LOGISTICS SINOVITRANS</t>
  </si>
  <si>
    <r>
      <rPr>
        <u/>
        <sz val="10"/>
        <color rgb="FF1155CC"/>
        <rFont val="Roboto"/>
      </rPr>
      <t>https://drive.google.com/open?id=1MxCLV-laGVGrlYPpDt7fCEJZVeJC0LwU</t>
    </r>
  </si>
  <si>
    <r>
      <rPr>
        <u/>
        <sz val="10"/>
        <color rgb="FF1155CC"/>
        <rFont val="Roboto"/>
      </rPr>
      <t>https://drive.google.com/open?id=1bTTvU-uBZeK6IXJ4uweRWDgdN3NGVZ9U</t>
    </r>
  </si>
  <si>
    <r>
      <rPr>
        <u/>
        <sz val="10"/>
        <color rgb="FF1155CC"/>
        <rFont val="Roboto"/>
      </rPr>
      <t>https://drive.google.com/open?id=1uYLE07ErSeae7oNHF6aTA_2LufMQrOte</t>
    </r>
  </si>
  <si>
    <t>Mối quan hệ phi tuyến giữa thanh khoản và lợi suất trên thị trường Ethereum: Tiếp cận học máy và SHAP TreeExplainer</t>
  </si>
  <si>
    <r>
      <rPr>
        <u/>
        <sz val="10"/>
        <color rgb="FF1155CC"/>
        <rFont val="Roboto"/>
      </rPr>
      <t>https://drive.google.com/open?id=1iTEAtvZfBercHJesinF_8Lc_Gx6uBYzD</t>
    </r>
  </si>
  <si>
    <r>
      <rPr>
        <u/>
        <sz val="10"/>
        <color rgb="FF1155CC"/>
        <rFont val="Roboto"/>
      </rPr>
      <t>https://drive.google.com/open?id=1bZbp3VN_ycWhXRS5Uwh8hcWBu1y-Oata</t>
    </r>
  </si>
  <si>
    <r>
      <rPr>
        <u/>
        <sz val="10"/>
        <color rgb="FF1155CC"/>
        <rFont val="Roboto"/>
      </rPr>
      <t>https://drive.google.com/open?id=1-hhkx-VmaIXrvOKqSDXO0NklzIh5B9Oh</t>
    </r>
  </si>
  <si>
    <r>
      <rPr>
        <u/>
        <sz val="10"/>
        <color rgb="FF1155CC"/>
        <rFont val="Roboto"/>
      </rPr>
      <t>https://drive.google.com/open?id=1_ZRJEu1osQRKWKyiVdVFs33_A5VCU1_9</t>
    </r>
  </si>
  <si>
    <t>APPLICATIONS OF EXPLAINABLE MACHINE LEARNING IN PREDICTING FINANCIAL DISTRESS RISK OF LISTED REAL E STATE FIRMS IN VIETNAM</t>
  </si>
  <si>
    <r>
      <rPr>
        <u/>
        <sz val="10"/>
        <color rgb="FF1155CC"/>
        <rFont val="Roboto"/>
      </rPr>
      <t>https://drive.google.com/open?id=1ZJYTFBCGW3t4bgiM3jeGlYEV6OnqLJkh</t>
    </r>
  </si>
  <si>
    <r>
      <rPr>
        <u/>
        <sz val="10"/>
        <color rgb="FF1155CC"/>
        <rFont val="Roboto"/>
      </rPr>
      <t>https://drive.google.com/open?id=10ccUuIHIKALbNewM-GML29nKAHGzNxN5</t>
    </r>
  </si>
  <si>
    <r>
      <rPr>
        <u/>
        <sz val="10"/>
        <color rgb="FF1155CC"/>
        <rFont val="Roboto"/>
      </rPr>
      <t>https://drive.google.com/open?id=1ILzC1FUpzMZu68jgDb5upU6J6YpV1yJq</t>
    </r>
  </si>
  <si>
    <t>ỨNG DỤNG MÔ HÌNH HỌC MÁY CÓ KHẢ NĂNG GIẢI THÍCH TRONG DỰ BÁO RỦI RO KIỆT QUỆ TÀI CHÍNH CỦA CÁC DOANH NGHIỆP BẤT ĐỘNG SẢN NIÊM YẾT TẠI VIỆT NAM</t>
  </si>
  <si>
    <r>
      <rPr>
        <u/>
        <sz val="10"/>
        <color rgb="FF1155CC"/>
        <rFont val="Roboto"/>
      </rPr>
      <t>https://drive.google.com/open?id=1K2ZxRpl4NSKuDU44lsyNt3C8sasMGbzt</t>
    </r>
  </si>
  <si>
    <r>
      <rPr>
        <u/>
        <sz val="10"/>
        <color rgb="FF1155CC"/>
        <rFont val="Roboto"/>
      </rPr>
      <t>https://drive.google.com/open?id=1l1VGAxcym1NIGuJqO-Qq1MMZ1FSJtXdP</t>
    </r>
  </si>
  <si>
    <r>
      <rPr>
        <u/>
        <sz val="10"/>
        <color rgb="FF1155CC"/>
        <rFont val="Roboto"/>
      </rPr>
      <t>https://drive.google.com/open?id=1ROvSnot1pc5rbHgpvhE5oe9kAYb5eHA9</t>
    </r>
  </si>
  <si>
    <r>
      <rPr>
        <u/>
        <sz val="10"/>
        <color rgb="FF1155CC"/>
        <rFont val="Roboto"/>
      </rPr>
      <t>https://drive.google.com/open?id=1xqPIdWeJm8f-Uk8OiGDx_0dHdhNQniUm</t>
    </r>
  </si>
  <si>
    <r>
      <rPr>
        <u/>
        <sz val="10"/>
        <color rgb="FF1155CC"/>
        <rFont val="Roboto"/>
      </rPr>
      <t>https://drive.google.com/open?id=1NF5oj00wXUu_QP7ptnhNpaVkym-MYmnJ</t>
    </r>
  </si>
  <si>
    <r>
      <rPr>
        <u/>
        <sz val="10"/>
        <color rgb="FF1155CC"/>
        <rFont val="Roboto"/>
      </rPr>
      <t>https://drive.google.com/open?id=1aSZGf9dqR90YqMETPIgjqYGfmuKivvaV</t>
    </r>
  </si>
  <si>
    <r>
      <rPr>
        <u/>
        <sz val="10"/>
        <color rgb="FF1155CC"/>
        <rFont val="Roboto"/>
      </rPr>
      <t>https://drive.google.com/open?id=1-qh4U8-ulmDbSlAf8DHpfk4hyK0U_hmS</t>
    </r>
  </si>
  <si>
    <t>Ứng dụng thuật toán K-means trong việc phân nhóm cổ phiếu và tạo lập danh mục đầu tư.</t>
  </si>
  <si>
    <r>
      <rPr>
        <u/>
        <sz val="10"/>
        <color rgb="FF1155CC"/>
        <rFont val="Roboto"/>
      </rPr>
      <t>https://drive.google.com/open?id=1w1FE9h3C8odNYERPJndNdr2Ljho940r2</t>
    </r>
  </si>
  <si>
    <r>
      <rPr>
        <u/>
        <sz val="10"/>
        <color rgb="FF1155CC"/>
        <rFont val="Roboto"/>
      </rPr>
      <t>https://drive.google.com/open?id=1-Y8fyHnsya9feSkMV6BdV5LDkOsknqLl</t>
    </r>
  </si>
  <si>
    <r>
      <rPr>
        <u/>
        <sz val="10"/>
        <color rgb="FF1155CC"/>
        <rFont val="Roboto"/>
      </rPr>
      <t>https://drive.google.com/open?id=1omqDfy-K9hAmywtYCmkEO4t96f8cltQh</t>
    </r>
  </si>
  <si>
    <r>
      <rPr>
        <u/>
        <sz val="10"/>
        <color rgb="FF1155CC"/>
        <rFont val="Roboto"/>
      </rPr>
      <t>https://drive.google.com/open?id=1Hi1CfKUnUVD6UxfylvEPJfAcDcl5tB0Z</t>
    </r>
  </si>
  <si>
    <t>thucpm21414@st.uel.edu.vn</t>
  </si>
  <si>
    <t>Blockchain application in international payments at commercial banks</t>
  </si>
  <si>
    <r>
      <rPr>
        <u/>
        <sz val="10"/>
        <color rgb="FF1155CC"/>
        <rFont val="Roboto"/>
      </rPr>
      <t>https://drive.google.com/open?id=17H9612c1oa8J6JlQ5v2_5MFrt3uyhOfr</t>
    </r>
  </si>
  <si>
    <r>
      <rPr>
        <u/>
        <sz val="10"/>
        <color rgb="FF1155CC"/>
        <rFont val="Roboto"/>
      </rPr>
      <t>https://drive.google.com/open?id=1mph1EwYGe_wE8wCFv4hGoZMskerYgYG2</t>
    </r>
  </si>
  <si>
    <r>
      <rPr>
        <u/>
        <sz val="10"/>
        <color rgb="FF1155CC"/>
        <rFont val="Roboto"/>
      </rPr>
      <t>https://drive.google.com/open?id=1O11EkbLTKjUJODHh2Y0bkc4g66d_Rm66</t>
    </r>
  </si>
  <si>
    <r>
      <rPr>
        <u/>
        <sz val="10"/>
        <color rgb="FF1155CC"/>
        <rFont val="Roboto"/>
      </rPr>
      <t>https://drive.google.com/open?id=1KXMAUkRmNMu1emYJWtJmPBEJC4oSaAsu</t>
    </r>
  </si>
  <si>
    <r>
      <rPr>
        <u/>
        <sz val="10"/>
        <color rgb="FF1155CC"/>
        <rFont val="Roboto"/>
      </rPr>
      <t>https://drive.google.com/open?id=1A9kNyREGH0yLDL85r6IiZiy6P_Sbubx-</t>
    </r>
  </si>
  <si>
    <r>
      <rPr>
        <u/>
        <sz val="10"/>
        <color rgb="FF1155CC"/>
        <rFont val="Roboto"/>
      </rPr>
      <t>https://drive.google.com/open?id=107LMUKirH3tOLJR9HhdQvnsWBRFQd3VZ</t>
    </r>
  </si>
  <si>
    <r>
      <rPr>
        <u/>
        <sz val="10"/>
        <color rgb="FF1155CC"/>
        <rFont val="Roboto"/>
      </rPr>
      <t>https://drive.google.com/open?id=1a0l6cevKRb-KYwHqkNJ6ZGr5KZBnn9dC</t>
    </r>
  </si>
  <si>
    <t>PHÂN TÍCH KHẢ NĂNG PHẢN ÁNH QUÁ TRÌNH KIỆT QUỆ TÀI CHÍNH CỦA CÁC THƯỚC ĐO KIỆT QUỆ TÀI CHÍNH ĐỐI VỚI DOANH NGHIỆP PHI TÀI CHÍNH NIÊM YẾT TRÊN SỞ GIAO DỊCH CHỨNG KHOÁN TP. HỒ CHÍ MINH (HOSE) GIAI ĐOẠN 2014-2024</t>
  </si>
  <si>
    <r>
      <rPr>
        <u/>
        <sz val="10"/>
        <color rgb="FF1155CC"/>
        <rFont val="Roboto"/>
      </rPr>
      <t>https://drive.google.com/open?id=1Cv7r1uLS2eUJCjY01eSU8LMLabF5C7kD</t>
    </r>
  </si>
  <si>
    <r>
      <rPr>
        <u/>
        <sz val="10"/>
        <color rgb="FF1155CC"/>
        <rFont val="Roboto"/>
      </rPr>
      <t>https://drive.google.com/open?id=1NtoST6K9oQC4Gq-lC3cZ6taV6qq2YKY3</t>
    </r>
  </si>
  <si>
    <r>
      <rPr>
        <u/>
        <sz val="10"/>
        <color rgb="FF1155CC"/>
        <rFont val="Roboto"/>
      </rPr>
      <t>https://drive.google.com/open?id=1U3kKui09pw1QR4irVBhCux4h_yTqr-S-</t>
    </r>
  </si>
  <si>
    <t>XÂY DỰNG HỆ THỐNG CẢNH BÁO SỚM TÌNH TRẠNG KIỆT QUỆ TÀI CHÍNH ĐỐI VỚI CÁC DOANH NGHIỆP PHI TÀI CHÍNH NIÊM YẾT TRÊN SỞ GIAO DỊCH CHỨNG KHOÁN TP. HỒ CHÍ MINH (HOSE) GIAI ĐOẠN 2014-2024 BẰNG DASHBOARD ỨNG DỤNG STREAMLIT</t>
  </si>
  <si>
    <r>
      <rPr>
        <u/>
        <sz val="10"/>
        <color rgb="FF1155CC"/>
        <rFont val="Roboto"/>
      </rPr>
      <t>https://drive.google.com/open?id=1yJA-6axgvCBgcGCVhqRZMQCfZNVEc6yw</t>
    </r>
  </si>
  <si>
    <r>
      <rPr>
        <u/>
        <sz val="10"/>
        <color rgb="FF1155CC"/>
        <rFont val="Roboto"/>
      </rPr>
      <t>https://drive.google.com/open?id=1WhpufWxeZDSW-VlUsugnTqWG2-_U8cV1</t>
    </r>
  </si>
  <si>
    <r>
      <rPr>
        <u/>
        <sz val="10"/>
        <color rgb="FF1155CC"/>
        <rFont val="Roboto"/>
      </rPr>
      <t>https://drive.google.com/open?id=1w7vvv5sh2UHaqA0gcixjrIs6S1G0LYyC</t>
    </r>
  </si>
  <si>
    <r>
      <rPr>
        <u/>
        <sz val="10"/>
        <color rgb="FF1155CC"/>
        <rFont val="Roboto"/>
      </rPr>
      <t>https://drive.google.com/open?id=1afLmqB-rbQWeHOrsULt-W8ZCdjgoE-7C</t>
    </r>
  </si>
  <si>
    <t>Modeling and Business Process Specification of Individual Customer Transactions at Vietcombank, South Binh Duong Branch, Di An Transaction Office</t>
  </si>
  <si>
    <r>
      <rPr>
        <u/>
        <sz val="10"/>
        <color rgb="FF1155CC"/>
        <rFont val="Roboto"/>
      </rPr>
      <t>https://drive.google.com/open?id=1NuiEQnmSrMmvY78SLGZQQDCVp39re3Kn</t>
    </r>
  </si>
  <si>
    <r>
      <rPr>
        <u/>
        <sz val="10"/>
        <color rgb="FF1155CC"/>
        <rFont val="Roboto"/>
      </rPr>
      <t>https://drive.google.com/open?id=1bD4ek9wu0pMJwbGQnn-YRLx1uc2D04am</t>
    </r>
  </si>
  <si>
    <r>
      <rPr>
        <u/>
        <sz val="10"/>
        <color rgb="FF1155CC"/>
        <rFont val="Roboto"/>
      </rPr>
      <t>https://drive.google.com/open?id=1tIRYPTZfNjx3ruuBFLdoniQ7p77OClKX</t>
    </r>
  </si>
  <si>
    <r>
      <rPr>
        <u/>
        <sz val="10"/>
        <color rgb="FF1155CC"/>
        <rFont val="Roboto"/>
      </rPr>
      <t>https://drive.google.com/open?id=147hMUBO1QwgInt8wGO1akv-7fT6QoB1Y</t>
    </r>
  </si>
  <si>
    <r>
      <rPr>
        <u/>
        <sz val="10"/>
        <color rgb="FF1155CC"/>
        <rFont val="Roboto"/>
      </rPr>
      <t>https://drive.google.com/open?id=1no1dQriyOFEnZD69PPmgoTdrp0pYXIxk</t>
    </r>
  </si>
  <si>
    <r>
      <rPr>
        <u/>
        <sz val="10"/>
        <color rgb="FF1155CC"/>
        <rFont val="Roboto"/>
      </rPr>
      <t>https://drive.google.com/open?id=1CcV2zqaSslV2KLQzb2ERu-Cnx5wkP-XO</t>
    </r>
  </si>
  <si>
    <r>
      <rPr>
        <u/>
        <sz val="10"/>
        <color rgb="FF1155CC"/>
        <rFont val="Roboto"/>
      </rPr>
      <t>https://drive.google.com/open?id=1H8zbP6ZpX_iB8kzPa2wdqTrLqh8hObT_</t>
    </r>
  </si>
  <si>
    <t>Composite Profitability Index Construction and Out-of-Sample Prediction: Evidence from Vietnam</t>
  </si>
  <si>
    <r>
      <rPr>
        <u/>
        <sz val="10"/>
        <color rgb="FF1155CC"/>
        <rFont val="Roboto"/>
      </rPr>
      <t>https://drive.google.com/open?id=1pc3yndPrieWypbnTbdTPXjolTlDePE5Y</t>
    </r>
  </si>
  <si>
    <r>
      <rPr>
        <u/>
        <sz val="10"/>
        <color rgb="FF1155CC"/>
        <rFont val="Roboto"/>
      </rPr>
      <t>https://drive.google.com/open?id=1_6HbNfFmT2pxaJ4g23RuvpqXLoeK_Fb1</t>
    </r>
  </si>
  <si>
    <r>
      <rPr>
        <u/>
        <sz val="10"/>
        <color rgb="FF1155CC"/>
        <rFont val="Roboto"/>
      </rPr>
      <t>https://drive.google.com/open?id=1vMN-Dy3p3gtHW09Yyt68CdfmiPVtbMvB</t>
    </r>
  </si>
  <si>
    <r>
      <rPr>
        <u/>
        <sz val="10"/>
        <color rgb="FF1155CC"/>
        <rFont val="Roboto"/>
      </rPr>
      <t>https://drive.google.com/open?id=1OA5cn0SIfgIcQDB0qfqTIjd7BYQw9T5D</t>
    </r>
  </si>
  <si>
    <r>
      <rPr>
        <u/>
        <sz val="10"/>
        <color rgb="FF1155CC"/>
        <rFont val="Roboto"/>
      </rPr>
      <t>https://drive.google.com/open?id=1Fk-HeEedWWyKidJtPDCKvxSj5RXKsfz9</t>
    </r>
  </si>
  <si>
    <r>
      <rPr>
        <u/>
        <sz val="10"/>
        <color rgb="FF1155CC"/>
        <rFont val="Roboto"/>
      </rPr>
      <t>https://drive.google.com/open?id=1C31gapDi3mREMuvHmF7S-JSBh7FJSMby</t>
    </r>
  </si>
  <si>
    <r>
      <rPr>
        <u/>
        <sz val="10"/>
        <color rgb="FF1155CC"/>
        <rFont val="Roboto"/>
      </rPr>
      <t>https://drive.google.com/open?id=1iD9guPwQcJ0-Y1lGPNJIi8_PEgofy_Uz</t>
    </r>
  </si>
  <si>
    <t>So sánh khả năng dự báo hệ số Price-to-Earnings ngành hàng tiêu dùng trên thị trường chứng khoán Việt Nam giữa mô hình ARIMA và các mô hình học sâu tuyến tính</t>
  </si>
  <si>
    <r>
      <rPr>
        <u/>
        <sz val="10"/>
        <color rgb="FF1155CC"/>
        <rFont val="Roboto"/>
      </rPr>
      <t>https://drive.google.com/open?id=1qjANP-bC65keUysLdeGH2aglhl6BCfsL</t>
    </r>
  </si>
  <si>
    <r>
      <rPr>
        <u/>
        <sz val="10"/>
        <color rgb="FF1155CC"/>
        <rFont val="Roboto"/>
      </rPr>
      <t>https://drive.google.com/open?id=1cCfLnDLCCOtAGP4ilT7mZ2avfn9rHegk</t>
    </r>
  </si>
  <si>
    <r>
      <rPr>
        <u/>
        <sz val="10"/>
        <color rgb="FF1155CC"/>
        <rFont val="Roboto"/>
      </rPr>
      <t>https://drive.google.com/open?id=1_jEkdbJIKf-uHEsRo4FVD_BSWnrjNMfS</t>
    </r>
  </si>
  <si>
    <t>Ứng dụng mô hình ARIMA và học sâu trong dự báo hệ số Price-to-Earnings ngành hàng tiêu dùng trên thị trường chứng khoán Việt Nam</t>
  </si>
  <si>
    <r>
      <rPr>
        <u/>
        <sz val="10"/>
        <color rgb="FF1155CC"/>
        <rFont val="Roboto"/>
      </rPr>
      <t>https://drive.google.com/open?id=1EbA-MSLsMnBHdQmrX3OV8YTaupwNCiqt</t>
    </r>
  </si>
  <si>
    <r>
      <rPr>
        <u/>
        <sz val="10"/>
        <color rgb="FF1155CC"/>
        <rFont val="Roboto"/>
      </rPr>
      <t>https://drive.google.com/open?id=1SWzxcYXDtX3R6BiDl65fQXGEU1UxXZk4</t>
    </r>
  </si>
  <si>
    <r>
      <rPr>
        <u/>
        <sz val="10"/>
        <color rgb="FF1155CC"/>
        <rFont val="Roboto"/>
      </rPr>
      <t>https://drive.google.com/open?id=1w8fv5e9QgxKb9zWs6s1MUGv67xKpz3Hq</t>
    </r>
  </si>
  <si>
    <r>
      <rPr>
        <u/>
        <sz val="10"/>
        <color rgb="FF1155CC"/>
        <rFont val="Roboto"/>
      </rPr>
      <t>https://drive.google.com/open?id=15ZzcGDJFh9MftGT6ln-iAkBHa75MECBn</t>
    </r>
  </si>
  <si>
    <t>Momentum Trading in Cryptocurrency Markets: A Machine Learning Approach with Risk Analysis</t>
  </si>
  <si>
    <r>
      <rPr>
        <u/>
        <sz val="10"/>
        <color rgb="FF1155CC"/>
        <rFont val="Roboto"/>
      </rPr>
      <t>https://drive.google.com/open?id=1x5lHHYTcfCc4nWzzwR1xe4SecQ6mecTb</t>
    </r>
  </si>
  <si>
    <r>
      <rPr>
        <u/>
        <sz val="10"/>
        <color rgb="FF1155CC"/>
        <rFont val="Roboto"/>
      </rPr>
      <t>https://drive.google.com/open?id=1-FyJ6BgTE0QQTnz-mXYscIaZWa6Hy9Rh</t>
    </r>
  </si>
  <si>
    <r>
      <rPr>
        <u/>
        <sz val="10"/>
        <color rgb="FF1155CC"/>
        <rFont val="Roboto"/>
      </rPr>
      <t>https://drive.google.com/open?id=1ZHrq6NG_c2QaTjtgG2xhvrDczyKNXxZs</t>
    </r>
  </si>
  <si>
    <r>
      <rPr>
        <u/>
        <sz val="10"/>
        <color rgb="FF1155CC"/>
        <rFont val="Roboto"/>
      </rPr>
      <t>https://drive.google.com/open?id=1tR2s-a6yp1tI3UwCqoQM1JtMs3qLNzFm</t>
    </r>
  </si>
  <si>
    <r>
      <rPr>
        <u/>
        <sz val="10"/>
        <color rgb="FF1155CC"/>
        <rFont val="Roboto"/>
      </rPr>
      <t>https://drive.google.com/open?id=1HuWyzZSE2tdqZIDtuPZwDlaOZig-uV8x</t>
    </r>
  </si>
  <si>
    <r>
      <rPr>
        <u/>
        <sz val="10"/>
        <color rgb="FF1155CC"/>
        <rFont val="Roboto"/>
      </rPr>
      <t>https://drive.google.com/open?id=1QTrtiCGlEUGtvDjEJvS_8PVcWVBHSv1L</t>
    </r>
  </si>
  <si>
    <r>
      <rPr>
        <u/>
        <sz val="10"/>
        <color rgb="FF1155CC"/>
        <rFont val="Roboto"/>
      </rPr>
      <t>https://drive.google.com/open?id=1ip9vWBECMYFxV2qhAwhWR5NmYv0HRpr2</t>
    </r>
  </si>
  <si>
    <t>TỐI ƯU HÓA DANH MỤC ĐẦU TƯ CHỨNG KHOÁN Ở THỊ TRƯỜNG VIỆT NAM BẰNG PHƯƠNG PHÁP HỌC TĂNG CƯỜNG SÂU</t>
  </si>
  <si>
    <r>
      <rPr>
        <u/>
        <sz val="10"/>
        <color rgb="FF1155CC"/>
        <rFont val="Roboto"/>
      </rPr>
      <t>https://drive.google.com/open?id=19TnCg5NhYhWP5_nXkdpTDdUTsekbN1Jn</t>
    </r>
  </si>
  <si>
    <r>
      <rPr>
        <u/>
        <sz val="10"/>
        <color rgb="FF1155CC"/>
        <rFont val="Roboto"/>
      </rPr>
      <t>https://drive.google.com/open?id=1SrcObEEDm5NIwGT7cojBLCtPD_HQt8v_</t>
    </r>
  </si>
  <si>
    <r>
      <rPr>
        <u/>
        <sz val="10"/>
        <color rgb="FF1155CC"/>
        <rFont val="Roboto"/>
      </rPr>
      <t>https://drive.google.com/open?id=19y6GLunpGf0t38O3H7PFbqJdID91kUTU</t>
    </r>
  </si>
  <si>
    <t>ỨNG DỤNG DEEP REINFORCEMENT LEARNING TRONG TỐI ƯU HÓA DANH MỤC ĐẦU TƯ CHỨNG KHOÁN Ở THỊ TRƯỜNG VIỆT NAM</t>
  </si>
  <si>
    <r>
      <rPr>
        <u/>
        <sz val="10"/>
        <color rgb="FF1155CC"/>
        <rFont val="Roboto"/>
      </rPr>
      <t>https://drive.google.com/open?id=1aJPIQHdorWx-XkNR5_DSy0bwEaBsmtgU</t>
    </r>
  </si>
  <si>
    <r>
      <rPr>
        <u/>
        <sz val="10"/>
        <color rgb="FF1155CC"/>
        <rFont val="Roboto"/>
      </rPr>
      <t>https://drive.google.com/open?id=1SubbXn3jOUMeRA4pdZJiwOF6nwphEg90</t>
    </r>
  </si>
  <si>
    <r>
      <rPr>
        <u/>
        <sz val="10"/>
        <color rgb="FF1155CC"/>
        <rFont val="Roboto"/>
      </rPr>
      <t>https://drive.google.com/open?id=1GYXHrYwW_yShDcGtzw3MQiMPDG6GfnAx</t>
    </r>
  </si>
  <si>
    <r>
      <rPr>
        <u/>
        <sz val="10"/>
        <color rgb="FF1155CC"/>
        <rFont val="Roboto"/>
      </rPr>
      <t>https://drive.google.com/open?id=1t60Z5-AwE1CypFIwOze2BnvcUZatrF56</t>
    </r>
  </si>
  <si>
    <t>TÁC ĐỘNG CỦA CHUYỂN ĐỔI SỐ VÀ CẤU TRÚC VỐN ĐẾN HIỆU QUẢ HOẠT ĐỘNG: TRƯỜNG HỢP CÁC NGÂN HÀNG THƯƠNG MẠI VIỆT NAM GIAI ĐOẠN 2015 – 2024</t>
  </si>
  <si>
    <r>
      <rPr>
        <u/>
        <sz val="10"/>
        <color rgb="FF1155CC"/>
        <rFont val="Roboto"/>
      </rPr>
      <t>https://drive.google.com/open?id=1PgCUXrBNggjGWH8mGvNz9w_57GVRtP25</t>
    </r>
  </si>
  <si>
    <r>
      <rPr>
        <u/>
        <sz val="10"/>
        <color rgb="FF1155CC"/>
        <rFont val="Roboto"/>
      </rPr>
      <t>https://drive.google.com/open?id=1QaPyPGF3CTWvkTpQ77arzgcG1bsS_V8l</t>
    </r>
  </si>
  <si>
    <r>
      <rPr>
        <u/>
        <sz val="10"/>
        <color rgb="FF1155CC"/>
        <rFont val="Roboto"/>
      </rPr>
      <t>https://drive.google.com/open?id=1OW9lMnso2B6-YDyyyGzgDBwAaHHYq33E</t>
    </r>
  </si>
  <si>
    <r>
      <rPr>
        <u/>
        <sz val="10"/>
        <color rgb="FF1155CC"/>
        <rFont val="Roboto"/>
      </rPr>
      <t>https://drive.google.com/open?id=1mrX_FSvKNetoJQUvRBaj1K0ew6TjqmjC</t>
    </r>
  </si>
  <si>
    <r>
      <rPr>
        <u/>
        <sz val="10"/>
        <color rgb="FF1155CC"/>
        <rFont val="Roboto"/>
      </rPr>
      <t>https://drive.google.com/open?id=1AOFYt3PjNrxAMvTZVZHq5mCdPEubmveP</t>
    </r>
  </si>
  <si>
    <r>
      <rPr>
        <u/>
        <sz val="10"/>
        <color rgb="FF1155CC"/>
        <rFont val="Roboto"/>
      </rPr>
      <t>https://drive.google.com/open?id=1bocZQAaER4ucqLIlPpXZdZNELormVrqq</t>
    </r>
  </si>
  <si>
    <t>Analyzing the technical efficiency of commercial banks in Vietnam using the Data Envelope Analysis approach</t>
  </si>
  <si>
    <r>
      <rPr>
        <u/>
        <sz val="10"/>
        <color rgb="FF1155CC"/>
        <rFont val="Roboto"/>
      </rPr>
      <t>https://drive.google.com/open?id=10qZ2lirt1Avr5FZ4Usmk8gv3DuPa_r0m</t>
    </r>
  </si>
  <si>
    <r>
      <rPr>
        <u/>
        <sz val="10"/>
        <color rgb="FF1155CC"/>
        <rFont val="Roboto"/>
      </rPr>
      <t>https://drive.google.com/open?id=1qA7cPMKPEg969t7W7Ln9vWBG1KoUhzQc</t>
    </r>
  </si>
  <si>
    <r>
      <rPr>
        <u/>
        <sz val="10"/>
        <color rgb="FF1155CC"/>
        <rFont val="Roboto"/>
      </rPr>
      <t>https://drive.google.com/open?id=1K-uOUyJG0SJ8qWkxq1cWztKW_xWkHBdf</t>
    </r>
  </si>
  <si>
    <r>
      <rPr>
        <u/>
        <sz val="10"/>
        <color rgb="FF1155CC"/>
        <rFont val="Roboto"/>
      </rPr>
      <t>https://drive.google.com/open?id=1YhGLTeTefbvnTodbHBxPRPsZ2BQyTamj</t>
    </r>
  </si>
  <si>
    <r>
      <rPr>
        <u/>
        <sz val="10"/>
        <color rgb="FF1155CC"/>
        <rFont val="Roboto"/>
      </rPr>
      <t>https://drive.google.com/open?id=1sVBN6kG4CaADF7qXRIce-c-9J7SAa0O6</t>
    </r>
  </si>
  <si>
    <r>
      <rPr>
        <u/>
        <sz val="10"/>
        <color rgb="FF1155CC"/>
        <rFont val="Roboto"/>
      </rPr>
      <t>https://drive.google.com/open?id=1UHtE9L3YrLcV9AqR3sf3d0emJlUA3O4Y</t>
    </r>
  </si>
  <si>
    <t>PRACTICAL ANALYSIS OF REAL ESTATE LENDING ACTIVITIES FOR RETAIL CUSTOMERS AT VIETNAM JOINT STOCK COMMERCIAL BANK FOR INDUSTRY AND TRADE – DONG SAI GON BRANCH – NGUYEN DUY TRINH TRANSACTION OFFICE</t>
  </si>
  <si>
    <r>
      <rPr>
        <u/>
        <sz val="10"/>
        <color rgb="FF1155CC"/>
        <rFont val="Roboto"/>
      </rPr>
      <t>https://drive.google.com/open?id=1gkgx2r5f7gunBgRkXutoGX1hshjzHwgh</t>
    </r>
  </si>
  <si>
    <r>
      <rPr>
        <u/>
        <sz val="10"/>
        <color rgb="FF1155CC"/>
        <rFont val="Roboto"/>
      </rPr>
      <t>https://drive.google.com/open?id=1ZcA59yLRLmajw-M78tXX9DdYgMYfGvSP</t>
    </r>
  </si>
  <si>
    <r>
      <rPr>
        <u/>
        <sz val="10"/>
        <color rgb="FF1155CC"/>
        <rFont val="Roboto"/>
      </rPr>
      <t>https://drive.google.com/open?id=1OaxFTbc79Q8H8yuVk4baxw3Uy9Jv1_XL</t>
    </r>
  </si>
  <si>
    <r>
      <rPr>
        <u/>
        <sz val="10"/>
        <color rgb="FF1155CC"/>
        <rFont val="Roboto"/>
      </rPr>
      <t>https://drive.google.com/open?id=19Z1qKr8byoYCqKrUUuMaaD8yuC6Gudgo</t>
    </r>
  </si>
  <si>
    <r>
      <rPr>
        <u/>
        <sz val="10"/>
        <color rgb="FF1155CC"/>
        <rFont val="Roboto"/>
      </rPr>
      <t>https://drive.google.com/open?id=1IHVQgptCrqasjC2MtWHRxoLSqS2vYlGj</t>
    </r>
  </si>
  <si>
    <r>
      <rPr>
        <u/>
        <sz val="10"/>
        <color rgb="FF1155CC"/>
        <rFont val="Roboto"/>
      </rPr>
      <t>https://drive.google.com/open?id=18zQiweTjfaFmB5cIqOU2xagbjcQ-PUpz</t>
    </r>
  </si>
  <si>
    <t>THE VALUATION OF HO CHI MINH CITY DEVELOPMENT JOINT STOCK COMMERCIAL BANK</t>
  </si>
  <si>
    <r>
      <rPr>
        <u/>
        <sz val="10"/>
        <color rgb="FF1155CC"/>
        <rFont val="Roboto"/>
      </rPr>
      <t>https://drive.google.com/open?id=1VUTS-ioTXeEjpbHEzGcKdFNcDP7pWFPY</t>
    </r>
  </si>
  <si>
    <r>
      <rPr>
        <u/>
        <sz val="10"/>
        <color rgb="FF1155CC"/>
        <rFont val="Roboto"/>
      </rPr>
      <t>https://drive.google.com/open?id=1ZqbsWCu8fQEEto0jcoAzGUmedTptRygi</t>
    </r>
  </si>
  <si>
    <r>
      <rPr>
        <u/>
        <sz val="10"/>
        <color rgb="FF1155CC"/>
        <rFont val="Roboto"/>
      </rPr>
      <t>https://drive.google.com/open?id=1B9shDA-nQdLqcoyfNUMlvEMFzkwOFw5T</t>
    </r>
  </si>
  <si>
    <t>FACTORS AFFECTING THE STOCK PRICES OF JOINT STOCKS COMPANIES LISTED ON THE VIET NAM STOCK EXCHANGE DURING THE PERIOD 2020-2025</t>
  </si>
  <si>
    <r>
      <rPr>
        <u/>
        <sz val="10"/>
        <color rgb="FF1155CC"/>
        <rFont val="Roboto"/>
      </rPr>
      <t>https://drive.google.com/open?id=1HBJOu4rsEiR22lM6WP1M8Wmzc1JOz5lp</t>
    </r>
  </si>
  <si>
    <r>
      <rPr>
        <u/>
        <sz val="10"/>
        <color rgb="FF1155CC"/>
        <rFont val="Roboto"/>
      </rPr>
      <t>https://drive.google.com/open?id=1TyjFZJI83bikd70cLtWel_mmy9bd3Q0U</t>
    </r>
  </si>
  <si>
    <r>
      <rPr>
        <u/>
        <sz val="10"/>
        <color rgb="FF1155CC"/>
        <rFont val="Roboto"/>
      </rPr>
      <t>https://drive.google.com/open?id=1rU4WTYfKhVeRswpLhKSTJQPyceIUteal</t>
    </r>
  </si>
  <si>
    <r>
      <rPr>
        <u/>
        <sz val="10"/>
        <color rgb="FF1155CC"/>
        <rFont val="Roboto"/>
      </rPr>
      <t>https://drive.google.com/open?id=1XH-Aybx--zW_HnGcDLMJQDlkBUkiVLLK</t>
    </r>
  </si>
  <si>
    <r>
      <rPr>
        <u/>
        <sz val="10"/>
        <color rgb="FF1155CC"/>
        <rFont val="Roboto"/>
      </rPr>
      <t>https://drive.google.com/open?id=13rpQ9cw0kVzFoDpdHOknmEj7gJrsH0dT</t>
    </r>
  </si>
  <si>
    <r>
      <rPr>
        <u/>
        <sz val="10"/>
        <color rgb="FF1155CC"/>
        <rFont val="Roboto"/>
      </rPr>
      <t>https://drive.google.com/open?id=1osy5mDvNNPUH-Zl1be8B9-yinAWRbPJv</t>
    </r>
  </si>
  <si>
    <r>
      <rPr>
        <u/>
        <sz val="10"/>
        <color rgb="FF1155CC"/>
        <rFont val="Roboto"/>
      </rPr>
      <t>https://drive.google.com/open?id=1-BC9yK0Bm8DwW7WT3zCp3DRWi5FwBsrd</t>
    </r>
  </si>
  <si>
    <r>
      <rPr>
        <u/>
        <sz val="10"/>
        <color rgb="FF1155CC"/>
        <rFont val="Roboto"/>
      </rPr>
      <t>https://drive.google.com/open?id=1YNhr7QXliiB_BV_BQQLlF9W23ZIxNeng</t>
    </r>
  </si>
  <si>
    <r>
      <rPr>
        <u/>
        <sz val="10"/>
        <color rgb="FF1155CC"/>
        <rFont val="Roboto"/>
      </rPr>
      <t>https://drive.google.com/open?id=1iXTCl0ZT7K3H-UwPOefHAZwaCCT-8ryP</t>
    </r>
  </si>
  <si>
    <r>
      <rPr>
        <u/>
        <sz val="10"/>
        <color rgb="FF1155CC"/>
        <rFont val="Roboto"/>
      </rPr>
      <t>https://drive.google.com/open?id=1VO8-owGu0ZEpvLHzdK621_PE7s2a-v0F</t>
    </r>
  </si>
  <si>
    <r>
      <rPr>
        <u/>
        <sz val="10"/>
        <color rgb="FF1155CC"/>
        <rFont val="Roboto"/>
      </rPr>
      <t>https://drive.google.com/open?id=17nkOOAg0Sg0LeygPyWusewgSNjrRgKAI</t>
    </r>
  </si>
  <si>
    <r>
      <rPr>
        <u/>
        <sz val="10"/>
        <color rgb="FF1155CC"/>
        <rFont val="Roboto"/>
      </rPr>
      <t>https://drive.google.com/open?id=1YTzuSFvnnmVK2avYAsim-ohH1qvcyZ_k</t>
    </r>
  </si>
  <si>
    <r>
      <rPr>
        <u/>
        <sz val="10"/>
        <color rgb="FF1155CC"/>
        <rFont val="Roboto"/>
      </rPr>
      <t>https://drive.google.com/open?id=1pGaHcLz1Kxp5fyGObznPhe6IFHtFAPRW</t>
    </r>
  </si>
  <si>
    <r>
      <rPr>
        <u/>
        <sz val="10"/>
        <color rgb="FF1155CC"/>
        <rFont val="Roboto"/>
      </rPr>
      <t>https://drive.google.com/open?id=1dAcp_qet9NlmZ1oSiy4Mb5aV3aQpLkL5</t>
    </r>
  </si>
  <si>
    <r>
      <rPr>
        <u/>
        <sz val="10"/>
        <color rgb="FF1155CC"/>
        <rFont val="Roboto"/>
      </rPr>
      <t>https://drive.google.com/open?id=1hyTaSHWks8WJ21m7ROfMBdwZO0GO177B</t>
    </r>
  </si>
  <si>
    <r>
      <rPr>
        <u/>
        <sz val="10"/>
        <color rgb="FF1155CC"/>
        <rFont val="Roboto"/>
      </rPr>
      <t>https://drive.google.com/open?id=1ICOEYxPVu5R3ihx3VgF1jnPjXxar6Tlr</t>
    </r>
  </si>
  <si>
    <t>News-Aware Multi-Agent Reinforcement Learning for Portfolio Optimization with Adaptive Risk Control: Evidence from the Vietnamese Equity Market</t>
  </si>
  <si>
    <r>
      <rPr>
        <u/>
        <sz val="10"/>
        <color rgb="FF1155CC"/>
        <rFont val="Roboto"/>
      </rPr>
      <t>https://drive.google.com/open?id=1L0p7B67yU1PP6vD2NYq0IhSMLynZH9nx</t>
    </r>
  </si>
  <si>
    <r>
      <rPr>
        <u/>
        <sz val="10"/>
        <color rgb="FF1155CC"/>
        <rFont val="Roboto"/>
      </rPr>
      <t>https://drive.google.com/open?id=1WFVBDO4pIZncRN9NwFQzCox3yRE57eIN</t>
    </r>
  </si>
  <si>
    <r>
      <rPr>
        <u/>
        <sz val="10"/>
        <color rgb="FF1155CC"/>
        <rFont val="Roboto"/>
      </rPr>
      <t>https://drive.google.com/open?id=1SPlITfoSox2GcK4pyBYTBHMQZ8G-F0aJ</t>
    </r>
  </si>
  <si>
    <r>
      <rPr>
        <u/>
        <sz val="10"/>
        <color rgb="FF1155CC"/>
        <rFont val="Roboto"/>
      </rPr>
      <t>https://drive.google.com/open?id=13djDLGL9aZ3nBG4CqjNscOjeR1V1Fgf1</t>
    </r>
  </si>
  <si>
    <r>
      <rPr>
        <u/>
        <sz val="10"/>
        <color rgb="FF1155CC"/>
        <rFont val="Roboto"/>
      </rPr>
      <t>https://drive.google.com/open?id=1X3qDDm_p6Sho5tpr5AVih-piAd5XtjxN</t>
    </r>
  </si>
  <si>
    <r>
      <rPr>
        <u/>
        <sz val="10"/>
        <color rgb="FF1155CC"/>
        <rFont val="Roboto"/>
      </rPr>
      <t>https://drive.google.com/open?id=1O6yBtPHdb7YbIMbF_FdQQJ_VceaPWagI</t>
    </r>
  </si>
  <si>
    <r>
      <rPr>
        <u/>
        <sz val="10"/>
        <color rgb="FF1155CC"/>
        <rFont val="Roboto"/>
      </rPr>
      <t>https://drive.google.com/open?id=1J_oWzBtaXgsydL7i8dATUYMwcBD9grk8</t>
    </r>
  </si>
  <si>
    <t>Phân tích hiệu quả hoạt động kinh doanh của Ngân hàng TMCP Ngoại thương Việt Nam theo mô hình CAMELS</t>
  </si>
  <si>
    <r>
      <rPr>
        <u/>
        <sz val="10"/>
        <color rgb="FF1155CC"/>
        <rFont val="Roboto"/>
      </rPr>
      <t>https://drive.google.com/open?id=1jxQfaVckqbQ8duBNCdJY081z2FiHksNA</t>
    </r>
  </si>
  <si>
    <r>
      <rPr>
        <u/>
        <sz val="10"/>
        <color rgb="FF1155CC"/>
        <rFont val="Roboto"/>
      </rPr>
      <t>https://drive.google.com/open?id=1uA_kDYk7es1a92_7bIzDsqWe9Q-QqJUN</t>
    </r>
  </si>
  <si>
    <r>
      <rPr>
        <u/>
        <sz val="10"/>
        <color rgb="FF1155CC"/>
        <rFont val="Roboto"/>
      </rPr>
      <t>https://drive.google.com/open?id=1YLcivcO5tQcygMUMpb7O4ViTlmUkuIx8</t>
    </r>
  </si>
  <si>
    <t>Evaluating business performance of commercial banks in Vietnam based on the CAMELS framework</t>
  </si>
  <si>
    <r>
      <rPr>
        <u/>
        <sz val="10"/>
        <color rgb="FF1155CC"/>
        <rFont val="Roboto"/>
      </rPr>
      <t>https://drive.google.com/open?id=17oHQ1kPpUxUPMz4J7MSB1AnABqwPUcZ4</t>
    </r>
  </si>
  <si>
    <r>
      <rPr>
        <u/>
        <sz val="10"/>
        <color rgb="FF1155CC"/>
        <rFont val="Roboto"/>
      </rPr>
      <t>https://drive.google.com/open?id=1wdzp5NDpcMmEBYE5Rtr8Mrxt0Av7mudh</t>
    </r>
  </si>
  <si>
    <r>
      <rPr>
        <u/>
        <sz val="10"/>
        <color rgb="FF1155CC"/>
        <rFont val="Roboto"/>
      </rPr>
      <t>https://drive.google.com/open?id=1fXsmoPwESAxZ_td0lMmIDrFFFyRpNQIO</t>
    </r>
  </si>
  <si>
    <t>XÂY DỰNG VÀ KIỂM ĐỊNH CHỈ SỐ MARKET ANOMALY INDEX (MAI) NHẰM ĐO LƯỜNG MỨC ĐỘ CĂNG THẲNG THỊ TRƯỜNG CHỨNG KHOÁN VIỆT NAM GIAI ĐOẠN 2018–2025</t>
  </si>
  <si>
    <r>
      <rPr>
        <u/>
        <sz val="10"/>
        <color rgb="FF1155CC"/>
        <rFont val="Roboto"/>
      </rPr>
      <t>https://drive.google.com/open?id=120ePY5sO7VEtXFrD841XMtefYeHAYPJE</t>
    </r>
  </si>
  <si>
    <r>
      <rPr>
        <u/>
        <sz val="10"/>
        <color rgb="FF1155CC"/>
        <rFont val="Roboto"/>
      </rPr>
      <t>https://drive.google.com/open?id=1pmQbUCTbCx8IQ3FbAXxrpQON9VStsxN-</t>
    </r>
  </si>
  <si>
    <r>
      <rPr>
        <u/>
        <sz val="10"/>
        <color rgb="FF1155CC"/>
        <rFont val="Roboto"/>
      </rPr>
      <t>https://drive.google.com/open?id=15SD-nL8ja52WTD7XlmS0gVxuEpwSAa9b</t>
    </r>
  </si>
  <si>
    <r>
      <rPr>
        <u/>
        <sz val="10"/>
        <color rgb="FF1155CC"/>
        <rFont val="Roboto"/>
      </rPr>
      <t>https://drive.google.com/open?id=1HFZnhy3nirBh46hG9mOOdZOkmUDJt1ut</t>
    </r>
  </si>
  <si>
    <r>
      <rPr>
        <u/>
        <sz val="10"/>
        <color rgb="FF1155CC"/>
        <rFont val="Roboto"/>
      </rPr>
      <t>https://drive.google.com/open?id=1rly1Epdfg3YuEIu28jPJRaGVb5I6Hw2Z</t>
    </r>
  </si>
  <si>
    <r>
      <rPr>
        <u/>
        <sz val="10"/>
        <color rgb="FF1155CC"/>
        <rFont val="Roboto"/>
      </rPr>
      <t>https://drive.google.com/open?id=1oGYc2PaVK21rFSSwXf5B-MqsEFfnW4_w</t>
    </r>
  </si>
  <si>
    <r>
      <rPr>
        <u/>
        <sz val="10"/>
        <color rgb="FF1155CC"/>
        <rFont val="Roboto"/>
      </rPr>
      <t>https://drive.google.com/open?id=1YdQ4jsVWyebFn2anMSj1sv7RrqlTfdNh</t>
    </r>
  </si>
  <si>
    <t>pgialinhh2004@gmail.com</t>
  </si>
  <si>
    <r>
      <rPr>
        <u/>
        <sz val="10"/>
        <color rgb="FF1155CC"/>
        <rFont val="Roboto"/>
      </rPr>
      <t>https://drive.google.com/open?id=1cVuMCc37BKNJjgpJX8x8E4R6xS7ny8G9</t>
    </r>
  </si>
  <si>
    <r>
      <rPr>
        <u/>
        <sz val="10"/>
        <color rgb="FF1155CC"/>
        <rFont val="Roboto"/>
      </rPr>
      <t>https://drive.google.com/open?id=1emfQpJJ2S1-Zi2V_SPUhMCHmfT8UhFGD</t>
    </r>
  </si>
  <si>
    <r>
      <rPr>
        <u/>
        <sz val="10"/>
        <color rgb="FF1155CC"/>
        <rFont val="Roboto"/>
      </rPr>
      <t>https://drive.google.com/open?id=1kAUIAAUHb5Iq9InMwlIReGXPfh1fOov-</t>
    </r>
  </si>
  <si>
    <r>
      <rPr>
        <u/>
        <sz val="10"/>
        <color rgb="FF1155CC"/>
        <rFont val="Roboto"/>
      </rPr>
      <t>https://drive.google.com/open?id=1h6qJ3Oy4aG4OLKKQ5bvCgj2hopNsJrSd</t>
    </r>
  </si>
  <si>
    <r>
      <rPr>
        <u/>
        <sz val="10"/>
        <color rgb="FF1155CC"/>
        <rFont val="Roboto"/>
      </rPr>
      <t>https://drive.google.com/open?id=142xmxzK5TLmZZ8CgFgTW4UhiQJM523Px</t>
    </r>
  </si>
  <si>
    <r>
      <rPr>
        <u/>
        <sz val="10"/>
        <color rgb="FF1155CC"/>
        <rFont val="Roboto"/>
      </rPr>
      <t>https://drive.google.com/open?id=1a18jV5TiN5o0qhqw-dHcnzzJ31lrAwLy</t>
    </r>
  </si>
  <si>
    <r>
      <rPr>
        <u/>
        <sz val="10"/>
        <color rgb="FF1155CC"/>
        <rFont val="Roboto"/>
      </rPr>
      <t>https://drive.google.com/open?id=177WnZ9ll-yDmv0Pndp6H5pIlZHxR2Otq</t>
    </r>
  </si>
  <si>
    <t>Machine Learning-Based Early Warning System of Financial Bubbles: Evidence from VN-Index and HNX-Index</t>
  </si>
  <si>
    <r>
      <rPr>
        <u/>
        <sz val="10"/>
        <color rgb="FF1155CC"/>
        <rFont val="Roboto"/>
      </rPr>
      <t>https://drive.google.com/open?id=1E8yHuBxjxmThHdn98AXdsikH1pybkLb4</t>
    </r>
  </si>
  <si>
    <r>
      <rPr>
        <u/>
        <sz val="10"/>
        <color rgb="FF1155CC"/>
        <rFont val="Roboto"/>
      </rPr>
      <t>https://drive.google.com/open?id=1x4lmzXr6oHujRi3yZsop6e-k-OtU1E4y</t>
    </r>
  </si>
  <si>
    <r>
      <rPr>
        <u/>
        <sz val="10"/>
        <color rgb="FF1155CC"/>
        <rFont val="Roboto"/>
      </rPr>
      <t>https://drive.google.com/open?id=1PadDntGr5MMnyDzYceXm-yq3ODCxHio8</t>
    </r>
  </si>
  <si>
    <r>
      <rPr>
        <u/>
        <sz val="10"/>
        <color rgb="FF1155CC"/>
        <rFont val="Roboto"/>
      </rPr>
      <t>https://drive.google.com/open?id=1roGwRX1qQWVB3DYsV7C8leHhhPo-3mOn</t>
    </r>
  </si>
  <si>
    <r>
      <rPr>
        <u/>
        <sz val="10"/>
        <color rgb="FF1155CC"/>
        <rFont val="Roboto"/>
      </rPr>
      <t>https://drive.google.com/open?id=1pmqE0-35dJcNpE3ZPN_I7KLiURq3c3be</t>
    </r>
  </si>
  <si>
    <r>
      <rPr>
        <u/>
        <sz val="10"/>
        <color rgb="FF1155CC"/>
        <rFont val="Roboto"/>
      </rPr>
      <t>https://drive.google.com/open?id=1AezZlgKCoFA7S6vsNv-SJBgS1-9J8WOh</t>
    </r>
  </si>
  <si>
    <r>
      <rPr>
        <u/>
        <sz val="10"/>
        <color rgb="FF1155CC"/>
        <rFont val="Roboto"/>
      </rPr>
      <t>https://drive.google.com/open?id=1D-scaeq8oRosbT7-OTEwliN5HKrWdIwA</t>
    </r>
  </si>
  <si>
    <r>
      <rPr>
        <u/>
        <sz val="10"/>
        <color rgb="FF1155CC"/>
        <rFont val="Roboto"/>
      </rPr>
      <t>https://drive.google.com/open?id=1MX5ygKYlHigzBF6d6c0JoLbCzWxqhOpI</t>
    </r>
  </si>
  <si>
    <r>
      <rPr>
        <u/>
        <sz val="10"/>
        <color rgb="FF1155CC"/>
        <rFont val="Roboto"/>
      </rPr>
      <t>https://drive.google.com/open?id=1fD-1ahtjp_FpKDiMIWmIk5oDuygZolDQ</t>
    </r>
  </si>
  <si>
    <r>
      <rPr>
        <u/>
        <sz val="10"/>
        <color rgb="FF1155CC"/>
        <rFont val="Roboto"/>
      </rPr>
      <t>https://drive.google.com/open?id=1SFHiD6k1p8V83gie1_I_5Rttr0zm6YJV</t>
    </r>
  </si>
  <si>
    <r>
      <rPr>
        <u/>
        <sz val="10"/>
        <color rgb="FF1155CC"/>
        <rFont val="Roboto"/>
      </rPr>
      <t>https://drive.google.com/open?id=1fwESmfwDEc0rKUi6XHSCOGFwQ68ArZuZ</t>
    </r>
  </si>
  <si>
    <r>
      <rPr>
        <u/>
        <sz val="10"/>
        <color rgb="FF1155CC"/>
        <rFont val="Roboto"/>
      </rPr>
      <t>https://drive.google.com/open?id=1JOHVDBf4KA27mp2C68Rhyt9Mbb_MS9y9</t>
    </r>
  </si>
  <si>
    <r>
      <rPr>
        <u/>
        <sz val="10"/>
        <color rgb="FF1155CC"/>
        <rFont val="Roboto"/>
      </rPr>
      <t>https://drive.google.com/open?id=1iM66ZMwuhsg1pO-Wy4tnAvxs7zxVisFK</t>
    </r>
  </si>
  <si>
    <r>
      <rPr>
        <u/>
        <sz val="10"/>
        <color rgb="FF1155CC"/>
        <rFont val="Roboto"/>
      </rPr>
      <t>https://drive.google.com/open?id=1wJ7Ftasu2Qg557C3ps2nFDM-7sB7DE75</t>
    </r>
  </si>
  <si>
    <r>
      <rPr>
        <u/>
        <sz val="10"/>
        <color rgb="FF1155CC"/>
        <rFont val="Roboto"/>
      </rPr>
      <t>https://drive.google.com/open?id=1UhIyPgca2qWYKhkTRd9tcM9K2J9Bzim0</t>
    </r>
  </si>
  <si>
    <r>
      <rPr>
        <u/>
        <sz val="10"/>
        <color rgb="FF1155CC"/>
        <rFont val="Roboto"/>
      </rPr>
      <t>https://drive.google.com/open?id=1ZlnihGONGo8rKaJ7pL7VzlHJGWYJ0Kcy</t>
    </r>
  </si>
  <si>
    <r>
      <rPr>
        <u/>
        <sz val="10"/>
        <color rgb="FF1155CC"/>
        <rFont val="Roboto"/>
      </rPr>
      <t>https://drive.google.com/open?id=1ZqAvA_fnXXTJ8rkpqI6WpjXkO6fpVP_t</t>
    </r>
  </si>
  <si>
    <r>
      <rPr>
        <u/>
        <sz val="10"/>
        <color rgb="FF1155CC"/>
        <rFont val="Roboto"/>
      </rPr>
      <t>https://drive.google.com/open?id=1u37wNTDv0xz4kVPM1Qmf0Iiq7zsN7KrC</t>
    </r>
  </si>
  <si>
    <r>
      <rPr>
        <u/>
        <sz val="10"/>
        <color rgb="FF1155CC"/>
        <rFont val="Roboto"/>
      </rPr>
      <t>https://drive.google.com/open?id=1Nsii2JF5UzeKAC-G9mdftEiEP0FMx-BU</t>
    </r>
  </si>
  <si>
    <r>
      <rPr>
        <u/>
        <sz val="10"/>
        <color rgb="FF1155CC"/>
        <rFont val="Roboto"/>
      </rPr>
      <t>https://drive.google.com/open?id=13a6xT-anbNLEW_1cU9CxpbQGh4c1-R-8</t>
    </r>
  </si>
  <si>
    <r>
      <rPr>
        <u/>
        <sz val="10"/>
        <color rgb="FF1155CC"/>
        <rFont val="Roboto"/>
      </rPr>
      <t>https://drive.google.com/open?id=1iOawUTPXK4W78T_5hvMfEVuv-4bome85</t>
    </r>
  </si>
  <si>
    <t>TRANSFORMING FASHION RETAIL MANAGEMENT THROUGH DATA-DRIVEN SEGMENTATION AND REAL-TIME BUSINESS INTELLIGENCE DASHBOARDS: A CASE STUDY AT NONTAM CAP FASHION COMPANY</t>
  </si>
  <si>
    <r>
      <rPr>
        <u/>
        <sz val="10"/>
        <color rgb="FF1155CC"/>
        <rFont val="Roboto"/>
      </rPr>
      <t>https://drive.google.com/open?id=1vStvfhlswhf71nsb3rM4YrJ6PC6sVB_m</t>
    </r>
  </si>
  <si>
    <r>
      <rPr>
        <u/>
        <sz val="10"/>
        <color rgb="FF1155CC"/>
        <rFont val="Roboto"/>
      </rPr>
      <t>https://drive.google.com/open?id=1us-8KAl9nfuFm3KcB0oKgiMToqH81_KC</t>
    </r>
  </si>
  <si>
    <r>
      <rPr>
        <u/>
        <sz val="10"/>
        <color rgb="FF1155CC"/>
        <rFont val="Roboto"/>
      </rPr>
      <t>https://drive.google.com/open?id=1oTrIrrlXxhzKIAWsj_dQ-vwKh1kOmS15</t>
    </r>
  </si>
  <si>
    <t>REGIME-SWITCHING ANALYSIS OF THE VIETNAMESE STOCK MARKET: BENCHMARKING CLASSICAL MODELS AND A HYBRID LATENT FRAMEWORK</t>
  </si>
  <si>
    <r>
      <rPr>
        <u/>
        <sz val="10"/>
        <color rgb="FF1155CC"/>
        <rFont val="Roboto"/>
      </rPr>
      <t>https://drive.google.com/open?id=14KHr1oKnpdzF5_09SOuwK-O0zfLjJslG</t>
    </r>
  </si>
  <si>
    <r>
      <rPr>
        <u/>
        <sz val="10"/>
        <color rgb="FF1155CC"/>
        <rFont val="Roboto"/>
      </rPr>
      <t>https://drive.google.com/open?id=1vUZXf3IRYERfMH2CJSjtmKMHQg6n4_PT</t>
    </r>
  </si>
  <si>
    <r>
      <rPr>
        <u/>
        <sz val="10"/>
        <color rgb="FF1155CC"/>
        <rFont val="Roboto"/>
      </rPr>
      <t>https://drive.google.com/open?id=1jlIxOLvo0uJo5amz9ouk3SoggceXyG59</t>
    </r>
  </si>
  <si>
    <r>
      <rPr>
        <u/>
        <sz val="10"/>
        <color rgb="FF1155CC"/>
        <rFont val="Roboto"/>
      </rPr>
      <t>https://drive.google.com/open?id=1RbO5yxLs2ivCVf4Yqe_lcbxJvstkcr5E</t>
    </r>
  </si>
  <si>
    <r>
      <rPr>
        <u/>
        <sz val="10"/>
        <color rgb="FF1155CC"/>
        <rFont val="Roboto"/>
      </rPr>
      <t>https://drive.google.com/open?id=1nWsddLz0YI74Wh2La9RRxAEuL8mbEleu</t>
    </r>
  </si>
  <si>
    <r>
      <rPr>
        <u/>
        <sz val="10"/>
        <color rgb="FF1155CC"/>
        <rFont val="Roboto"/>
      </rPr>
      <t>https://drive.google.com/open?id=1REqzhMvLIPVfGzDeN6x93pquLeo5ZmXK</t>
    </r>
  </si>
  <si>
    <r>
      <rPr>
        <u/>
        <sz val="10"/>
        <color rgb="FF1155CC"/>
        <rFont val="Roboto"/>
      </rPr>
      <t>https://drive.google.com/open?id=1bm7GSIXpzAZpqC1ATkUbutqdzq8eJory</t>
    </r>
  </si>
  <si>
    <r>
      <rPr>
        <u/>
        <sz val="10"/>
        <color rgb="FF1155CC"/>
        <rFont val="Roboto"/>
      </rPr>
      <t>https://drive.google.com/open?id=1Yz2t3KJrHPMks26Pz0W2hSFngUQVar6O</t>
    </r>
  </si>
  <si>
    <r>
      <rPr>
        <u/>
        <sz val="10"/>
        <color rgb="FF1155CC"/>
        <rFont val="Roboto"/>
      </rPr>
      <t>https://drive.google.com/open?id=11V_hI3BeUB9V94vj0ojHCz4OUjyh91UG</t>
    </r>
  </si>
  <si>
    <r>
      <rPr>
        <u/>
        <sz val="10"/>
        <color rgb="FF1155CC"/>
        <rFont val="Roboto"/>
      </rPr>
      <t>https://drive.google.com/open?id=15tv1dRP3VSaeOdYW5kr2Sugg1Bri9bWU</t>
    </r>
  </si>
  <si>
    <t>ANALYSIS OF REAL ESTATE LENDING ACTIVITIES FOR INDIVIDUAL CUSTOMERS OF VIETNAM JOINT STOCK COMMERCIAL BANK FOR INDUSTRY AND TRADE – BRANCH 8 – XOM CUI TRANSACTION OFFICE</t>
  </si>
  <si>
    <r>
      <rPr>
        <u/>
        <sz val="10"/>
        <color rgb="FF1155CC"/>
        <rFont val="Roboto"/>
      </rPr>
      <t>https://drive.google.com/open?id=1TsAgNadcbKVqAUNt7m14Ni_v17J_WkDu</t>
    </r>
  </si>
  <si>
    <r>
      <rPr>
        <u/>
        <sz val="10"/>
        <color rgb="FF1155CC"/>
        <rFont val="Roboto"/>
      </rPr>
      <t>https://drive.google.com/open?id=1csXzh3lKOI4Jd2jS07JM8_oVkZ6Obp4g</t>
    </r>
  </si>
  <si>
    <r>
      <rPr>
        <u/>
        <sz val="10"/>
        <color rgb="FF1155CC"/>
        <rFont val="Roboto"/>
      </rPr>
      <t>https://drive.google.com/open?id=1tvvzaugZ5VbtZzFb1wc0vf7KdoIJmg4V</t>
    </r>
  </si>
  <si>
    <r>
      <rPr>
        <u/>
        <sz val="10"/>
        <color rgb="FF1155CC"/>
        <rFont val="Roboto"/>
      </rPr>
      <t>https://drive.google.com/open?id=1HDFZ27W2ti4R7JiNZX60LbPV6QPoNJXW</t>
    </r>
  </si>
  <si>
    <r>
      <rPr>
        <u/>
        <sz val="10"/>
        <color rgb="FF1155CC"/>
        <rFont val="Roboto"/>
      </rPr>
      <t>https://drive.google.com/open?id=1Kw_0iTyU-tqfnnz3KwmPZLlGeWXQrEhl</t>
    </r>
  </si>
  <si>
    <r>
      <rPr>
        <u/>
        <sz val="10"/>
        <color rgb="FF1155CC"/>
        <rFont val="Roboto"/>
      </rPr>
      <t>https://drive.google.com/open?id=1yRvulCXREgnaluLJJxxFF4K2EzMkV-Dr</t>
    </r>
  </si>
  <si>
    <t>Mô hình hóa quy trình mở tài khoản thanh toán khách hàng cá nhân tại MBV – Chi nhánh Gò Vấp</t>
  </si>
  <si>
    <r>
      <rPr>
        <u/>
        <sz val="10"/>
        <color rgb="FF1155CC"/>
        <rFont val="Roboto"/>
      </rPr>
      <t>https://drive.google.com/open?id=1VWKirHGFnAXdCEMoZypB7WY13ea3v_e7</t>
    </r>
  </si>
  <si>
    <r>
      <rPr>
        <u/>
        <sz val="10"/>
        <color rgb="FF1155CC"/>
        <rFont val="Roboto"/>
      </rPr>
      <t>https://drive.google.com/open?id=1Kmxj2-g-HXDL-EFtrC9jd81azp08yS6C</t>
    </r>
  </si>
  <si>
    <r>
      <rPr>
        <u/>
        <sz val="10"/>
        <color rgb="FF1155CC"/>
        <rFont val="Roboto"/>
      </rPr>
      <t>https://drive.google.com/open?id=1egLeqvU7WGcD3K2GouQhPr3rD00laTK0</t>
    </r>
  </si>
  <si>
    <t>ỨNG DỤNG HIỆP PHƯƠNG SAI CO RÚT LEDOIT-WOLF TRONG XÂY DỰNG PHÂN CỤM PHÂN CẤP: BẰNG CHỨNG THỰC NGHIỆM TẠI THỊ TRƯỜNG CHỨNG KHOÁN VIỆT NAM</t>
  </si>
  <si>
    <r>
      <rPr>
        <u/>
        <sz val="10"/>
        <color rgb="FF1155CC"/>
        <rFont val="Roboto"/>
      </rPr>
      <t>https://drive.google.com/open?id=1NRsBqbjPhrPvWL20W2LELyZlz3Yvf3os</t>
    </r>
  </si>
  <si>
    <r>
      <rPr>
        <u/>
        <sz val="10"/>
        <color rgb="FF1155CC"/>
        <rFont val="Roboto"/>
      </rPr>
      <t>https://drive.google.com/open?id=1STks1zXaMOPx7AejjnMmoiGM69bZzymR</t>
    </r>
  </si>
  <si>
    <r>
      <rPr>
        <u/>
        <sz val="10"/>
        <color rgb="FF1155CC"/>
        <rFont val="Roboto"/>
      </rPr>
      <t>https://drive.google.com/open?id=1tVe8QESnaerkhaiciDn3jwK9u71S_aHS</t>
    </r>
  </si>
  <si>
    <r>
      <rPr>
        <u/>
        <sz val="10"/>
        <color rgb="FF1155CC"/>
        <rFont val="Roboto"/>
      </rPr>
      <t>https://drive.google.com/open?id=1QCUNdJbwn59jqVLuFfpB6VVr8qDVNz4-</t>
    </r>
  </si>
  <si>
    <t>PHÂN TÍCH TÌNH HÌNH TÀI CHÍNH VÀ ĐỊNH GIÁ DOANH NGHIỆP TRƯỜNG HỢP CÔNG TY CỔ PHẦN ĐẦU TƯ NAM LONG</t>
  </si>
  <si>
    <r>
      <rPr>
        <u/>
        <sz val="10"/>
        <color rgb="FF1155CC"/>
        <rFont val="Roboto"/>
      </rPr>
      <t>https://drive.google.com/open?id=1qNUYhVZ_irfPnJFIeXXc8j7YLkGsy6wj</t>
    </r>
  </si>
  <si>
    <r>
      <rPr>
        <u/>
        <sz val="10"/>
        <color rgb="FF1155CC"/>
        <rFont val="Roboto"/>
      </rPr>
      <t>https://drive.google.com/open?id=1FmSMx_ObV2g1pYpRF2CRLxHy871wEZE8</t>
    </r>
  </si>
  <si>
    <r>
      <rPr>
        <u/>
        <sz val="10"/>
        <color rgb="FF1155CC"/>
        <rFont val="Roboto"/>
      </rPr>
      <t>https://drive.google.com/open?id=15w7mSZl_-rBNwF8GAtETBqrH0g5t_L-y</t>
    </r>
  </si>
  <si>
    <r>
      <rPr>
        <u/>
        <sz val="10"/>
        <color rgb="FF1155CC"/>
        <rFont val="Roboto"/>
      </rPr>
      <t>https://drive.google.com/open?id=1tAuqpUrxfohDlAFfLpwZYLKSFnaaFLI9</t>
    </r>
  </si>
  <si>
    <r>
      <rPr>
        <u/>
        <sz val="10"/>
        <color rgb="FF1155CC"/>
        <rFont val="Roboto"/>
      </rPr>
      <t>https://drive.google.com/open?id=1M58mCmlRgnBVoZOYxnWJk0Dy8nU4MKIO</t>
    </r>
  </si>
  <si>
    <r>
      <rPr>
        <u/>
        <sz val="10"/>
        <color rgb="FF1155CC"/>
        <rFont val="Roboto"/>
      </rPr>
      <t>https://drive.google.com/open?id=1_PWyWMWPd2aS2hAmr0U49jVLwc0-Bo_D</t>
    </r>
  </si>
  <si>
    <r>
      <rPr>
        <u/>
        <sz val="10"/>
        <color rgb="FF1155CC"/>
        <rFont val="Roboto"/>
      </rPr>
      <t>https://drive.google.com/open?id=1r9JHeHzS-p2bHJjGWrRRCH-HvZpP9PJC</t>
    </r>
  </si>
  <si>
    <t>Ứng dụng các mô hình học máy trong bài toán dự báo xu hướng tiền điện tử: Nghiên cứu thực nhiệm với Bitcoin</t>
  </si>
  <si>
    <r>
      <rPr>
        <u/>
        <sz val="10"/>
        <color rgb="FF1155CC"/>
        <rFont val="Roboto"/>
      </rPr>
      <t>https://drive.google.com/open?id=1aOCYe--EDUqAI9YSpToOXiRT01K95Q80</t>
    </r>
  </si>
  <si>
    <r>
      <rPr>
        <u/>
        <sz val="10"/>
        <color rgb="FF1155CC"/>
        <rFont val="Roboto"/>
      </rPr>
      <t>https://drive.google.com/open?id=1cCRl-unfJfYGUK9fSbrdM3b5zu9-Djg6</t>
    </r>
  </si>
  <si>
    <r>
      <rPr>
        <u/>
        <sz val="10"/>
        <color rgb="FF1155CC"/>
        <rFont val="Roboto"/>
      </rPr>
      <t>https://drive.google.com/open?id=1Un6XQ8Cppy1DRPpuGRSMagfhV79gD54e</t>
    </r>
  </si>
  <si>
    <t>Xây dựng Chatbot hỗ trợ ra khuyến nghị đầu tư tiền điện tử</t>
  </si>
  <si>
    <r>
      <rPr>
        <u/>
        <sz val="10"/>
        <color rgb="FF1155CC"/>
        <rFont val="Roboto"/>
      </rPr>
      <t>https://drive.google.com/open?id=1RN1TNxYPyT1vVOP2nd3VKKLv5ByX3D5R</t>
    </r>
  </si>
  <si>
    <r>
      <rPr>
        <u/>
        <sz val="10"/>
        <color rgb="FF1155CC"/>
        <rFont val="Roboto"/>
      </rPr>
      <t>https://drive.google.com/open?id=1HR8eCsbbp_GSVxiKq3OtvPxTlOy25POQ</t>
    </r>
  </si>
  <si>
    <r>
      <rPr>
        <u/>
        <sz val="10"/>
        <color rgb="FF1155CC"/>
        <rFont val="Roboto"/>
      </rPr>
      <t>https://drive.google.com/open?id=1ivRiijEy87mO7hxzJ67WA9f64noBj6x5</t>
    </r>
  </si>
  <si>
    <r>
      <rPr>
        <u/>
        <sz val="10"/>
        <color rgb="FF1155CC"/>
        <rFont val="Roboto"/>
      </rPr>
      <t>https://drive.google.com/open?id=1kmu_HKEj2SYTBF-Xm6WjfwKFKFd_tf0m</t>
    </r>
  </si>
  <si>
    <r>
      <rPr>
        <u/>
        <sz val="10"/>
        <color rgb="FF1155CC"/>
        <rFont val="Roboto"/>
      </rPr>
      <t>https://drive.google.com/open?id=1Y3-dQwLeQVw8JtJPh21RNm3WNC9oBpti</t>
    </r>
  </si>
  <si>
    <r>
      <rPr>
        <u/>
        <sz val="10"/>
        <color rgb="FF1155CC"/>
        <rFont val="Roboto"/>
      </rPr>
      <t>https://drive.google.com/open?id=1qlCw7gfpwv5Pee5B9CnLo51Mxwvdeo5w</t>
    </r>
  </si>
  <si>
    <r>
      <rPr>
        <u/>
        <sz val="10"/>
        <color rgb="FF1155CC"/>
        <rFont val="Roboto"/>
      </rPr>
      <t>https://drive.google.com/open?id=182wNB88HNx7aX61dxgw7Xp81DBrQBszw</t>
    </r>
  </si>
  <si>
    <r>
      <rPr>
        <u/>
        <sz val="10"/>
        <color rgb="FF1155CC"/>
        <rFont val="Roboto"/>
      </rPr>
      <t>https://drive.google.com/open?id=15PyTZKySg0d-5tuWMFzHLDp_SPPpB-PZ</t>
    </r>
  </si>
  <si>
    <r>
      <rPr>
        <u/>
        <sz val="10"/>
        <color rgb="FF1155CC"/>
        <rFont val="Roboto"/>
      </rPr>
      <t>https://drive.google.com/open?id=16j46gsYMj1Sf5L0jdCnjxXwbDogxKpfE</t>
    </r>
  </si>
  <si>
    <r>
      <rPr>
        <u/>
        <sz val="10"/>
        <color rgb="FF1155CC"/>
        <rFont val="Roboto"/>
      </rPr>
      <t>https://drive.google.com/open?id=1PGLYnyMbWZXHG9fnRIs_BM3pRMOV4lI8</t>
    </r>
  </si>
  <si>
    <r>
      <rPr>
        <u/>
        <sz val="10"/>
        <color rgb="FF1155CC"/>
        <rFont val="Roboto"/>
      </rPr>
      <t>https://drive.google.com/open?id=1ps4Mr_LqEqUyFmR7QtjOPV1aXm4I_SZV</t>
    </r>
  </si>
  <si>
    <t>HOẠT ĐỘNG HUY ĐỘNG VỐN BẰNG TIỀN GỬI CỦA KHÁCH HÀNG CÁ NHÂN TẠI NGÂN HÀNG THƯƠNG MẠI CỔ PHẦN SÀI GÒN THƯƠNG TÍN - CHI NHÁNH THỦ ĐỨC</t>
  </si>
  <si>
    <r>
      <rPr>
        <u/>
        <sz val="10"/>
        <color rgb="FF1155CC"/>
        <rFont val="Roboto"/>
      </rPr>
      <t>https://drive.google.com/open?id=1jKtuXQ62akFAt80DEAzg430UpfrocsUS</t>
    </r>
  </si>
  <si>
    <r>
      <rPr>
        <u/>
        <sz val="10"/>
        <color rgb="FF1155CC"/>
        <rFont val="Roboto"/>
      </rPr>
      <t>https://drive.google.com/open?id=12sxI1VjqxG81GPiEF1C34fFub3sWwJ_H</t>
    </r>
  </si>
  <si>
    <r>
      <rPr>
        <u/>
        <sz val="10"/>
        <color rgb="FF1155CC"/>
        <rFont val="Roboto"/>
      </rPr>
      <t>https://drive.google.com/open?id=1xzLJgbV9LwWrKAMI5Kh8tHXpt3IWa_yN</t>
    </r>
  </si>
  <si>
    <t>MACHINE LEARNING-BASED PREDICTION OF FINANCIAL DISTRESS: EVIDENCE FROM NON-FINANCIAL LISTED COMPANIES IN VIETNAM (2010-2024)</t>
  </si>
  <si>
    <r>
      <rPr>
        <u/>
        <sz val="10"/>
        <color rgb="FF1155CC"/>
        <rFont val="Roboto"/>
      </rPr>
      <t>https://drive.google.com/open?id=1YKlFWxBwgZHNewtrzHHtpZYHTFxwdSjS</t>
    </r>
  </si>
  <si>
    <r>
      <rPr>
        <u/>
        <sz val="10"/>
        <color rgb="FF1155CC"/>
        <rFont val="Roboto"/>
      </rPr>
      <t>https://drive.google.com/open?id=17AZ1wKUbcAtkL4XWzz7T8URNo1aPa_Xq</t>
    </r>
  </si>
  <si>
    <r>
      <rPr>
        <u/>
        <sz val="10"/>
        <color rgb="FF1155CC"/>
        <rFont val="Roboto"/>
      </rPr>
      <t>https://drive.google.com/open?id=1yg_v1hFjN2e2u4yOwEvZyzbtKQWc2ksY</t>
    </r>
  </si>
  <si>
    <r>
      <rPr>
        <u/>
        <sz val="10"/>
        <color rgb="FF1155CC"/>
        <rFont val="Roboto"/>
      </rPr>
      <t>https://drive.google.com/open?id=1_utwnZlRvbexiB8MVjfx55ExZzZbksm_</t>
    </r>
  </si>
  <si>
    <t>The moderating role of financial stability in the relationship between profitability and firm value: Evidence from Vietnamese real estate firms</t>
  </si>
  <si>
    <r>
      <rPr>
        <u/>
        <sz val="10"/>
        <color rgb="FF1155CC"/>
        <rFont val="Roboto"/>
      </rPr>
      <t>https://drive.google.com/open?id=1b9ighdzNJh61n7UCtWhi0LirT6fP7W_o</t>
    </r>
  </si>
  <si>
    <r>
      <rPr>
        <u/>
        <sz val="10"/>
        <color rgb="FF1155CC"/>
        <rFont val="Roboto"/>
      </rPr>
      <t>https://drive.google.com/open?id=1m0UZZFmBQuvUvxzWXfK6g2bCMwoarxEU</t>
    </r>
  </si>
  <si>
    <r>
      <rPr>
        <u/>
        <sz val="10"/>
        <color rgb="FF1155CC"/>
        <rFont val="Roboto"/>
      </rPr>
      <t>https://drive.google.com/open?id=1G8r3SkAEO47amZGTqewYa4f5BrvpH-k6</t>
    </r>
  </si>
  <si>
    <r>
      <rPr>
        <u/>
        <sz val="10"/>
        <color rgb="FF1155CC"/>
        <rFont val="Roboto"/>
      </rPr>
      <t>https://drive.google.com/open?id=1G-5ZRtKZlGLeemvGCiEAebM-ps_L6waY</t>
    </r>
  </si>
  <si>
    <r>
      <rPr>
        <u/>
        <sz val="10"/>
        <color rgb="FF1155CC"/>
        <rFont val="Roboto"/>
      </rPr>
      <t>https://drive.google.com/open?id=148UOufZKhRIKmlNukPDlKpHOa6PanpHM</t>
    </r>
  </si>
  <si>
    <r>
      <rPr>
        <u/>
        <sz val="10"/>
        <color rgb="FF1155CC"/>
        <rFont val="Roboto"/>
      </rPr>
      <t>https://drive.google.com/open?id=1poHYfELC3W0XUl9zadA6MMubLtEUc2XR</t>
    </r>
  </si>
  <si>
    <t>bachvu426@gmail.com</t>
  </si>
  <si>
    <r>
      <rPr>
        <u/>
        <sz val="10"/>
        <color rgb="FF1155CC"/>
        <rFont val="Roboto"/>
      </rPr>
      <t>https://drive.google.com/open?id=1Ubh1mUqJY2A6_EsyvehCWhcMffNdo_3P</t>
    </r>
  </si>
  <si>
    <r>
      <rPr>
        <u/>
        <sz val="10"/>
        <color rgb="FF1155CC"/>
        <rFont val="Roboto"/>
      </rPr>
      <t>https://drive.google.com/open?id=1OD_vysfhOqUTpjA7yS-JhDZGy2DPbtRx</t>
    </r>
  </si>
  <si>
    <r>
      <rPr>
        <u/>
        <sz val="10"/>
        <color rgb="FF1155CC"/>
        <rFont val="Roboto"/>
      </rPr>
      <t>https://drive.google.com/open?id=1inV6lrTRcwhXtXK9ScSLR0YBwdYDzy9L</t>
    </r>
  </si>
  <si>
    <r>
      <rPr>
        <u/>
        <sz val="10"/>
        <color rgb="FF1155CC"/>
        <rFont val="Roboto"/>
      </rPr>
      <t>https://drive.google.com/open?id=1IQ_vRg57sOvz5O5OJg-FXxkH4N5gZTWy</t>
    </r>
  </si>
  <si>
    <r>
      <rPr>
        <u/>
        <sz val="10"/>
        <color rgb="FF1155CC"/>
        <rFont val="Roboto"/>
      </rPr>
      <t>https://drive.google.com/open?id=1kfIoJ2kNB57znE_IUX8uFPbEov-BslJO</t>
    </r>
  </si>
  <si>
    <r>
      <rPr>
        <u/>
        <sz val="10"/>
        <color rgb="FF1155CC"/>
        <rFont val="Roboto"/>
      </rPr>
      <t>https://drive.google.com/open?id=1JQAy26rehS8yrOuwl36xjpaSir7DOcvn</t>
    </r>
  </si>
  <si>
    <t>Ứng dụng mô hình Deep Learning để tối ưu hóa danh mục đầu tư theo trạng thái rủi ro thị trường</t>
  </si>
  <si>
    <r>
      <rPr>
        <u/>
        <sz val="10"/>
        <color rgb="FF1155CC"/>
        <rFont val="Roboto"/>
      </rPr>
      <t>https://drive.google.com/open?id=1zC1Sa_9_DWC_zTAgsOY1vjuqBApLqT8O</t>
    </r>
  </si>
  <si>
    <r>
      <rPr>
        <u/>
        <sz val="10"/>
        <color rgb="FF1155CC"/>
        <rFont val="Roboto"/>
      </rPr>
      <t>https://drive.google.com/open?id=1_6NdeQ7TbfzlugYH8GCl1LJa3VLiskYQ</t>
    </r>
  </si>
  <si>
    <r>
      <rPr>
        <u/>
        <sz val="10"/>
        <color rgb="FF1155CC"/>
        <rFont val="Roboto"/>
      </rPr>
      <t>https://drive.google.com/open?id=1VSEhyZeQBnWPxARPdvK6qcMVWTvv0QBA</t>
    </r>
  </si>
  <si>
    <r>
      <rPr>
        <u/>
        <sz val="10"/>
        <color rgb="FF1155CC"/>
        <rFont val="Roboto"/>
      </rPr>
      <t>https://drive.google.com/open?id=1iI6ZSutx79BM-umg-FzqYTGQMcj2PUne</t>
    </r>
  </si>
  <si>
    <r>
      <rPr>
        <u/>
        <sz val="10"/>
        <color rgb="FF1155CC"/>
        <rFont val="Roboto"/>
      </rPr>
      <t>https://drive.google.com/open?id=1uQg1Jf4XngyRRntyURSuTXTR0184uOov</t>
    </r>
  </si>
  <si>
    <r>
      <rPr>
        <u/>
        <sz val="10"/>
        <color rgb="FF1155CC"/>
        <rFont val="Roboto"/>
      </rPr>
      <t>https://drive.google.com/open?id=1Zgmqmhbpsp0sYEdpvqxIj1drPydeRoXx</t>
    </r>
  </si>
  <si>
    <r>
      <rPr>
        <u/>
        <sz val="10"/>
        <color rgb="FF1155CC"/>
        <rFont val="Roboto"/>
      </rPr>
      <t>https://drive.google.com/open?id=1yJvBeOwD-F-4dIZIhDoBMHN8crOkSoI2</t>
    </r>
  </si>
  <si>
    <t>toan.9c.pvt@gmail.com</t>
  </si>
  <si>
    <t>Ứng dụng phân tích dữ liệu khách hàng trong các chương trình Loyalty Marketing tại Công ty Amiras</t>
  </si>
  <si>
    <r>
      <rPr>
        <u/>
        <sz val="10"/>
        <color rgb="FF1155CC"/>
        <rFont val="Roboto"/>
      </rPr>
      <t>https://drive.google.com/open?id=1dpzIsAq-9wmPIvt_Pjw94M1ME0yQ_ZrU</t>
    </r>
  </si>
  <si>
    <r>
      <rPr>
        <u/>
        <sz val="10"/>
        <color rgb="FF1155CC"/>
        <rFont val="Roboto"/>
      </rPr>
      <t>https://drive.google.com/open?id=1dJQQL6cn_fsBrH5-27Ij4BqltFBvEk0Q</t>
    </r>
  </si>
  <si>
    <r>
      <rPr>
        <u/>
        <sz val="10"/>
        <color rgb="FF1155CC"/>
        <rFont val="Roboto"/>
      </rPr>
      <t>https://drive.google.com/open?id=19yGy5jBgV5PdQHS1PXx2-a_1uJ2rb5Sp</t>
    </r>
  </si>
  <si>
    <t>A comparative study of the effectiveness of Arima, Sarima, LSTM models in crypto currency price forecasting</t>
  </si>
  <si>
    <r>
      <rPr>
        <u/>
        <sz val="10"/>
        <color rgb="FF1155CC"/>
        <rFont val="Roboto"/>
      </rPr>
      <t>https://drive.google.com/open?id=14L3_jLl-FjkoCFxxIddu3RpTKa5UGQD9</t>
    </r>
  </si>
  <si>
    <r>
      <rPr>
        <u/>
        <sz val="10"/>
        <color rgb="FF1155CC"/>
        <rFont val="Roboto"/>
      </rPr>
      <t>https://drive.google.com/open?id=174tJ5tq4cyP7xemUlsCu1JKJ_D-MsKBM</t>
    </r>
  </si>
  <si>
    <r>
      <rPr>
        <u/>
        <sz val="10"/>
        <color rgb="FF1155CC"/>
        <rFont val="Roboto"/>
      </rPr>
      <t>https://drive.google.com/open?id=1BPUYM6YcvcrHSh7JpW273eG_5OPMl4R3</t>
    </r>
  </si>
  <si>
    <r>
      <rPr>
        <u/>
        <sz val="10"/>
        <color rgb="FF1155CC"/>
        <rFont val="Roboto"/>
      </rPr>
      <t>https://drive.google.com/open?id=10u2DFHfijECTagiMR7uYmYSeIaqEw-jj</t>
    </r>
  </si>
  <si>
    <t>ANALYZING USER SENTIMENT FROM MOBILE BANKING APPLICATION REVIEWS AND ITS ASSOCIATION WITH BANK STOCK PRICE FLUCTUATIONS IN VIETNAM</t>
  </si>
  <si>
    <r>
      <rPr>
        <u/>
        <sz val="10"/>
        <color rgb="FF1155CC"/>
        <rFont val="Roboto"/>
      </rPr>
      <t>https://drive.google.com/open?id=1oUhfWX1gvOe0u1FaYdRCjRyQxorN4S0t</t>
    </r>
  </si>
  <si>
    <r>
      <rPr>
        <u/>
        <sz val="10"/>
        <color rgb="FF1155CC"/>
        <rFont val="Roboto"/>
      </rPr>
      <t>https://drive.google.com/open?id=1w2bV406fMqwcwzYeOJ41tdFpfTxnyAIq</t>
    </r>
  </si>
  <si>
    <r>
      <rPr>
        <u/>
        <sz val="10"/>
        <color rgb="FF1155CC"/>
        <rFont val="Roboto"/>
      </rPr>
      <t>https://drive.google.com/open?id=1x6q3CgeCfCNwUZclyHBddI26fJN6ZZjg</t>
    </r>
  </si>
  <si>
    <r>
      <rPr>
        <u/>
        <sz val="10"/>
        <color rgb="FF1155CC"/>
        <rFont val="Roboto"/>
      </rPr>
      <t>https://drive.google.com/open?id=1Y1omWwEte0_-Bo5eVfaV1blqX1b6A2jt</t>
    </r>
  </si>
  <si>
    <r>
      <rPr>
        <u/>
        <sz val="10"/>
        <color rgb="FF1155CC"/>
        <rFont val="Roboto"/>
      </rPr>
      <t>https://drive.google.com/open?id=11LqRPxfcHgcT4mkFm-Gw_pUPjTrktJfn</t>
    </r>
  </si>
  <si>
    <r>
      <rPr>
        <u/>
        <sz val="10"/>
        <color rgb="FF1155CC"/>
        <rFont val="Roboto"/>
      </rPr>
      <t>https://drive.google.com/open?id=1xM7fE34cw2cIAwXmniQ1LByIz8fpiVDM</t>
    </r>
  </si>
  <si>
    <r>
      <rPr>
        <u/>
        <sz val="10"/>
        <color rgb="FF1155CC"/>
        <rFont val="Roboto"/>
      </rPr>
      <t>https://drive.google.com/open?id=1mbKm4wvTq778sg55aqa-TwwqSc2_OFE1</t>
    </r>
  </si>
  <si>
    <t>ỨNG DỤNG MÁY HỌC TRONG PHÂN TÍCH CẢM XÚC THỊ TRƯỜNG ĐỂ DỰ BÁO GIÁ CỔ PHIẾU VIỆT NAM</t>
  </si>
  <si>
    <r>
      <rPr>
        <u/>
        <sz val="10"/>
        <color rgb="FF1155CC"/>
        <rFont val="Roboto"/>
      </rPr>
      <t>https://drive.google.com/open?id=1aVXn76_BzFR8mtc0MyohJE0m4yx57Bzo</t>
    </r>
  </si>
  <si>
    <r>
      <rPr>
        <u/>
        <sz val="10"/>
        <color rgb="FF1155CC"/>
        <rFont val="Roboto"/>
      </rPr>
      <t>https://drive.google.com/open?id=1Q-NH1QssT65EtjAUP_RzbvILG0Z75t0x</t>
    </r>
  </si>
  <si>
    <r>
      <rPr>
        <u/>
        <sz val="10"/>
        <color rgb="FF1155CC"/>
        <rFont val="Roboto"/>
      </rPr>
      <t>https://drive.google.com/open?id=1HUdU1gTzxnJpZbVVFBwj79eoJ7V1pcmS</t>
    </r>
  </si>
  <si>
    <r>
      <rPr>
        <u/>
        <sz val="10"/>
        <color rgb="FF1155CC"/>
        <rFont val="Roboto"/>
      </rPr>
      <t>https://drive.google.com/open?id=1RoUxwKWBhS44BzODwBc3Xko8QxCfpViD</t>
    </r>
  </si>
  <si>
    <r>
      <rPr>
        <u/>
        <sz val="10"/>
        <color rgb="FF1155CC"/>
        <rFont val="Roboto"/>
      </rPr>
      <t>https://drive.google.com/open?id=1DBzaKSNdfcnK3J7MuErdfmcA5IVK6jSY</t>
    </r>
  </si>
  <si>
    <r>
      <rPr>
        <u/>
        <sz val="10"/>
        <color rgb="FF1155CC"/>
        <rFont val="Roboto"/>
      </rPr>
      <t>https://drive.google.com/open?id=1PWMc8zXVtayzMO2c9wE_F1r4_UrnVfNm</t>
    </r>
  </si>
  <si>
    <r>
      <rPr>
        <u/>
        <sz val="10"/>
        <color rgb="FF1155CC"/>
        <rFont val="Roboto"/>
      </rPr>
      <t>https://drive.google.com/open?id=1FLjJXLnRdpa9I8MBM6ZQdF7SrKAwW6Bk</t>
    </r>
  </si>
  <si>
    <t>DEVELOPING MANAGEMENT-ORIENTED FINANCIAL ANALYTICS FRAMEWORK AND CASH FLOW FORECASTING FOR AIESEC VIETNAM SOCIAL COMPANY LIMITED (HO CHI MINH CITY EAST BRANCH)</t>
  </si>
  <si>
    <r>
      <rPr>
        <u/>
        <sz val="10"/>
        <color rgb="FF1155CC"/>
        <rFont val="Roboto"/>
      </rPr>
      <t>https://drive.google.com/open?id=1LPEwFQbYSLJ5vn2rLrDHFvEWINztFNb9</t>
    </r>
  </si>
  <si>
    <r>
      <rPr>
        <u/>
        <sz val="10"/>
        <color rgb="FF1155CC"/>
        <rFont val="Roboto"/>
      </rPr>
      <t>https://drive.google.com/open?id=14KPUaJC_3flYWo_k1WRyX0pTdAWm8_oV</t>
    </r>
  </si>
  <si>
    <r>
      <rPr>
        <u/>
        <sz val="10"/>
        <color rgb="FF1155CC"/>
        <rFont val="Roboto"/>
      </rPr>
      <t>https://drive.google.com/open?id=1x39aJ9jBieHn8K7o2-SQjG0Am-D4La3L</t>
    </r>
  </si>
  <si>
    <t>ỨNG DỤNG MÔ HÌNH BLACK–LITTERMAN KẾT HỢP REGULARIZED REGRESSION TRONG TỐI ƯU HÓA DANH MỤC ĐẦU TƯ TẠI THỊ TRƯỜNG CHỨNG KHOÁN VIỆT NAM: BẰNG CHỨNG TỪ TẬP CỔ PHIẾU VN30-2026 GIAI ĐOẠN 2021-2026</t>
  </si>
  <si>
    <r>
      <rPr>
        <u/>
        <sz val="10"/>
        <color rgb="FF1155CC"/>
        <rFont val="Roboto"/>
      </rPr>
      <t>https://drive.google.com/open?id=1JjgXaN9TNlzrcDVCl7QjPQBhYsOK68qR</t>
    </r>
  </si>
  <si>
    <r>
      <rPr>
        <u/>
        <sz val="10"/>
        <color rgb="FF1155CC"/>
        <rFont val="Roboto"/>
      </rPr>
      <t>https://drive.google.com/open?id=1zKdWFcB_fXqwHxmsOH4rSnVagjKun9Pw</t>
    </r>
  </si>
  <si>
    <r>
      <rPr>
        <u/>
        <sz val="10"/>
        <color rgb="FF1155CC"/>
        <rFont val="Roboto"/>
      </rPr>
      <t>https://drive.google.com/open?id=1JJ1v9YNHR_5wy1WsxnPX93iiMZ2CQGc-</t>
    </r>
  </si>
  <si>
    <r>
      <rPr>
        <u/>
        <sz val="10"/>
        <color rgb="FF1155CC"/>
        <rFont val="Roboto"/>
      </rPr>
      <t>https://drive.google.com/open?id=1BV2HTCiXKYn2wmAQnZwAqOKCaR3qA1en</t>
    </r>
  </si>
  <si>
    <t>tmhd89159@gmail.com</t>
  </si>
  <si>
    <t>k22414c</t>
  </si>
  <si>
    <t>DỰ BÁO XÁC SUẤT VỠ NỢ (PD) CHO KHOẢN VAY THẾ CHẤP GIAI ĐOẠN 2020–2023 VÀ HÀM Ý QUẢN TRỊ RỦI RO TÍN DỤNG</t>
  </si>
  <si>
    <r>
      <rPr>
        <u/>
        <sz val="10"/>
        <color rgb="FF1155CC"/>
        <rFont val="Roboto"/>
      </rPr>
      <t>https://drive.google.com/open?id=1JWy7Usj0t8KJUe4tkFdfQ0VrKEtAlcoJ</t>
    </r>
  </si>
  <si>
    <r>
      <rPr>
        <u/>
        <sz val="10"/>
        <color rgb="FF1155CC"/>
        <rFont val="Roboto"/>
      </rPr>
      <t>https://drive.google.com/open?id=1JhxdlbeN_CzmXPQ4FMnaBFWCfNBr8yKY</t>
    </r>
  </si>
  <si>
    <r>
      <rPr>
        <u/>
        <sz val="10"/>
        <color rgb="FF1155CC"/>
        <rFont val="Roboto"/>
      </rPr>
      <t>https://drive.google.com/open?id=1Od__fKWQ1DJ6yajgPk9dUFm1f6YYuz3c</t>
    </r>
  </si>
  <si>
    <r>
      <rPr>
        <u/>
        <sz val="10"/>
        <color rgb="FF1155CC"/>
        <rFont val="Roboto"/>
      </rPr>
      <t>https://drive.google.com/open?id=1xwb8CbIjm8hC3RA7W8fjshQprPjZssXU</t>
    </r>
  </si>
  <si>
    <r>
      <rPr>
        <u/>
        <sz val="10"/>
        <color rgb="FF1155CC"/>
        <rFont val="Roboto"/>
      </rPr>
      <t>https://drive.google.com/open?id=1CoJ92naC5yJLK6qiXZmhsDbx_QUyqA52</t>
    </r>
  </si>
  <si>
    <r>
      <rPr>
        <u/>
        <sz val="10"/>
        <color rgb="FF1155CC"/>
        <rFont val="Roboto"/>
      </rPr>
      <t>https://drive.google.com/open?id=1Q_PR-p7xCscJ9GJ63-JwnYT7He7rcxDX</t>
    </r>
  </si>
  <si>
    <r>
      <rPr>
        <u/>
        <sz val="10"/>
        <color rgb="FF1155CC"/>
        <rFont val="Roboto"/>
      </rPr>
      <t>https://drive.google.com/open?id=1XwLN5LE9wKvAB3eAm2TKGGvJhKXzOMfb</t>
    </r>
  </si>
  <si>
    <t>htbly138@gmail.com</t>
  </si>
  <si>
    <t>Tác động của tăng trưởng tín dụng đến rủi ro thanh khoản của các ngân hàng thương mại cổ phần Việt Nam</t>
  </si>
  <si>
    <r>
      <rPr>
        <u/>
        <sz val="10"/>
        <color rgb="FF1155CC"/>
        <rFont val="Roboto"/>
      </rPr>
      <t>https://drive.google.com/open?id=1KP4Of8aNXFZFMw6zm_HXWPNUsFGKcypz</t>
    </r>
  </si>
  <si>
    <r>
      <rPr>
        <u/>
        <sz val="10"/>
        <color rgb="FF1155CC"/>
        <rFont val="Roboto"/>
      </rPr>
      <t>https://drive.google.com/open?id=13v6lhNqT73TZyJZ6muu8ttmfwQnztK7e</t>
    </r>
  </si>
  <si>
    <r>
      <rPr>
        <u/>
        <sz val="10"/>
        <color rgb="FF1155CC"/>
        <rFont val="Roboto"/>
      </rPr>
      <t>https://drive.google.com/open?id=16VQ6d89mL9Ny3J2oUO_K1njnkP0hGXO-</t>
    </r>
  </si>
  <si>
    <r>
      <rPr>
        <u/>
        <sz val="10"/>
        <color rgb="FF1155CC"/>
        <rFont val="Roboto"/>
      </rPr>
      <t>https://drive.google.com/open?id=1_evaqKEcYffiZxvGnqvJ85ZEqfiGE1es</t>
    </r>
  </si>
  <si>
    <r>
      <rPr>
        <u/>
        <sz val="10"/>
        <color rgb="FF1155CC"/>
        <rFont val="Roboto"/>
      </rPr>
      <t>https://drive.google.com/open?id=1CS8IwdnKJxfUIMG5EwqvrvWAnuupiFLd</t>
    </r>
  </si>
  <si>
    <r>
      <rPr>
        <u/>
        <sz val="10"/>
        <color rgb="FF1155CC"/>
        <rFont val="Roboto"/>
      </rPr>
      <t>https://drive.google.com/open?id=1w678uCtOKR05632KVvNB2_H4Jqe-K-UV</t>
    </r>
  </si>
  <si>
    <t>Tác động của các chỉ số kinh tế vĩ mô đến tỷ giá hối đoái tại Việt Nam trong giai đoạn 2016 - 2025 : ứng dụng phương pháp VECM và Machine Learning</t>
  </si>
  <si>
    <r>
      <rPr>
        <u/>
        <sz val="10"/>
        <color rgb="FF1155CC"/>
        <rFont val="Roboto"/>
      </rPr>
      <t>https://drive.google.com/open?id=1pwmU8wNL9l5V90y_EjtnhaNqcUbnEt6U</t>
    </r>
  </si>
  <si>
    <r>
      <rPr>
        <u/>
        <sz val="10"/>
        <color rgb="FF1155CC"/>
        <rFont val="Roboto"/>
      </rPr>
      <t>https://drive.google.com/open?id=1wkUqcJxU7fh_H_7de6-ZyHsfpo7Iqn_A</t>
    </r>
  </si>
  <si>
    <r>
      <rPr>
        <u/>
        <sz val="10"/>
        <color rgb="FF1155CC"/>
        <rFont val="Roboto"/>
      </rPr>
      <t>https://drive.google.com/open?id=1BL5-zvJ35HIEg-jX9h1pxY5Qytg_kul_</t>
    </r>
  </si>
  <si>
    <r>
      <rPr>
        <u/>
        <sz val="10"/>
        <color rgb="FF1155CC"/>
        <rFont val="Roboto"/>
      </rPr>
      <t>https://drive.google.com/open?id=1rPSGxBx8ACS2FijTLvbAw1UTdVWKaPVf</t>
    </r>
  </si>
  <si>
    <r>
      <rPr>
        <u/>
        <sz val="10"/>
        <color rgb="FF1155CC"/>
        <rFont val="Roboto"/>
      </rPr>
      <t>https://drive.google.com/open?id=1cWRUnZpUgwaSDIQKqOJIKXY6aQxMmui4</t>
    </r>
  </si>
  <si>
    <r>
      <rPr>
        <u/>
        <sz val="10"/>
        <color rgb="FF1155CC"/>
        <rFont val="Roboto"/>
      </rPr>
      <t>https://drive.google.com/open?id=1ZPBvgjTJfusgIZnyJrussjeie3ll7UfO</t>
    </r>
  </si>
  <si>
    <r>
      <rPr>
        <u/>
        <sz val="10"/>
        <color rgb="FF1155CC"/>
        <rFont val="Roboto"/>
      </rPr>
      <t>https://drive.google.com/open?id=1m0eTfXxBQ4KuiBGBiq3flTMFzLjVC3Z9</t>
    </r>
  </si>
  <si>
    <t>buidangquynhnhu.work@gmail.com</t>
  </si>
  <si>
    <r>
      <rPr>
        <u/>
        <sz val="10"/>
        <color rgb="FF1155CC"/>
        <rFont val="Roboto"/>
      </rPr>
      <t>https://drive.google.com/open?id=1O53iEN6SUMV9VJVy2E0f--e_c01bAhYz</t>
    </r>
  </si>
  <si>
    <r>
      <rPr>
        <u/>
        <sz val="10"/>
        <color rgb="FF1155CC"/>
        <rFont val="Roboto"/>
      </rPr>
      <t>https://drive.google.com/open?id=1ScRqTIPYgE-rvrZeA8a5rHBV32L7JJbb</t>
    </r>
  </si>
  <si>
    <r>
      <rPr>
        <u/>
        <sz val="10"/>
        <color rgb="FF1155CC"/>
        <rFont val="Roboto"/>
      </rPr>
      <t>https://drive.google.com/open?id=1lAXmvVDkOjvFZ11oPIZWTLyhZROJm-2x</t>
    </r>
  </si>
  <si>
    <r>
      <rPr>
        <u/>
        <sz val="10"/>
        <color rgb="FF1155CC"/>
        <rFont val="Roboto"/>
      </rPr>
      <t>https://drive.google.com/open?id=15loWZ1w5QDUb7jl_6PuxvinuFFhukCE0</t>
    </r>
  </si>
  <si>
    <r>
      <rPr>
        <u/>
        <sz val="10"/>
        <color rgb="FF1155CC"/>
        <rFont val="Roboto"/>
      </rPr>
      <t>https://drive.google.com/open?id=1dQcCyu4o5pL1lGcWlQebtZ2tPhZxkWRJ</t>
    </r>
  </si>
  <si>
    <r>
      <rPr>
        <u/>
        <sz val="10"/>
        <color rgb="FF1155CC"/>
        <rFont val="Roboto"/>
      </rPr>
      <t>https://drive.google.com/open?id=1blgd6IDnZWPYStIFWggScqNyAVABERcU</t>
    </r>
  </si>
  <si>
    <r>
      <rPr>
        <u/>
        <sz val="10"/>
        <color rgb="FF1155CC"/>
        <rFont val="Roboto"/>
      </rPr>
      <t>https://drive.google.com/open?id=11x-DR8ds24LKuGgtRXvQVQ6hh_F3Q43g</t>
    </r>
  </si>
  <si>
    <t>THỰC TRẠNG VÀ HIỆU QUẢ CỦA GÓI VAY MUA NHÀ "DREAM HOME" CHO GIỚI TRẺ TẠI NGÂN HÀNG TMCP QUÂN ĐỘI MB</t>
  </si>
  <si>
    <r>
      <rPr>
        <u/>
        <sz val="10"/>
        <color rgb="FF1155CC"/>
        <rFont val="Roboto"/>
      </rPr>
      <t>https://drive.google.com/open?id=1rHm4vkya5UHLNDrUtl0F2ssMhgryueuk</t>
    </r>
  </si>
  <si>
    <r>
      <rPr>
        <u/>
        <sz val="10"/>
        <color rgb="FF1155CC"/>
        <rFont val="Roboto"/>
      </rPr>
      <t>https://drive.google.com/open?id=1PGntLVO09mZNNVGh2Wg8ST5qJlbsw1Vq</t>
    </r>
  </si>
  <si>
    <r>
      <rPr>
        <u/>
        <sz val="10"/>
        <color rgb="FF1155CC"/>
        <rFont val="Roboto"/>
      </rPr>
      <t>https://drive.google.com/open?id=18AMjzz4VmNbS5MNlHzFNLdixRtImNLp8</t>
    </r>
  </si>
  <si>
    <r>
      <rPr>
        <u/>
        <sz val="10"/>
        <color rgb="FF1155CC"/>
        <rFont val="Roboto"/>
      </rPr>
      <t>https://drive.google.com/open?id=1tG0abyWyzm65mrLp7vJR6_JrmqIZrJhF</t>
    </r>
  </si>
  <si>
    <r>
      <rPr>
        <u/>
        <sz val="10"/>
        <color rgb="FF1155CC"/>
        <rFont val="Roboto"/>
      </rPr>
      <t>https://drive.google.com/open?id=1R4PWhm3rHCO6b90NRo15gIoSvxpHYjoV</t>
    </r>
  </si>
  <si>
    <r>
      <rPr>
        <u/>
        <sz val="10"/>
        <color rgb="FF1155CC"/>
        <rFont val="Roboto"/>
      </rPr>
      <t>https://drive.google.com/open?id=1Ev8r4YRvGFtj_MjV20pXdpBwpKBww84l</t>
    </r>
  </si>
  <si>
    <r>
      <rPr>
        <u/>
        <sz val="10"/>
        <color rgb="FF1155CC"/>
        <rFont val="Roboto"/>
      </rPr>
      <t>https://drive.google.com/open?id=10WV9SiSOaUl3j0mpXQhOc7go1cgR-yhQ</t>
    </r>
  </si>
  <si>
    <r>
      <rPr>
        <u/>
        <sz val="10"/>
        <color rgb="FF1155CC"/>
        <rFont val="Roboto"/>
      </rPr>
      <t>https://drive.google.com/open?id=1f202ntPvH433SURMYvOYKlL00KuQ9R7i</t>
    </r>
  </si>
  <si>
    <r>
      <rPr>
        <u/>
        <sz val="10"/>
        <color rgb="FF1155CC"/>
        <rFont val="Roboto"/>
      </rPr>
      <t>https://drive.google.com/open?id=1DSMJ93WvFsSIrxoJvCDjtWas0-Cn-_ZW</t>
    </r>
  </si>
  <si>
    <r>
      <rPr>
        <u/>
        <sz val="10"/>
        <color rgb="FF1155CC"/>
        <rFont val="Roboto"/>
      </rPr>
      <t>https://drive.google.com/open?id=12MgEJqBfkZsiMk1TTvumE7mGQmoO6h20</t>
    </r>
  </si>
  <si>
    <r>
      <rPr>
        <u/>
        <sz val="10"/>
        <color rgb="FF1155CC"/>
        <rFont val="Roboto"/>
      </rPr>
      <t>https://drive.google.com/open?id=1EEugIlYOg-f6zlbA_qI6CGXYr0wxG79G</t>
    </r>
  </si>
  <si>
    <r>
      <rPr>
        <u/>
        <sz val="10"/>
        <color rgb="FF1155CC"/>
        <rFont val="Roboto"/>
      </rPr>
      <t>https://drive.google.com/open?id=1pO0BXfAWh9zzaLdGT-CZT_RLgIkUgcyl</t>
    </r>
  </si>
  <si>
    <r>
      <rPr>
        <u/>
        <sz val="10"/>
        <color rgb="FF1155CC"/>
        <rFont val="Roboto"/>
      </rPr>
      <t>https://drive.google.com/open?id=1xQlHv0wKGuutgTTULbr2ijEtGg8ROMDj</t>
    </r>
  </si>
  <si>
    <t>trucbonnie0608@gmail.com</t>
  </si>
  <si>
    <t>The Current Situation and Effectiveness of "The Dream Home"Home Loan Package for young customers at military commercial joint stock bank (MB)</t>
  </si>
  <si>
    <r>
      <rPr>
        <u/>
        <sz val="10"/>
        <color rgb="FF1155CC"/>
        <rFont val="Roboto"/>
      </rPr>
      <t>https://drive.google.com/open?id=1146jAXQcu50AiSRa12sPjMoceAvvAhMr</t>
    </r>
  </si>
  <si>
    <r>
      <rPr>
        <u/>
        <sz val="10"/>
        <color rgb="FF1155CC"/>
        <rFont val="Roboto"/>
      </rPr>
      <t>https://drive.google.com/open?id=1miIJGN1c0lGzv9Siln_-YZH9Gv5_uQJj</t>
    </r>
  </si>
  <si>
    <r>
      <rPr>
        <u/>
        <sz val="10"/>
        <color rgb="FF1155CC"/>
        <rFont val="Roboto"/>
      </rPr>
      <t>https://drive.google.com/open?id=1Jiq7TDP6gIiWOmvIMsF-YjJOfZdHi8Ta</t>
    </r>
  </si>
  <si>
    <r>
      <rPr>
        <u/>
        <sz val="10"/>
        <color rgb="FF1155CC"/>
        <rFont val="Roboto"/>
      </rPr>
      <t>https://drive.google.com/open?id=1MJVRzstYpkFvmRGfnS-pSO8Ohbkzuik6</t>
    </r>
  </si>
  <si>
    <r>
      <rPr>
        <u/>
        <sz val="10"/>
        <color rgb="FF1155CC"/>
        <rFont val="Roboto"/>
      </rPr>
      <t>https://drive.google.com/open?id=1S8__T5FrTjQluvX8NdJ7Zxy-QQt1NaO8</t>
    </r>
  </si>
  <si>
    <r>
      <rPr>
        <u/>
        <sz val="10"/>
        <color rgb="FF1155CC"/>
        <rFont val="Roboto"/>
      </rPr>
      <t>https://drive.google.com/open?id=1Dol4CxgNj8IsB9a---8v7Qc24Mqb8LM5</t>
    </r>
  </si>
  <si>
    <r>
      <rPr>
        <u/>
        <sz val="10"/>
        <color rgb="FF1155CC"/>
        <rFont val="Roboto"/>
      </rPr>
      <t>https://drive.google.com/open?id=1k9lKfMw11Hmyl_GOZy23QzVF7BwGI25D</t>
    </r>
  </si>
  <si>
    <t>Dự báo rủi ro phá sản doanh nghiệp phi tài chính trên sàn giao dịch Chứng khoán TP. Hồ Chí Minh: Hướng tiếp cận phương pháp lai tích hợp mô hình Altman Z’’-score và Machine Learning</t>
  </si>
  <si>
    <r>
      <rPr>
        <u/>
        <sz val="10"/>
        <color rgb="FF1155CC"/>
        <rFont val="Roboto"/>
      </rPr>
      <t>https://drive.google.com/open?id=1nBsui_KWUPMC8paQbAyyi3Vfhf23X9Hr</t>
    </r>
  </si>
  <si>
    <r>
      <rPr>
        <u/>
        <sz val="10"/>
        <color rgb="FF1155CC"/>
        <rFont val="Roboto"/>
      </rPr>
      <t>https://drive.google.com/open?id=1rqFQ-63kJazg9Uyg0Jym7j80nZnUglPy</t>
    </r>
  </si>
  <si>
    <r>
      <rPr>
        <u/>
        <sz val="10"/>
        <color rgb="FF1155CC"/>
        <rFont val="Roboto"/>
      </rPr>
      <t>https://drive.google.com/open?id=1S8iPCDmgLZ2I83-GRUkd8_A6_Zq29xeA</t>
    </r>
  </si>
  <si>
    <r>
      <rPr>
        <u/>
        <sz val="10"/>
        <color rgb="FF1155CC"/>
        <rFont val="Roboto"/>
      </rPr>
      <t>https://drive.google.com/open?id=1M8LU-k9XJ64obieWt5rCwvHco3Gh-1Q-</t>
    </r>
  </si>
  <si>
    <r>
      <rPr>
        <u/>
        <sz val="10"/>
        <color rgb="FF1155CC"/>
        <rFont val="Roboto"/>
      </rPr>
      <t>https://drive.google.com/open?id=1g7yOmmvKKMk53Jgz7thWfr3I2Yo1AS02</t>
    </r>
  </si>
  <si>
    <t xml:space="preserve">Họ tên SV: </t>
  </si>
  <si>
    <t xml:space="preserve">MSSV: </t>
  </si>
  <si>
    <t xml:space="preserve">Tên đề tài: </t>
  </si>
  <si>
    <t xml:space="preserve">GV hướng dẫn: </t>
  </si>
  <si>
    <t xml:space="preserve">GV phản biện: </t>
  </si>
  <si>
    <t xml:space="preserve">Hội đồng </t>
  </si>
  <si>
    <t xml:space="preserve">Chủ tich: </t>
  </si>
  <si>
    <t xml:space="preserve">Ủy viên: </t>
  </si>
  <si>
    <t xml:space="preserve">Thư ký: </t>
  </si>
  <si>
    <t xml:space="preserve">Thời gian làm việc dự kiến: </t>
  </si>
  <si>
    <t xml:space="preserve">Phòng: </t>
  </si>
  <si>
    <t>GVPB</t>
  </si>
  <si>
    <t>CTHĐ</t>
  </si>
  <si>
    <t>TVHĐ</t>
  </si>
  <si>
    <t>TKHĐ</t>
  </si>
  <si>
    <t>Thời gian</t>
  </si>
  <si>
    <t>Phòng</t>
  </si>
  <si>
    <t>B1.501</t>
  </si>
  <si>
    <t>B1.502</t>
  </si>
  <si>
    <t>B1.503</t>
  </si>
  <si>
    <t>B1.401</t>
  </si>
  <si>
    <t>Hội đồng 01</t>
  </si>
  <si>
    <t>Hội đồng 02</t>
  </si>
  <si>
    <t>Hội đồng 03</t>
  </si>
  <si>
    <t>Hội đồng 04</t>
  </si>
  <si>
    <t>Hội đồng 05</t>
  </si>
  <si>
    <t>Hội đồng 06</t>
  </si>
  <si>
    <t>Hội đồng 07</t>
  </si>
  <si>
    <t>Hội đồng 08</t>
  </si>
  <si>
    <t>Hội đồng 09</t>
  </si>
  <si>
    <t>Hội đồng 10</t>
  </si>
  <si>
    <t>Hội đồng 11</t>
  </si>
  <si>
    <t>Hội đồng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</si>
</sst>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m/dd/yyyy"/>
    <numFmt numFmtId="166" formatCode="_-* #,##0\ _₫_-;\-* #,##0\ _₫_-;_-* &quot;-&quot;??\ _₫_-;_-@"/>
    <numFmt numFmtId="167" formatCode="m/d/yyyy\ h:mm:ss"/>
  </numFmts>
  <fonts count="17" x14ac:knownFonts="1">
    <font>
      <sz val="10"/>
      <color rgb="FF000000"/>
      <name val="Arial"/>
      <scheme val="minor"/>
    </font>
    <font>
      <b/>
      <sz val="13"/>
      <color rgb="FF000000"/>
      <name val="Times New Roman"/>
      <family val="1"/>
    </font>
    <font>
      <sz val="13"/>
      <color rgb="FF000000"/>
      <name val="Times New Roman"/>
      <family val="1"/>
    </font>
    <font>
      <sz val="13"/>
      <color theme="1"/>
      <name val="Times New Roman"/>
      <family val="1"/>
    </font>
    <font>
      <sz val="10"/>
      <color rgb="FF000000"/>
      <name val="Arial"/>
      <family val="2"/>
    </font>
    <font>
      <sz val="11"/>
      <color rgb="FF000000"/>
      <name val="Calibri"/>
      <family val="2"/>
    </font>
    <font>
      <sz val="10"/>
      <color theme="1"/>
      <name val="Arial"/>
      <family val="2"/>
      <scheme val="minor"/>
    </font>
    <font>
      <b/>
      <i/>
      <sz val="13"/>
      <color rgb="FF000000"/>
      <name val="Times New Roman"/>
      <family val="1"/>
    </font>
    <font>
      <sz val="10"/>
      <name val="Arial"/>
      <family val="2"/>
    </font>
    <font>
      <i/>
      <sz val="13"/>
      <color rgb="FF000000"/>
      <name val="Times New Roman"/>
      <family val="1"/>
    </font>
    <font>
      <b/>
      <i/>
      <sz val="13"/>
      <color theme="1"/>
      <name val="Times New Roman"/>
      <family val="1"/>
    </font>
    <font>
      <sz val="10"/>
      <color rgb="FF000000"/>
      <name val="Arial"/>
      <family val="2"/>
    </font>
    <font>
      <u/>
      <sz val="10"/>
      <color rgb="FF0000FF"/>
      <name val="Roboto"/>
    </font>
    <font>
      <u/>
      <sz val="10"/>
      <color rgb="FF0000FF"/>
      <name val="Roboto"/>
    </font>
    <font>
      <sz val="10"/>
      <color rgb="FF9C0006"/>
      <name val="Arial"/>
      <family val="2"/>
    </font>
    <font>
      <u/>
      <sz val="10"/>
      <color rgb="FF0000FF"/>
      <name val="Roboto"/>
    </font>
    <font>
      <u/>
      <sz val="10"/>
      <color rgb="FF1155CC"/>
      <name val="Roboto"/>
    </font>
  </fonts>
  <fills count="6">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FFC7CE"/>
        <bgColor rgb="FFFFC7CE"/>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
      <left style="thin">
        <color rgb="FF5B3F86"/>
      </left>
      <right/>
      <top/>
      <bottom/>
      <diagonal/>
    </border>
    <border>
      <left/>
      <right style="thin">
        <color rgb="FF5B3F86"/>
      </right>
      <top/>
      <bottom/>
      <diagonal/>
    </border>
    <border>
      <left style="thin">
        <color rgb="FF5B3F86"/>
      </left>
      <right/>
      <top/>
      <bottom style="thin">
        <color rgb="FF5B3F86"/>
      </bottom>
      <diagonal/>
    </border>
    <border>
      <left/>
      <right/>
      <top/>
      <bottom style="thin">
        <color rgb="FF5B3F86"/>
      </bottom>
      <diagonal/>
    </border>
    <border>
      <left style="thin">
        <color rgb="FF000000"/>
      </left>
      <right style="thin">
        <color rgb="FF000000"/>
      </right>
      <top/>
      <bottom/>
      <diagonal/>
    </border>
  </borders>
  <cellStyleXfs count="1">
    <xf numFmtId="0" fontId="0" fillId="0" borderId="0"/>
  </cellStyleXfs>
  <cellXfs count="74">
    <xf numFmtId="0" fontId="0" fillId="0" borderId="0" xfId="0"/>
    <xf numFmtId="0" fontId="2" fillId="0" borderId="0" xfId="0" applyFont="1"/>
    <xf numFmtId="0" fontId="3" fillId="0" borderId="1" xfId="0" applyFont="1" applyBorder="1" applyAlignment="1">
      <alignment vertical="center" wrapText="1"/>
    </xf>
    <xf numFmtId="0" fontId="5" fillId="0" borderId="1" xfId="0" applyFont="1" applyBorder="1" applyAlignment="1">
      <alignment horizontal="left"/>
    </xf>
    <xf numFmtId="165" fontId="5" fillId="0" borderId="1" xfId="0" applyNumberFormat="1" applyFont="1" applyBorder="1" applyAlignment="1">
      <alignment horizontal="left"/>
    </xf>
    <xf numFmtId="14" fontId="5" fillId="0" borderId="1" xfId="0" applyNumberFormat="1" applyFont="1" applyBorder="1" applyAlignment="1">
      <alignment horizontal="left"/>
    </xf>
    <xf numFmtId="0" fontId="5" fillId="0" borderId="1" xfId="0" applyFont="1" applyBorder="1"/>
    <xf numFmtId="0" fontId="6" fillId="0" borderId="0" xfId="0" applyFont="1"/>
    <xf numFmtId="0" fontId="2" fillId="0" borderId="1" xfId="0" applyFont="1" applyBorder="1"/>
    <xf numFmtId="0" fontId="1" fillId="0" borderId="1" xfId="0" applyFont="1" applyBorder="1" applyAlignment="1">
      <alignment horizontal="center"/>
    </xf>
    <xf numFmtId="0" fontId="1" fillId="0" borderId="1" xfId="0" applyFont="1" applyBorder="1"/>
    <xf numFmtId="0" fontId="9" fillId="0" borderId="6"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9" fillId="0" borderId="10" xfId="0" applyFont="1" applyBorder="1" applyAlignment="1">
      <alignment horizontal="center"/>
    </xf>
    <xf numFmtId="166" fontId="9" fillId="0" borderId="1" xfId="0" applyNumberFormat="1" applyFont="1" applyBorder="1"/>
    <xf numFmtId="166" fontId="9" fillId="0" borderId="5" xfId="0" applyNumberFormat="1" applyFont="1" applyBorder="1"/>
    <xf numFmtId="0" fontId="7" fillId="0" borderId="1" xfId="0" applyFont="1" applyBorder="1" applyAlignment="1">
      <alignment horizontal="right"/>
    </xf>
    <xf numFmtId="0" fontId="10" fillId="0" borderId="6" xfId="0" applyFont="1" applyBorder="1" applyAlignment="1">
      <alignment horizontal="center"/>
    </xf>
    <xf numFmtId="0" fontId="10" fillId="0" borderId="7" xfId="0" applyFont="1" applyBorder="1" applyAlignment="1">
      <alignment horizontal="center"/>
    </xf>
    <xf numFmtId="164" fontId="10" fillId="0" borderId="8" xfId="0" applyNumberFormat="1" applyFont="1" applyBorder="1" applyAlignment="1">
      <alignment horizontal="center"/>
    </xf>
    <xf numFmtId="0" fontId="10" fillId="0" borderId="8" xfId="0" applyFont="1" applyBorder="1" applyAlignment="1">
      <alignment horizontal="center"/>
    </xf>
    <xf numFmtId="0" fontId="9" fillId="0" borderId="1" xfId="0" applyFont="1" applyBorder="1"/>
    <xf numFmtId="0" fontId="9" fillId="0" borderId="5" xfId="0" applyFont="1" applyBorder="1"/>
    <xf numFmtId="0" fontId="3" fillId="0" borderId="6" xfId="0" applyFont="1" applyBorder="1"/>
    <xf numFmtId="0" fontId="3" fillId="0" borderId="8" xfId="0" applyFont="1" applyBorder="1"/>
    <xf numFmtId="0" fontId="3" fillId="0" borderId="9" xfId="0" applyFont="1" applyBorder="1"/>
    <xf numFmtId="0" fontId="3" fillId="0" borderId="10" xfId="0" applyFont="1" applyBorder="1"/>
    <xf numFmtId="0" fontId="3" fillId="0" borderId="7" xfId="0" applyFont="1" applyBorder="1"/>
    <xf numFmtId="166" fontId="2" fillId="0" borderId="1" xfId="0" applyNumberFormat="1" applyFont="1" applyBorder="1"/>
    <xf numFmtId="166" fontId="7" fillId="0" borderId="1" xfId="0" applyNumberFormat="1" applyFont="1" applyBorder="1" applyAlignment="1">
      <alignment horizontal="left"/>
    </xf>
    <xf numFmtId="0" fontId="3" fillId="0" borderId="1" xfId="0" applyFont="1" applyBorder="1"/>
    <xf numFmtId="0" fontId="7" fillId="0" borderId="0" xfId="0" applyFont="1"/>
    <xf numFmtId="166" fontId="7" fillId="0" borderId="0" xfId="0" applyNumberFormat="1" applyFont="1"/>
    <xf numFmtId="0" fontId="3" fillId="0" borderId="0" xfId="0" applyFont="1" applyAlignment="1">
      <alignment vertical="center" wrapText="1"/>
    </xf>
    <xf numFmtId="0" fontId="11" fillId="2" borderId="12" xfId="0" applyFont="1" applyFill="1" applyBorder="1" applyAlignment="1">
      <alignment horizontal="left"/>
    </xf>
    <xf numFmtId="0" fontId="11" fillId="2" borderId="13" xfId="0" applyFont="1" applyFill="1" applyBorder="1" applyAlignment="1">
      <alignment horizontal="left"/>
    </xf>
    <xf numFmtId="0" fontId="11" fillId="2" borderId="14" xfId="0" applyFont="1" applyFill="1" applyBorder="1" applyAlignment="1">
      <alignment horizontal="left"/>
    </xf>
    <xf numFmtId="167" fontId="11" fillId="3" borderId="15" xfId="0" applyNumberFormat="1" applyFont="1" applyFill="1" applyBorder="1" applyAlignment="1">
      <alignment horizontal="right"/>
    </xf>
    <xf numFmtId="0" fontId="11" fillId="3" borderId="0" xfId="0" applyFont="1" applyFill="1" applyAlignment="1">
      <alignment horizontal="left"/>
    </xf>
    <xf numFmtId="0" fontId="12" fillId="0" borderId="0" xfId="0" applyFont="1" applyAlignment="1">
      <alignment horizontal="left"/>
    </xf>
    <xf numFmtId="0" fontId="11" fillId="3" borderId="0" xfId="0" applyFont="1" applyFill="1"/>
    <xf numFmtId="0" fontId="11" fillId="3" borderId="16" xfId="0" applyFont="1" applyFill="1" applyBorder="1"/>
    <xf numFmtId="167" fontId="11" fillId="4" borderId="15" xfId="0" applyNumberFormat="1" applyFont="1" applyFill="1" applyBorder="1" applyAlignment="1">
      <alignment horizontal="right"/>
    </xf>
    <xf numFmtId="0" fontId="11" fillId="4" borderId="0" xfId="0" applyFont="1" applyFill="1" applyAlignment="1">
      <alignment horizontal="left"/>
    </xf>
    <xf numFmtId="0" fontId="11" fillId="4" borderId="0" xfId="0" applyFont="1" applyFill="1"/>
    <xf numFmtId="0" fontId="11" fillId="4" borderId="16" xfId="0" applyFont="1" applyFill="1" applyBorder="1"/>
    <xf numFmtId="0" fontId="11" fillId="4" borderId="0" xfId="0" applyFont="1" applyFill="1" applyAlignment="1">
      <alignment horizontal="right"/>
    </xf>
    <xf numFmtId="0" fontId="13" fillId="0" borderId="16" xfId="0" applyFont="1" applyBorder="1" applyAlignment="1">
      <alignment horizontal="left"/>
    </xf>
    <xf numFmtId="0" fontId="14" fillId="5" borderId="0" xfId="0" applyFont="1" applyFill="1" applyAlignment="1">
      <alignment horizontal="left"/>
    </xf>
    <xf numFmtId="0" fontId="11" fillId="3" borderId="0" xfId="0" applyFont="1" applyFill="1" applyAlignment="1">
      <alignment horizontal="right"/>
    </xf>
    <xf numFmtId="167" fontId="11" fillId="4" borderId="17" xfId="0" applyNumberFormat="1" applyFont="1" applyFill="1" applyBorder="1" applyAlignment="1">
      <alignment horizontal="right"/>
    </xf>
    <xf numFmtId="0" fontId="11" fillId="4" borderId="18" xfId="0" applyFont="1" applyFill="1" applyBorder="1" applyAlignment="1">
      <alignment horizontal="left"/>
    </xf>
    <xf numFmtId="0" fontId="11" fillId="4" borderId="18" xfId="0" applyFont="1" applyFill="1" applyBorder="1"/>
    <xf numFmtId="0" fontId="15" fillId="0" borderId="18" xfId="0" applyFont="1" applyBorder="1" applyAlignment="1">
      <alignment horizontal="left"/>
    </xf>
    <xf numFmtId="0" fontId="4" fillId="0" borderId="0" xfId="0" applyFont="1" applyAlignment="1">
      <alignment wrapText="1"/>
    </xf>
    <xf numFmtId="0" fontId="1" fillId="0" borderId="1" xfId="0" applyFont="1" applyBorder="1" applyAlignment="1">
      <alignment horizontal="center" wrapText="1"/>
    </xf>
    <xf numFmtId="0" fontId="2" fillId="0" borderId="1" xfId="0" applyFont="1" applyBorder="1" applyAlignment="1">
      <alignment horizontal="left"/>
    </xf>
    <xf numFmtId="0" fontId="2" fillId="0" borderId="1" xfId="0" applyFont="1" applyBorder="1" applyAlignment="1">
      <alignment horizontal="left" vertical="center"/>
    </xf>
    <xf numFmtId="0" fontId="3" fillId="0" borderId="1" xfId="0" applyFont="1" applyBorder="1" applyAlignment="1">
      <alignment horizontal="left"/>
    </xf>
    <xf numFmtId="0" fontId="1" fillId="0" borderId="19" xfId="0" applyFont="1" applyBorder="1" applyAlignment="1">
      <alignment horizontal="center" wrapText="1"/>
    </xf>
    <xf numFmtId="0" fontId="1" fillId="0" borderId="5" xfId="0" applyFont="1" applyBorder="1" applyAlignment="1">
      <alignment horizontal="center" wrapText="1"/>
    </xf>
    <xf numFmtId="0" fontId="8" fillId="0" borderId="11" xfId="0" applyFont="1" applyBorder="1"/>
    <xf numFmtId="0" fontId="7" fillId="0" borderId="4" xfId="0" applyFont="1" applyBorder="1" applyAlignment="1">
      <alignment horizontal="center"/>
    </xf>
    <xf numFmtId="0" fontId="8" fillId="0" borderId="3" xfId="0" applyFont="1" applyBorder="1"/>
    <xf numFmtId="0" fontId="8" fillId="0" borderId="2" xfId="0" applyFont="1" applyBorder="1"/>
    <xf numFmtId="0" fontId="11" fillId="4" borderId="0" xfId="0" applyFont="1" applyFill="1" applyAlignment="1">
      <alignment horizontal="left"/>
    </xf>
    <xf numFmtId="0" fontId="0" fillId="0" borderId="0" xfId="0"/>
    <xf numFmtId="0" fontId="12" fillId="0" borderId="0" xfId="0" applyFont="1" applyAlignment="1">
      <alignment horizontal="left"/>
    </xf>
    <xf numFmtId="0" fontId="11" fillId="3" borderId="0" xfId="0" applyFont="1" applyFill="1" applyAlignment="1">
      <alignment horizontal="left"/>
    </xf>
    <xf numFmtId="0" fontId="11" fillId="4" borderId="18" xfId="0" applyFont="1" applyFill="1" applyBorder="1" applyAlignment="1">
      <alignment horizontal="left"/>
    </xf>
    <xf numFmtId="0" fontId="8" fillId="0" borderId="18" xfId="0" applyFont="1" applyBorder="1"/>
    <xf numFmtId="0" fontId="15" fillId="0" borderId="18"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q\Desktop\KLTN_Project\M&#7851;u%20Ph&#226;n%20c&#244;ng%20GVHD%20BCTT%20-%20KLTN%202025%20-%202026%20Final.xlsx" TargetMode="External"/><Relationship Id="rId1" Type="http://schemas.openxmlformats.org/officeDocument/2006/relationships/externalLinkPath" Target="M&#7851;u%20Ph&#226;n%20c&#244;ng%20GVHD%20BCTT%20-%20KLTN%202025%20-%202026%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hân công"/>
      <sheetName val="Sheet5"/>
      <sheetName val="Số bài mỗi hội đồng"/>
      <sheetName val="Thù lao"/>
      <sheetName val="Bài nộp"/>
      <sheetName val="Sheet1"/>
    </sheetNames>
    <sheetDataSet>
      <sheetData sheetId="0">
        <row r="2">
          <cell r="B2" t="str">
            <v>K224141715</v>
          </cell>
          <cell r="C2" t="str">
            <v>Phạm Thụy Phương Dung</v>
          </cell>
          <cell r="D2" t="str">
            <v>K22414C</v>
          </cell>
          <cell r="E2" t="str">
            <v>X</v>
          </cell>
          <cell r="F2" t="str">
            <v>X</v>
          </cell>
          <cell r="H2" t="str">
            <v>MACHINE LEARNING-BASED EARLY WARNING SYSTEM OF FINANCIAL BUBBLES: EVIDENCE FROM VN-INDEX AND HNX-INDEX</v>
          </cell>
          <cell r="I2" t="str">
            <v>Tiếng Anh</v>
          </cell>
          <cell r="J2" t="str">
            <v>Tiếng Anh</v>
          </cell>
          <cell r="K2" t="str">
            <v>https://drive.google.com/open?id=1roGwRX1qQWVB3DYsV7C8leHhhPo-3mOn</v>
          </cell>
          <cell r="L2" t="str">
            <v>PGS. TS Lê Đức Quang Tú</v>
          </cell>
          <cell r="N2" t="str">
            <v>TS Nguyễn Thanh Liêm</v>
          </cell>
          <cell r="O2" t="str">
            <v>TS Nguyễn Trung Hiếu</v>
          </cell>
          <cell r="P2" t="str">
            <v>ThS Ngô Phú Thanh</v>
          </cell>
          <cell r="Q2" t="str">
            <v>TS Nguyễn Thanh Liêm</v>
          </cell>
          <cell r="R2" t="str">
            <v>01</v>
          </cell>
          <cell r="S2" t="str">
            <v>8h00 sáng thứ năm ngày 05/3/2026</v>
          </cell>
        </row>
        <row r="3">
          <cell r="B3" t="str">
            <v>K224141738</v>
          </cell>
          <cell r="C3" t="str">
            <v>Vũ Ngọc Thuỷ Tiên</v>
          </cell>
          <cell r="D3" t="str">
            <v>K22414C</v>
          </cell>
          <cell r="E3" t="str">
            <v>X</v>
          </cell>
          <cell r="F3" t="str">
            <v>X</v>
          </cell>
          <cell r="H3" t="str">
            <v>ỨNG DỤNG MACHINE LEARNING ĐỂ PHÁT HIỆN RỦI RO SAI LỆCH TRONG BÁO CÁO TÀI CHÍNH CỦA CÁC CÔNG TY ĐƯỢC NIÊM YẾT TRÊN SÀN GIAO DỊCH CHỨNG KHOÁN</v>
          </cell>
          <cell r="I3" t="str">
            <v>Tiếng Anh</v>
          </cell>
          <cell r="J3" t="str">
            <v>Tiếng Việt</v>
          </cell>
          <cell r="K3" t="str">
            <v>KLTN_K224141738_Vũ Ngọc Thuỷ Tiên.pdf</v>
          </cell>
          <cell r="L3" t="str">
            <v>PGS. TS Lê Đức Quang Tú</v>
          </cell>
          <cell r="M3" t="str">
            <v>Nộp bài trễ (04/3)</v>
          </cell>
          <cell r="N3" t="str">
            <v>TS Nguyễn Thanh Liêm</v>
          </cell>
          <cell r="O3" t="str">
            <v>TS Nguyễn Trung Hiếu</v>
          </cell>
          <cell r="P3" t="str">
            <v>ThS Ngô Phú Thanh</v>
          </cell>
          <cell r="Q3" t="str">
            <v>TS Nguyễn Trung Hiếu</v>
          </cell>
          <cell r="R3" t="str">
            <v>01</v>
          </cell>
          <cell r="S3" t="str">
            <v>8h00 sáng thứ năm ngày 05/3/2026</v>
          </cell>
        </row>
        <row r="4">
          <cell r="B4" t="str">
            <v>K224141652</v>
          </cell>
          <cell r="C4" t="str">
            <v>Lê Phúc Chí</v>
          </cell>
          <cell r="D4" t="str">
            <v>K22414</v>
          </cell>
          <cell r="E4" t="str">
            <v>X</v>
          </cell>
          <cell r="F4" t="str">
            <v>X</v>
          </cell>
          <cell r="H4" t="str">
            <v>ỨNG DỤNG MÔ HÌNH HỌC SÂU VÀ HỆ THỐNG TRUY XUẤT THÔNG TIN ĐA CHỈ MỤC TRONG TƯ VẤN ĐẦU TƯ</v>
          </cell>
          <cell r="I4" t="str">
            <v>Tiếng Việt</v>
          </cell>
          <cell r="J4" t="str">
            <v>Tiếng Việt</v>
          </cell>
          <cell r="K4" t="str">
            <v>https://drive.google.com/open?id=1jc7fXPv1wf52g4ApMQpNbwU67t9CZQbi</v>
          </cell>
          <cell r="L4" t="str">
            <v>PGS. TS Nguyễn Anh Phong</v>
          </cell>
          <cell r="N4" t="str">
            <v>TS Nguyễn Thanh Liêm</v>
          </cell>
          <cell r="O4" t="str">
            <v>TS Nguyễn Trung Hiếu</v>
          </cell>
          <cell r="P4" t="str">
            <v>ThS Ngô Phú Thanh</v>
          </cell>
          <cell r="Q4" t="str">
            <v>TS Nguyễn Trung Hiếu</v>
          </cell>
          <cell r="R4" t="str">
            <v>01</v>
          </cell>
          <cell r="S4" t="str">
            <v>8h00 sáng thứ năm ngày 05/3/2026</v>
          </cell>
        </row>
        <row r="5">
          <cell r="B5" t="str">
            <v>K224141654</v>
          </cell>
          <cell r="C5" t="str">
            <v>Đào Mỹ Duyên</v>
          </cell>
          <cell r="D5" t="str">
            <v>K22414</v>
          </cell>
          <cell r="E5" t="str">
            <v>X</v>
          </cell>
          <cell r="F5" t="str">
            <v>X</v>
          </cell>
          <cell r="H5" t="str">
            <v>XÂY DỰNG KHUNG THEO DÕI TRẠNG THÁI TÀI CHÍNH CỦA CÁC DOANH NGHIỆP PHI TÀI CHÍNH NIÊM YẾT TRÊN SỞ GIAO DỊCH CHỨNG KHOÁN THÀNH PHỐ HỒ CHÍ MINH TRONG GIAI ĐOẠN 2020-2024</v>
          </cell>
          <cell r="I5" t="str">
            <v>Tiếng Anh</v>
          </cell>
          <cell r="J5" t="str">
            <v>Tiếng Việt</v>
          </cell>
          <cell r="K5" t="str">
            <v>https://drive.google.com/open?id=1l93mWrG5nsk37PxUH--elC6lb_9Jb_h1</v>
          </cell>
          <cell r="L5" t="str">
            <v>PGS. TS Nguyễn Anh Phong</v>
          </cell>
          <cell r="N5" t="str">
            <v>TS Nguyễn Thanh Liêm</v>
          </cell>
          <cell r="O5" t="str">
            <v>TS Nguyễn Trung Hiếu</v>
          </cell>
          <cell r="P5" t="str">
            <v>ThS Ngô Phú Thanh</v>
          </cell>
          <cell r="Q5" t="str">
            <v>ThS Ngô Phú Thanh</v>
          </cell>
          <cell r="R5" t="str">
            <v>01</v>
          </cell>
          <cell r="S5" t="str">
            <v>8h00 sáng thứ năm ngày 05/3/2026</v>
          </cell>
        </row>
        <row r="6">
          <cell r="B6" t="str">
            <v>K224141658</v>
          </cell>
          <cell r="C6" t="str">
            <v>Đào Ngọc Hà</v>
          </cell>
          <cell r="D6" t="str">
            <v>K22414</v>
          </cell>
          <cell r="E6" t="str">
            <v>X</v>
          </cell>
          <cell r="F6" t="str">
            <v>X</v>
          </cell>
          <cell r="H6" t="str">
            <v>ỨNG DỤNG HỌC MÁY TRONG DỰ BÁO RỦI RO QUẢN TRỊ LỢI NHUẬN VÀ TÁC ĐỘNG ĐẾN TỶ SUẤT SINH LỜI CỔ PHIẾU: BẰNG CHỨNG THỰC NGHIỆM TẠI VIỆT NAM</v>
          </cell>
          <cell r="I6" t="str">
            <v>Tiếng Việt</v>
          </cell>
          <cell r="J6" t="str">
            <v>Tiếng Việt</v>
          </cell>
          <cell r="K6" t="str">
            <v>https://drive.google.com/open?id=1153IDWCNz6trk9W6EzfQ2m3DdjqONwc1</v>
          </cell>
          <cell r="L6" t="str">
            <v>PGS. TS Nguyễn Anh Phong</v>
          </cell>
          <cell r="M6" t="str">
            <v>Có bài báo không liên quan, Tạp chí Công Thương</v>
          </cell>
          <cell r="N6" t="str">
            <v>TS Nguyễn Thanh Liêm</v>
          </cell>
          <cell r="O6" t="str">
            <v>TS Nguyễn Trung Hiếu</v>
          </cell>
          <cell r="P6" t="str">
            <v>ThS Ngô Phú Thanh</v>
          </cell>
          <cell r="Q6" t="str">
            <v>TS Nguyễn Thanh Liêm</v>
          </cell>
          <cell r="R6" t="str">
            <v>01</v>
          </cell>
          <cell r="S6" t="str">
            <v>8h00 sáng thứ năm ngày 05/3/2026</v>
          </cell>
        </row>
        <row r="7">
          <cell r="B7" t="str">
            <v>K224040570</v>
          </cell>
          <cell r="C7" t="str">
            <v>Nguyễn Yến Linh</v>
          </cell>
          <cell r="D7" t="str">
            <v>K22404C</v>
          </cell>
          <cell r="F7" t="str">
            <v>X</v>
          </cell>
          <cell r="G7" t="str">
            <v>X</v>
          </cell>
          <cell r="H7" t="str">
            <v/>
          </cell>
          <cell r="I7" t="str">
            <v>Tiếng Anh</v>
          </cell>
          <cell r="L7" t="str">
            <v>PGS. TS Lê Đức Quang Tú</v>
          </cell>
        </row>
        <row r="8">
          <cell r="B8" t="str">
            <v>K224040583</v>
          </cell>
          <cell r="C8" t="str">
            <v>Tô Như Quỳnh</v>
          </cell>
          <cell r="D8" t="str">
            <v>K22404C</v>
          </cell>
          <cell r="F8" t="str">
            <v>X</v>
          </cell>
          <cell r="G8" t="str">
            <v>X</v>
          </cell>
          <cell r="H8" t="str">
            <v/>
          </cell>
          <cell r="I8" t="str">
            <v>Tiếng Việt</v>
          </cell>
          <cell r="L8" t="str">
            <v>PGS. TS Lê Đức Quang Tú</v>
          </cell>
        </row>
        <row r="9">
          <cell r="B9" t="str">
            <v>K224040584</v>
          </cell>
          <cell r="C9" t="str">
            <v>Trần Ngọc Lan Thanh</v>
          </cell>
          <cell r="D9" t="str">
            <v>K22404C</v>
          </cell>
          <cell r="F9" t="str">
            <v>X</v>
          </cell>
          <cell r="G9" t="str">
            <v>X</v>
          </cell>
          <cell r="H9" t="str">
            <v/>
          </cell>
          <cell r="I9" t="str">
            <v>Tiếng Anh</v>
          </cell>
          <cell r="L9" t="str">
            <v>PGS. TS Lê Đức Quang Tú</v>
          </cell>
        </row>
        <row r="10">
          <cell r="B10" t="str">
            <v>K224040585</v>
          </cell>
          <cell r="C10" t="str">
            <v>Ngô Nguyễn Quỳnh Thơ</v>
          </cell>
          <cell r="D10" t="str">
            <v>K22404C</v>
          </cell>
          <cell r="F10" t="str">
            <v>X</v>
          </cell>
          <cell r="G10" t="str">
            <v>X</v>
          </cell>
          <cell r="H10" t="str">
            <v/>
          </cell>
          <cell r="I10" t="str">
            <v>Tiếng Anh</v>
          </cell>
          <cell r="L10" t="str">
            <v>PGS. TS Lê Đức Quang Tú</v>
          </cell>
        </row>
        <row r="11">
          <cell r="B11" t="str">
            <v>K224141659</v>
          </cell>
          <cell r="C11" t="str">
            <v>Mai Thị Thanh Hà</v>
          </cell>
          <cell r="D11" t="str">
            <v>K22414</v>
          </cell>
          <cell r="E11" t="str">
            <v>X</v>
          </cell>
          <cell r="F11" t="str">
            <v>X</v>
          </cell>
          <cell r="H11" t="str">
            <v>DỰ BÁO KHẢ NĂNG ĐẠT HIỆU QUẢ SỬ DỤNG TÀI SẢN TRÊN MỨC TRUNG VỊ NGÀNH CỦA CÁC DOANH NGHIỆP BẤT ĐỘNG SẢN NIÊM YẾT TẠI VIỆT NAM - SỬ DỤNG MÔ HÌNH HỌC MÁY</v>
          </cell>
          <cell r="I11" t="str">
            <v>Tiếng Việt</v>
          </cell>
          <cell r="J11" t="str">
            <v>Tiếng Việt</v>
          </cell>
          <cell r="K11" t="str">
            <v>https://drive.google.com/open?id=1bm7GSIXpzAZpqC1ATkUbutqdzq8eJory</v>
          </cell>
          <cell r="L11" t="str">
            <v>PGS. TS Nguyễn Anh Phong</v>
          </cell>
          <cell r="N11" t="str">
            <v>TS Nguyễn Thanh Liêm</v>
          </cell>
          <cell r="O11" t="str">
            <v>TS Nguyễn Trung Hiếu</v>
          </cell>
          <cell r="P11" t="str">
            <v>ThS Ngô Phú Thanh</v>
          </cell>
          <cell r="Q11" t="str">
            <v>TS Nguyễn Trung Hiếu</v>
          </cell>
          <cell r="R11" t="str">
            <v>01</v>
          </cell>
          <cell r="S11" t="str">
            <v>8h00 sáng thứ năm ngày 05/3/2026</v>
          </cell>
        </row>
        <row r="12">
          <cell r="B12" t="str">
            <v>K224141667</v>
          </cell>
          <cell r="C12" t="str">
            <v>Lê Thị Hương</v>
          </cell>
          <cell r="D12" t="str">
            <v>K22414</v>
          </cell>
          <cell r="E12" t="str">
            <v>X</v>
          </cell>
          <cell r="H12" t="str">
            <v>ỨNG DỤNG MÔ HÌNH ARIMA  VÀ HỌC SÂU TRONG DỰ BÁO HỆ SỐ PRICE-TO-EARNINGS NGÀNH HÀNG TIÊU DÙNG TRÊN THỊ TRƯỜNG  CHỨNG KHOÁN VIỆT NAM</v>
          </cell>
          <cell r="I12" t="str">
            <v>Tiếng Việt</v>
          </cell>
          <cell r="J12" t="str">
            <v>Tiếng Việt</v>
          </cell>
          <cell r="K12" t="str">
            <v>https://drive.google.com/open?id=1EbA-MSLsMnBHdQmrX3OV8YTaupwNCiqt</v>
          </cell>
          <cell r="L12" t="str">
            <v>PGS. TS Nguyễn Anh Phong</v>
          </cell>
          <cell r="N12" t="str">
            <v>TS Nguyễn Thanh Liêm</v>
          </cell>
          <cell r="O12" t="str">
            <v>TS Nguyễn Trung Hiếu</v>
          </cell>
          <cell r="P12" t="str">
            <v>ThS Ngô Phú Thanh</v>
          </cell>
          <cell r="Q12" t="str">
            <v>ThS Ngô Phú Thanh</v>
          </cell>
          <cell r="R12" t="str">
            <v>01</v>
          </cell>
          <cell r="S12" t="str">
            <v>8h00 sáng thứ năm ngày 05/3/2026</v>
          </cell>
        </row>
        <row r="13">
          <cell r="B13" t="str">
            <v>K224141714</v>
          </cell>
          <cell r="C13" t="str">
            <v>Lê Danh Bách</v>
          </cell>
          <cell r="D13" t="str">
            <v>K22414C</v>
          </cell>
          <cell r="E13" t="str">
            <v>X</v>
          </cell>
          <cell r="F13" t="str">
            <v>X</v>
          </cell>
          <cell r="H13" t="str">
            <v>MỐI QUAN HỆ PHI TUYẾN GIỮA THANH KHOẢN VÀ LỢI SUẤT TRÊN THỊ TRƯỜNG ETHEREUM: TIẾP CẬN HỌC MÁY VÀ SHAP TREEEXPLAINER</v>
          </cell>
          <cell r="I13" t="str">
            <v>Tiếng Việt</v>
          </cell>
          <cell r="J13" t="str">
            <v>Tiếng Việt</v>
          </cell>
          <cell r="K13" t="str">
            <v>https://drive.google.com/open?id=1iTEAtvZfBercHJesinF_8Lc_Gx6uBYzD</v>
          </cell>
          <cell r="L13" t="str">
            <v>PGS. TS Phạm Thị Thanh Xuân</v>
          </cell>
          <cell r="M13" t="str">
            <v>Có bài báo có liên quan</v>
          </cell>
          <cell r="N13" t="str">
            <v>TS Nguyễn Thanh Liêm</v>
          </cell>
          <cell r="O13" t="str">
            <v>TS Nguyễn Trung Hiếu</v>
          </cell>
          <cell r="P13" t="str">
            <v>ThS Ngô Phú Thanh</v>
          </cell>
          <cell r="Q13" t="str">
            <v>TS Nguyễn Thanh Liêm</v>
          </cell>
          <cell r="R13" t="str">
            <v>01</v>
          </cell>
          <cell r="S13" t="str">
            <v>8h00 sáng thứ năm ngày 05/3/2026</v>
          </cell>
        </row>
        <row r="14">
          <cell r="B14" t="str">
            <v>K224141730</v>
          </cell>
          <cell r="C14" t="str">
            <v>Đoàn Tuấn Nghĩa</v>
          </cell>
          <cell r="D14" t="str">
            <v>K22414C</v>
          </cell>
          <cell r="E14" t="str">
            <v>X</v>
          </cell>
          <cell r="F14" t="str">
            <v>X</v>
          </cell>
          <cell r="H14" t="str">
            <v>MACHINE LEARNING-BASED PREDICTION OF  FINANCIAL DISTRESS: EVIDENCE FROM NON-FINANCIAL LISTED COMPANIES IN VIETNAM (2010-2024)</v>
          </cell>
          <cell r="I14" t="str">
            <v>Tiếng Việt</v>
          </cell>
          <cell r="J14" t="str">
            <v>Tiếng Anh</v>
          </cell>
          <cell r="K14" t="str">
            <v>https://drive.google.com/open?id=1YKlFWxBwgZHNewtrzHHtpZYHTFxwdSjS</v>
          </cell>
          <cell r="L14" t="str">
            <v>PGS. TS Phạm Thị Thanh Xuân</v>
          </cell>
          <cell r="N14" t="str">
            <v>TS Nguyễn Thanh Liêm</v>
          </cell>
          <cell r="O14" t="str">
            <v>TS Nguyễn Trung Hiếu</v>
          </cell>
          <cell r="P14" t="str">
            <v>ThS Ngô Phú Thanh</v>
          </cell>
          <cell r="Q14" t="str">
            <v>TS Nguyễn Trung Hiếu</v>
          </cell>
          <cell r="R14" t="str">
            <v>01</v>
          </cell>
          <cell r="S14" t="str">
            <v>8h00 sáng thứ năm ngày 05/3/2026</v>
          </cell>
        </row>
        <row r="15">
          <cell r="B15" t="str">
            <v>K224141733</v>
          </cell>
          <cell r="C15" t="str">
            <v>Bùi Đặng Quỳnh Như</v>
          </cell>
          <cell r="D15" t="str">
            <v>K22414C</v>
          </cell>
          <cell r="E15" t="str">
            <v>X</v>
          </cell>
          <cell r="F15" t="str">
            <v>X</v>
          </cell>
          <cell r="H15" t="str">
            <v>ỨNG DỤNG MÔ HÌNH BLACK–LITTERMAN KẾT HỢP  REGULARIZED REGRESSION TRONG TỐI ƯU HÓA DANH MỤC  ĐẦU TƯ TẠI THỊ TRƯỜNG CHỨNG KHOÁN VIỆT NAM: BẰNG  CHỨNG TỪ TẬP CỔ PHIẾU VN30-2026 GIAI ĐOẠN 2021-2026</v>
          </cell>
          <cell r="I15" t="str">
            <v>Tiếng Anh</v>
          </cell>
          <cell r="J15" t="str">
            <v>Tiếng Việt</v>
          </cell>
          <cell r="K15" t="str">
            <v>https://drive.google.com/open?id=1JjgXaN9TNlzrcDVCl7QjPQBhYsOK68qR</v>
          </cell>
          <cell r="L15" t="str">
            <v>PGS. TS Phạm Thị Thanh Xuân</v>
          </cell>
          <cell r="N15" t="str">
            <v>TS Nguyễn Thanh Liêm</v>
          </cell>
          <cell r="O15" t="str">
            <v>TS Nguyễn Trung Hiếu</v>
          </cell>
          <cell r="P15" t="str">
            <v>ThS Ngô Phú Thanh</v>
          </cell>
          <cell r="Q15" t="str">
            <v>ThS Ngô Phú Thanh</v>
          </cell>
          <cell r="R15" t="str">
            <v>01</v>
          </cell>
          <cell r="S15" t="str">
            <v>8h00 sáng thứ năm ngày 05/3/2026</v>
          </cell>
        </row>
        <row r="16">
          <cell r="B16" t="str">
            <v>K224141711</v>
          </cell>
          <cell r="C16" t="str">
            <v>Lê Phú An</v>
          </cell>
          <cell r="D16" t="str">
            <v>K22414C</v>
          </cell>
          <cell r="E16" t="str">
            <v>X</v>
          </cell>
          <cell r="F16" t="str">
            <v>X</v>
          </cell>
          <cell r="H16" t="str">
            <v>ỨNG DỤNG SURROGATE ML/DL DỰ BÁO EVE VÀ EAR TRONG QUẢN LÝ IRRBB</v>
          </cell>
          <cell r="I16" t="str">
            <v>Tiếng Việt</v>
          </cell>
          <cell r="J16" t="str">
            <v>Tiếng Việt</v>
          </cell>
          <cell r="K16" t="str">
            <v>https://drive.google.com/open?id=18tJZVAsGfXKDv7Q1HFdrAi2hVfn4fFOB</v>
          </cell>
          <cell r="L16" t="str">
            <v>TS Nguyễn Thôn Dã</v>
          </cell>
          <cell r="N16" t="str">
            <v>TS Nguyễn Thanh Liêm</v>
          </cell>
          <cell r="O16" t="str">
            <v>TS Nguyễn Trung Hiếu</v>
          </cell>
          <cell r="P16" t="str">
            <v>ThS Ngô Phú Thanh</v>
          </cell>
          <cell r="Q16" t="str">
            <v>TS Nguyễn Thanh Liêm</v>
          </cell>
          <cell r="R16" t="str">
            <v>01</v>
          </cell>
          <cell r="S16" t="str">
            <v>8h00 sáng thứ năm ngày 05/3/2026</v>
          </cell>
        </row>
        <row r="17">
          <cell r="B17" t="str">
            <v>K224141655</v>
          </cell>
          <cell r="C17" t="str">
            <v>Lê Thị Mỹ Duyên</v>
          </cell>
          <cell r="D17" t="str">
            <v>K22414</v>
          </cell>
          <cell r="E17" t="str">
            <v>X</v>
          </cell>
          <cell r="F17" t="str">
            <v>X</v>
          </cell>
          <cell r="H17" t="str">
            <v>XÂY DỰNG HỆ THỐNG RAG PHÂN TÍCH BÁO CÁO TÀI CHÍNH TỰ ĐỘNG</v>
          </cell>
          <cell r="I17" t="str">
            <v>Tiếng Việt</v>
          </cell>
          <cell r="J17" t="str">
            <v>Tiếng Việt</v>
          </cell>
          <cell r="K17" t="str">
            <v>https://drive.google.com/open?id=1IQ_vRg57sOvz5O5OJg-FXxkH4N5gZTWy</v>
          </cell>
          <cell r="L17" t="str">
            <v>ThS Ngô Phú Thanh</v>
          </cell>
          <cell r="N17" t="str">
            <v>PGS. TS Lê Đức Quang Tú</v>
          </cell>
          <cell r="O17" t="str">
            <v>TS Nguyễn Thôn Dã</v>
          </cell>
          <cell r="P17" t="str">
            <v>TS Võ Thị Ngọc Trinh</v>
          </cell>
          <cell r="Q17" t="str">
            <v>TS Nguyễn Thôn Dã</v>
          </cell>
          <cell r="R17" t="str">
            <v>02</v>
          </cell>
          <cell r="S17" t="str">
            <v>8h00 sáng thứ năm ngày 05/3/2026</v>
          </cell>
        </row>
        <row r="18">
          <cell r="B18" t="str">
            <v>K224141668</v>
          </cell>
          <cell r="C18" t="str">
            <v>Phan Vũ Đình Khang</v>
          </cell>
          <cell r="D18" t="str">
            <v>K22414</v>
          </cell>
          <cell r="E18" t="str">
            <v>X</v>
          </cell>
          <cell r="F18" t="str">
            <v>X</v>
          </cell>
          <cell r="H18" t="str">
            <v xml:space="preserve">XÂY DỰNG HỆ THỐNG HỖ TRỢ QUYẾT ĐỊNH ĐẦU TƯ CHỨNG KHOÁN DỰA TRÊN MACHINE LEARNING, TỐI ƯU DANH MỤC THEO MARKOWITZ VÀ CHATBOT SỬ DỤNG MÔ HÌNH NGÔN NGỮ LỚN </v>
          </cell>
          <cell r="I18" t="str">
            <v>Tiếng Việt</v>
          </cell>
          <cell r="J18" t="str">
            <v>Tiếng Việt</v>
          </cell>
          <cell r="K18" t="str">
            <v>https://drive.google.com/open?id=1lGSvce6eokP8gde93QUuRwi_6C08vTCI</v>
          </cell>
          <cell r="L18" t="str">
            <v>ThS Ngô Phú Thanh</v>
          </cell>
          <cell r="N18" t="str">
            <v>PGS. TS Lê Đức Quang Tú</v>
          </cell>
          <cell r="O18" t="str">
            <v>TS Nguyễn Thôn Dã</v>
          </cell>
          <cell r="P18" t="str">
            <v>TS Võ Thị Ngọc Trinh</v>
          </cell>
          <cell r="Q18" t="str">
            <v>TS Võ Thị Ngọc Trinh</v>
          </cell>
          <cell r="R18" t="str">
            <v>02</v>
          </cell>
          <cell r="S18" t="str">
            <v>8h00 sáng thứ năm ngày 05/3/2026</v>
          </cell>
        </row>
        <row r="19">
          <cell r="B19" t="str">
            <v>K224141703</v>
          </cell>
          <cell r="C19" t="str">
            <v>Thông Thị Quế Trân</v>
          </cell>
          <cell r="D19" t="str">
            <v>K22414</v>
          </cell>
          <cell r="E19" t="str">
            <v>X</v>
          </cell>
          <cell r="F19" t="str">
            <v>X</v>
          </cell>
          <cell r="H19" t="str">
            <v>DỰ BÁO TỶ SUẤT SINH LỜI VỐN CHỦ SỞ HỮU CỦA NGÀNH BẤT ĐỘNG SẢN BẰNG MACHINE LEARNING</v>
          </cell>
          <cell r="I19" t="str">
            <v>Tiếng Việt</v>
          </cell>
          <cell r="J19" t="str">
            <v>Tiếng Việt</v>
          </cell>
          <cell r="K19" t="str">
            <v>https://drive.google.com/open?id=1N3lcfAsakig5w7KQk8bS-G6dankkAlwF</v>
          </cell>
          <cell r="L19" t="str">
            <v>ThS Ngô Phú Thanh</v>
          </cell>
          <cell r="N19" t="str">
            <v>PGS. TS Lê Đức Quang Tú</v>
          </cell>
          <cell r="O19" t="str">
            <v>TS Nguyễn Thôn Dã</v>
          </cell>
          <cell r="P19" t="str">
            <v>TS Võ Thị Ngọc Trinh</v>
          </cell>
          <cell r="Q19" t="str">
            <v>PGS. TS Lê Đức Quang Tú</v>
          </cell>
          <cell r="R19" t="str">
            <v>02</v>
          </cell>
          <cell r="S19" t="str">
            <v>8h00 sáng thứ năm ngày 05/3/2026</v>
          </cell>
        </row>
        <row r="20">
          <cell r="B20" t="str">
            <v>K224141649</v>
          </cell>
          <cell r="C20" t="str">
            <v>Trần Lê Quang An</v>
          </cell>
          <cell r="D20" t="str">
            <v>K22414</v>
          </cell>
          <cell r="E20" t="str">
            <v>X</v>
          </cell>
          <cell r="F20" t="str">
            <v>X</v>
          </cell>
          <cell r="H20" t="str">
            <v>XÂY DỰNG CHATBOT HỖ TRỢ RA KHUYẾN NGHỊ ĐẦU TƯ TIỀN ĐIỆN TỬ</v>
          </cell>
          <cell r="I20" t="str">
            <v>Tiếng Việt</v>
          </cell>
          <cell r="J20" t="str">
            <v>Tiếng Việt</v>
          </cell>
          <cell r="K20" t="str">
            <v>https://drive.google.com/open?id=1RN1TNxYPyT1vVOP2nd3VKKLv5ByX3D5R</v>
          </cell>
          <cell r="L20" t="str">
            <v>ThS Ngô Phú Thanh</v>
          </cell>
          <cell r="N20" t="str">
            <v>PGS. TS Lê Đức Quang Tú</v>
          </cell>
          <cell r="O20" t="str">
            <v>TS Nguyễn Thôn Dã</v>
          </cell>
          <cell r="P20" t="str">
            <v>TS Võ Thị Ngọc Trinh</v>
          </cell>
          <cell r="Q20" t="str">
            <v>TS Nguyễn Thôn Dã</v>
          </cell>
          <cell r="R20" t="str">
            <v>02</v>
          </cell>
          <cell r="S20" t="str">
            <v>8h00 sáng thứ năm ngày 05/3/2026</v>
          </cell>
        </row>
        <row r="21">
          <cell r="B21" t="str">
            <v>K224141657</v>
          </cell>
          <cell r="C21" t="str">
            <v>Bùi Thị Ngọc Hà</v>
          </cell>
          <cell r="D21" t="str">
            <v>K22414</v>
          </cell>
          <cell r="E21" t="str">
            <v>X</v>
          </cell>
          <cell r="H21" t="str">
            <v>PHÂN TÍCH THỰC NGHIỆM TÁC ĐỘNG CỦA THÔNG TIN CƠ BẢN, KỸ THUẬT VÀ TÂM LÝ ĐẾN DỰ BÁO XU HƯỚNG CỔ PHIẾU THEO NGÀNH: ỨNG DỤNG MẠNG NƠ-RON ĐA LỚP (MLP)</v>
          </cell>
          <cell r="I21" t="str">
            <v>Tiếng Việt</v>
          </cell>
          <cell r="J21" t="str">
            <v>Tiếng Việt</v>
          </cell>
          <cell r="K21" t="str">
            <v>https://drive.google.com/open?id=1TAM1UI94ZpbJT2dn4apzTYwpPmqKkRIH</v>
          </cell>
          <cell r="L21" t="str">
            <v>ThS Ngô Phú Thanh</v>
          </cell>
          <cell r="N21" t="str">
            <v>PGS. TS Lê Đức Quang Tú</v>
          </cell>
          <cell r="O21" t="str">
            <v>TS Nguyễn Thôn Dã</v>
          </cell>
          <cell r="P21" t="str">
            <v>TS Võ Thị Ngọc Trinh</v>
          </cell>
          <cell r="Q21" t="str">
            <v>TS Võ Thị Ngọc Trinh</v>
          </cell>
          <cell r="R21" t="str">
            <v>02</v>
          </cell>
          <cell r="S21" t="str">
            <v>8h00 sáng thứ năm ngày 05/3/2026</v>
          </cell>
        </row>
        <row r="22">
          <cell r="B22" t="str">
            <v>K224141717</v>
          </cell>
          <cell r="C22" t="str">
            <v>Trần Đức Duy</v>
          </cell>
          <cell r="D22" t="str">
            <v>K22414C</v>
          </cell>
          <cell r="E22" t="str">
            <v>X</v>
          </cell>
          <cell r="H22" t="str">
            <v>MỨC ĐỘ TÁC ĐỘNG CỦA FINTECH ĐẾN HIỆU QUẢ HOẠT ĐỘNG CỦA NGÂN HÀNG THƯƠNG MẠI NIÊM YẾT TẠI VIỆT NAM TRONG GIAI ĐOẠN 2014 - 2024</v>
          </cell>
          <cell r="I22" t="str">
            <v>Tiếng Việt</v>
          </cell>
          <cell r="J22" t="str">
            <v>Tiếng Việt</v>
          </cell>
          <cell r="K22" t="str">
            <v>https://drive.google.com/open?id=1SFyMzggOYrOCej4FkZcKyxcOLQXBrPOj</v>
          </cell>
          <cell r="L22" t="str">
            <v>ThS Phạm Chí Khoa</v>
          </cell>
          <cell r="N22" t="str">
            <v>PGS. TS Lê Đức Quang Tú</v>
          </cell>
          <cell r="O22" t="str">
            <v>TS Nguyễn Thôn Dã</v>
          </cell>
          <cell r="P22" t="str">
            <v>TS Võ Thị Ngọc Trinh</v>
          </cell>
          <cell r="Q22" t="str">
            <v>PGS. TS Lê Đức Quang Tú</v>
          </cell>
          <cell r="R22" t="str">
            <v>02</v>
          </cell>
          <cell r="S22" t="str">
            <v>8h00 sáng thứ năm ngày 05/3/2026</v>
          </cell>
        </row>
        <row r="23">
          <cell r="B23" t="str">
            <v>K224141741</v>
          </cell>
          <cell r="C23" t="str">
            <v>Nguyễn Ngọc Thảo Trâm</v>
          </cell>
          <cell r="D23" t="str">
            <v>K22414C</v>
          </cell>
          <cell r="E23" t="str">
            <v>X</v>
          </cell>
          <cell r="F23" t="str">
            <v>X</v>
          </cell>
          <cell r="H23" t="str">
            <v>APPLICATION OF MACHINE LEARNING IN BREAKOUT SIGNAL IDENTIFICATION IN THE VIETNAMESE STOCK MARKET</v>
          </cell>
          <cell r="I23" t="str">
            <v>Tiếng Anh</v>
          </cell>
          <cell r="J23" t="str">
            <v>Tiếng Anh</v>
          </cell>
          <cell r="K23" t="str">
            <v>https://drive.google.com/open?id=12cFSDH0GuX9HjaeSIOjZeugd06MdvNM8</v>
          </cell>
          <cell r="L23" t="str">
            <v>ThS Phạm Chí Khoa</v>
          </cell>
          <cell r="N23" t="str">
            <v>PGS. TS Lê Đức Quang Tú</v>
          </cell>
          <cell r="O23" t="str">
            <v>TS Nguyễn Thôn Dã</v>
          </cell>
          <cell r="P23" t="str">
            <v>TS Võ Thị Ngọc Trinh</v>
          </cell>
          <cell r="Q23" t="str">
            <v>PGS. TS Lê Đức Quang Tú</v>
          </cell>
          <cell r="R23" t="str">
            <v>02</v>
          </cell>
          <cell r="S23" t="str">
            <v>8h00 sáng thứ năm ngày 05/3/2026</v>
          </cell>
        </row>
        <row r="24">
          <cell r="B24" t="str">
            <v>K214142085</v>
          </cell>
          <cell r="C24" t="str">
            <v>Phan Minh Thức</v>
          </cell>
          <cell r="D24" t="str">
            <v>K21414</v>
          </cell>
          <cell r="E24" t="str">
            <v>X</v>
          </cell>
          <cell r="F24" t="str">
            <v>X</v>
          </cell>
          <cell r="H24" t="str">
            <v>BUILDING A MULTI-LEVEL FINANCIAL RISK RANKING AND EARLY WARNING SYSTEM FOR VIETNAMESE LISTED COMPANIES: APPLYING MACHINE LEARNING AND DEPLOYING A WEB DASHBOARD TO SUPPORT DIGITAL TRANSFORMATION</v>
          </cell>
          <cell r="I24" t="str">
            <v>Tiếng Anh</v>
          </cell>
          <cell r="J24" t="str">
            <v>Tiếng Anh</v>
          </cell>
          <cell r="K24" t="str">
            <v>https://drive.google.com/open?id=1KXMAUkRmNMu1emYJWtJmPBEJC4oSaAsu</v>
          </cell>
          <cell r="L24" t="str">
            <v>ThS Phan Huy Tâm</v>
          </cell>
          <cell r="N24" t="str">
            <v>PGS. TS Lê Đức Quang Tú</v>
          </cell>
          <cell r="O24" t="str">
            <v>TS Nguyễn Thôn Dã</v>
          </cell>
          <cell r="P24" t="str">
            <v>TS Võ Thị Ngọc Trinh</v>
          </cell>
          <cell r="Q24" t="str">
            <v>TS Nguyễn Thôn Dã</v>
          </cell>
          <cell r="R24" t="str">
            <v>02</v>
          </cell>
          <cell r="S24" t="str">
            <v>8h00 sáng thứ năm ngày 05/3/2026</v>
          </cell>
        </row>
        <row r="25">
          <cell r="B25" t="str">
            <v>K224141650</v>
          </cell>
          <cell r="C25" t="str">
            <v>Lưu Quỳnh Anh</v>
          </cell>
          <cell r="D25" t="str">
            <v>K22414</v>
          </cell>
          <cell r="E25" t="str">
            <v>X</v>
          </cell>
          <cell r="F25" t="str">
            <v>X</v>
          </cell>
          <cell r="H25" t="str">
            <v>NEWS-AWARE MULTI-AGENT REINFORCEMENT LEARNING FOR PORTFOLIO OPTIMIZATION WITH ADAPTIVE RISK CONTROL: EVIDENCE FROM THE VIETNAMESE EQUITY MARKET</v>
          </cell>
          <cell r="I25" t="str">
            <v>Tiếng Anh</v>
          </cell>
          <cell r="J25" t="str">
            <v>Tiếng Anh</v>
          </cell>
          <cell r="K25" t="str">
            <v>https://drive.google.com/open?id=13djDLGL9aZ3nBG4CqjNscOjeR1V1Fgf1</v>
          </cell>
          <cell r="L25" t="str">
            <v>ThS Phan Huy Tâm</v>
          </cell>
          <cell r="N25" t="str">
            <v>PGS. TS Lê Đức Quang Tú</v>
          </cell>
          <cell r="O25" t="str">
            <v>TS Nguyễn Thôn Dã</v>
          </cell>
          <cell r="P25" t="str">
            <v>TS Võ Thị Ngọc Trinh</v>
          </cell>
          <cell r="Q25" t="str">
            <v>TS Võ Thị Ngọc Trinh</v>
          </cell>
          <cell r="R25" t="str">
            <v>02</v>
          </cell>
          <cell r="S25" t="str">
            <v>8h00 sáng thứ năm ngày 05/3/2026</v>
          </cell>
        </row>
        <row r="26">
          <cell r="B26" t="str">
            <v>K224141651</v>
          </cell>
          <cell r="C26" t="str">
            <v>Nguyễn Ngọc Bảo Châu</v>
          </cell>
          <cell r="D26" t="str">
            <v>K22414</v>
          </cell>
          <cell r="E26" t="str">
            <v>X</v>
          </cell>
          <cell r="F26" t="str">
            <v>X</v>
          </cell>
          <cell r="H26" t="str">
            <v>INTEGRATING CONDITIONAL VALUE AT RISK INTO HIERARCHICAL RISK PARITY: EVIDENCE FROM THE VIETNAMESE MULTI-ASSET MARKET</v>
          </cell>
          <cell r="I26" t="str">
            <v>Tiếng Anh</v>
          </cell>
          <cell r="J26" t="str">
            <v>Tiếng Anh</v>
          </cell>
          <cell r="K26" t="str">
            <v>https://drive.google.com/open?id=1F-jRjtqt-14dhtWiA78S3WjXKNdQ6pC1</v>
          </cell>
          <cell r="L26" t="str">
            <v>ThS Phan Huy Tâm</v>
          </cell>
          <cell r="N26" t="str">
            <v>PGS. TS Lê Đức Quang Tú</v>
          </cell>
          <cell r="O26" t="str">
            <v>TS Nguyễn Thôn Dã</v>
          </cell>
          <cell r="P26" t="str">
            <v>TS Võ Thị Ngọc Trinh</v>
          </cell>
          <cell r="Q26" t="str">
            <v>PGS. TS Lê Đức Quang Tú</v>
          </cell>
          <cell r="R26" t="str">
            <v>02</v>
          </cell>
          <cell r="S26" t="str">
            <v>8h00 sáng thứ năm ngày 05/3/2026</v>
          </cell>
        </row>
        <row r="27">
          <cell r="B27" t="str">
            <v>K224141653</v>
          </cell>
          <cell r="C27" t="str">
            <v>Trần Nguyên Diễm</v>
          </cell>
          <cell r="D27" t="str">
            <v>K22414</v>
          </cell>
          <cell r="E27" t="str">
            <v>X</v>
          </cell>
          <cell r="F27" t="str">
            <v>X</v>
          </cell>
          <cell r="H27" t="str">
            <v>ỨNG DỤNG MACHINE LEARNING TRONG PHÁT HIỆN CÁC CHIẾN LƯỢC QUẢN TRỊ LỢI NHUẬN Ở DOANH NGHIỆP VIỆT NAM THEO TÌNH TRẠNG TÀI CHÍNH</v>
          </cell>
          <cell r="I27" t="str">
            <v>Tiếng Việt</v>
          </cell>
          <cell r="J27" t="str">
            <v>Tiếng Việt</v>
          </cell>
          <cell r="K27" t="str">
            <v>https://drive.google.com/open?id=1vzOw3FzKVSVE-vq7vQbOXk79ucHrj0Rr</v>
          </cell>
          <cell r="L27" t="str">
            <v>ThS Phan Huy Tâm</v>
          </cell>
          <cell r="N27" t="str">
            <v>PGS. TS Lê Đức Quang Tú</v>
          </cell>
          <cell r="O27" t="str">
            <v>TS Nguyễn Thôn Dã</v>
          </cell>
          <cell r="P27" t="str">
            <v>TS Võ Thị Ngọc Trinh</v>
          </cell>
          <cell r="Q27" t="str">
            <v>TS Nguyễn Thôn Dã</v>
          </cell>
          <cell r="R27" t="str">
            <v>02</v>
          </cell>
          <cell r="S27" t="str">
            <v>8h00 sáng thứ năm ngày 05/3/2026</v>
          </cell>
        </row>
        <row r="28">
          <cell r="B28" t="str">
            <v>K224141656</v>
          </cell>
          <cell r="C28" t="str">
            <v>Ngô Lam Giang</v>
          </cell>
          <cell r="D28" t="str">
            <v>K22414</v>
          </cell>
          <cell r="E28" t="str">
            <v>X</v>
          </cell>
          <cell r="H28" t="str">
            <v>ỨNG DỤNG MÔ HÌNH HỌC MÁY CÓ KHẢ NĂNG GIẢI THÍCH TRONG DỰ BÁO RỦI RO KIỆT QUỆ  TÀI CHÍNH CỦA CÁC DOANH NGHIỆP BẤT ĐỘNG SẢN NIÊM YẾT TẠI VIỆT NAM</v>
          </cell>
          <cell r="I28" t="str">
            <v>Tiếng Anh</v>
          </cell>
          <cell r="J28" t="str">
            <v>Tiếng Việt</v>
          </cell>
          <cell r="K28" t="str">
            <v>https://drive.google.com/open?id=1K2ZxRpl4NSKuDU44lsyNt3C8sasMGbzt</v>
          </cell>
          <cell r="L28" t="str">
            <v>ThS Phan Huy Tâm</v>
          </cell>
          <cell r="N28" t="str">
            <v>PGS. TS Lê Đức Quang Tú</v>
          </cell>
          <cell r="O28" t="str">
            <v>TS Nguyễn Thôn Dã</v>
          </cell>
          <cell r="P28" t="str">
            <v>TS Võ Thị Ngọc Trinh</v>
          </cell>
          <cell r="Q28" t="str">
            <v>TS Võ Thị Ngọc Trinh</v>
          </cell>
          <cell r="R28" t="str">
            <v>02</v>
          </cell>
          <cell r="S28" t="str">
            <v>8h00 sáng thứ năm ngày 05/3/2026</v>
          </cell>
        </row>
        <row r="29">
          <cell r="B29" t="str">
            <v>K224141690</v>
          </cell>
          <cell r="C29" t="str">
            <v>Bùi Bạch Đoan Tâm</v>
          </cell>
          <cell r="D29" t="str">
            <v>K22414</v>
          </cell>
          <cell r="E29" t="str">
            <v>X</v>
          </cell>
          <cell r="F29" t="str">
            <v>X</v>
          </cell>
          <cell r="H29" t="str">
            <v>TÁC ĐỘNG CỦA CÁC YẾU TỐ VĨ MÔ ĐẾN TỶ GIÁ TRONG GIAI ĐOẠN 2014-2023 : ỨNG DỤNG VECM VÀ MACHINE LEARNING DỰ TRONG DỰ BÁO</v>
          </cell>
          <cell r="I29" t="str">
            <v>Tiếng Việt</v>
          </cell>
          <cell r="J29" t="str">
            <v>Tiếng Việt</v>
          </cell>
          <cell r="K29" t="str">
            <v>https://drive.google.com/open?id=1rPSGxBx8ACS2FijTLvbAw1UTdVWKaPVf</v>
          </cell>
          <cell r="L29" t="str">
            <v>PGS. TS Nguyễn Anh Phong</v>
          </cell>
          <cell r="N29" t="str">
            <v>PGS. TS Phạm Thị Thanh Xuân</v>
          </cell>
          <cell r="O29" t="str">
            <v>ThS Phan Huy Tâm</v>
          </cell>
          <cell r="P29" t="str">
            <v>ThS Phạm Chí Khoa</v>
          </cell>
          <cell r="Q29" t="str">
            <v>PGS. TS Phạm Thị Thanh Xuân</v>
          </cell>
          <cell r="R29" t="str">
            <v>03</v>
          </cell>
          <cell r="S29" t="str">
            <v>8h00 sáng thứ năm ngày 05/3/2026</v>
          </cell>
        </row>
        <row r="30">
          <cell r="B30" t="str">
            <v>K224141709</v>
          </cell>
          <cell r="C30" t="str">
            <v>Hồ Nguyễn Nhật Vy</v>
          </cell>
          <cell r="D30" t="str">
            <v>K22414</v>
          </cell>
          <cell r="E30" t="str">
            <v>X</v>
          </cell>
          <cell r="F30" t="str">
            <v>X</v>
          </cell>
          <cell r="H30" t="str">
            <v xml:space="preserve">XÂY DỰNG HỆ THỐNG GIAO DỊCH CỔ PHIẾU: SO SÁNH DỰ BÁO TÍN HIỆU GIAO DỊCH: PHƯƠNG PHÁP KỸ THUẬT TRUYỀN THỐNG VÀ MACHINE LEARNING </v>
          </cell>
          <cell r="I30" t="str">
            <v>Tiếng Anh</v>
          </cell>
          <cell r="J30" t="str">
            <v>Tiếng Việt</v>
          </cell>
          <cell r="K30" t="str">
            <v>https://drive.google.com/open?id=1PxZ3CQdJ6MRHVAhJxcILeCY7uISOQ9sx</v>
          </cell>
          <cell r="L30" t="str">
            <v>PGS. TS Nguyễn Anh Phong</v>
          </cell>
          <cell r="N30" t="str">
            <v>PGS. TS Phạm Thị Thanh Xuân</v>
          </cell>
          <cell r="O30" t="str">
            <v>ThS Phan Huy Tâm</v>
          </cell>
          <cell r="P30" t="str">
            <v>ThS Phạm Chí Khoa</v>
          </cell>
          <cell r="Q30" t="str">
            <v>ThS Phan Huy Tâm</v>
          </cell>
          <cell r="R30" t="str">
            <v>03</v>
          </cell>
          <cell r="S30" t="str">
            <v>8h00 sáng thứ năm ngày 05/3/2026</v>
          </cell>
        </row>
        <row r="31">
          <cell r="B31" t="str">
            <v>K224141724</v>
          </cell>
          <cell r="C31" t="str">
            <v>Lê Thị Hường</v>
          </cell>
          <cell r="D31" t="str">
            <v>K22414C</v>
          </cell>
          <cell r="E31" t="str">
            <v>X</v>
          </cell>
          <cell r="F31" t="str">
            <v>X</v>
          </cell>
          <cell r="H31" t="str">
            <v xml:space="preserve">TỐI ƯU HÓA DANH MỤC ĐẦU TƯ DỰA TRÊN DỰ BÁO  LỢI SUẤT BẰNG CÁC MÔ HÌNH HỌC MÁY VÀ HỌC SÂU </v>
          </cell>
          <cell r="I31" t="str">
            <v>Tiếng Việt</v>
          </cell>
          <cell r="J31" t="str">
            <v>Tiếng Việt</v>
          </cell>
          <cell r="K31" t="str">
            <v>https://drive.google.com/open?id=19cSXqoAzuh-GmVZ9lbsd1KmaUprdwCrM</v>
          </cell>
          <cell r="L31" t="str">
            <v>PGS. TS Nguyễn Anh Phong</v>
          </cell>
          <cell r="N31" t="str">
            <v>PGS. TS Phạm Thị Thanh Xuân</v>
          </cell>
          <cell r="O31" t="str">
            <v>ThS Phan Huy Tâm</v>
          </cell>
          <cell r="P31" t="str">
            <v>ThS Phạm Chí Khoa</v>
          </cell>
          <cell r="Q31" t="str">
            <v>ThS Phạm Chí Khoa</v>
          </cell>
          <cell r="R31" t="str">
            <v>03</v>
          </cell>
          <cell r="S31" t="str">
            <v>8h00 sáng thứ năm ngày 05/3/2026</v>
          </cell>
        </row>
        <row r="32">
          <cell r="B32" t="str">
            <v>K224141725</v>
          </cell>
          <cell r="C32" t="str">
            <v>Phạm Hữu Khương</v>
          </cell>
          <cell r="D32" t="str">
            <v>K22414C</v>
          </cell>
          <cell r="E32" t="str">
            <v>X</v>
          </cell>
          <cell r="F32" t="str">
            <v>X</v>
          </cell>
          <cell r="H32" t="str">
            <v>APPLYING THE DEEP LEARNING MODEL (LSTM, GRU) IN BITCOIN'S VOLATILITY FORECASTING AND RISK MEASUREMENT (VAR)</v>
          </cell>
          <cell r="I32" t="str">
            <v>Tiếng Anh</v>
          </cell>
          <cell r="J32" t="str">
            <v>Tiếng Anh</v>
          </cell>
          <cell r="K32" t="str">
            <v>https://drive.google.com/open?id=11b_GyBPkt4aVlZCigPrVOxSvf481_Qzi</v>
          </cell>
          <cell r="L32" t="str">
            <v>PGS. TS Nguyễn Anh Phong</v>
          </cell>
          <cell r="N32" t="str">
            <v>PGS. TS Phạm Thị Thanh Xuân</v>
          </cell>
          <cell r="O32" t="str">
            <v>ThS Phan Huy Tâm</v>
          </cell>
          <cell r="P32" t="str">
            <v>ThS Phạm Chí Khoa</v>
          </cell>
          <cell r="Q32" t="str">
            <v>PGS. TS Phạm Thị Thanh Xuân</v>
          </cell>
          <cell r="R32" t="str">
            <v>03</v>
          </cell>
          <cell r="S32" t="str">
            <v>8h00 sáng thứ năm ngày 05/3/2026</v>
          </cell>
        </row>
        <row r="33">
          <cell r="B33" t="str">
            <v>K224141727</v>
          </cell>
          <cell r="C33" t="str">
            <v>Nguyễn Thị Thuỳ Linh</v>
          </cell>
          <cell r="D33" t="str">
            <v>K22414C</v>
          </cell>
          <cell r="E33" t="str">
            <v>X</v>
          </cell>
          <cell r="F33" t="str">
            <v>X</v>
          </cell>
          <cell r="H33" t="str">
            <v>TÁC ĐỘNG CỦA CẢM XÚC TIN TỨC ĐẾN KHẢ NĂNG DỰ BÁO BIẾN ĐỘNG LỢI SUẤT CỔ PHIẾU: BẰNG CHỨNG THỰC NGHIỆM TỪ CÁC CỔ PHIẾU THUỘC NGÀNH BẤT ĐỘNG SẢN</v>
          </cell>
          <cell r="I33" t="str">
            <v>Tiếng Anh</v>
          </cell>
          <cell r="J33" t="str">
            <v>Tiếng Việt</v>
          </cell>
          <cell r="K33" t="str">
            <v>https://drive.google.com/open?id=1m5FU35p93TuLe9zWALJhV_TU14_0oMhx</v>
          </cell>
          <cell r="L33" t="str">
            <v>PGS. TS Nguyễn Anh Phong</v>
          </cell>
          <cell r="N33" t="str">
            <v>PGS. TS Phạm Thị Thanh Xuân</v>
          </cell>
          <cell r="O33" t="str">
            <v>ThS Phan Huy Tâm</v>
          </cell>
          <cell r="P33" t="str">
            <v>ThS Phạm Chí Khoa</v>
          </cell>
          <cell r="Q33" t="str">
            <v>ThS Phan Huy Tâm</v>
          </cell>
          <cell r="R33" t="str">
            <v>03</v>
          </cell>
          <cell r="S33" t="str">
            <v>8h00 sáng thứ năm ngày 05/3/2026</v>
          </cell>
        </row>
        <row r="34">
          <cell r="B34" t="str">
            <v>K224141713</v>
          </cell>
          <cell r="C34" t="str">
            <v>Nguyễn Thương Kỳ Anh</v>
          </cell>
          <cell r="D34" t="str">
            <v>K22414C</v>
          </cell>
          <cell r="E34" t="str">
            <v>X</v>
          </cell>
          <cell r="F34" t="str">
            <v>X</v>
          </cell>
          <cell r="H34" t="str">
            <v>FINANCIAL NEWS SENTIMENT AND SHORT-TERM STOCK DIRECTION PREDICTION:\\ EVIDENCE FROM VN30 FIRMS</v>
          </cell>
          <cell r="I34" t="str">
            <v>Tiếng Anh</v>
          </cell>
          <cell r="J34" t="str">
            <v>Tiếng Anh</v>
          </cell>
          <cell r="K34" t="str">
            <v>https://drive.google.com/open?id=1Sev5CtkGnJJUDJwyzkgSsXgA5db3m3jZ</v>
          </cell>
          <cell r="L34" t="str">
            <v>TS Nguyễn Trung Hiếu</v>
          </cell>
          <cell r="N34" t="str">
            <v>PGS. TS Phạm Thị Thanh Xuân</v>
          </cell>
          <cell r="O34" t="str">
            <v>ThS Phan Huy Tâm</v>
          </cell>
          <cell r="P34" t="str">
            <v>ThS Phạm Chí Khoa</v>
          </cell>
          <cell r="Q34" t="str">
            <v>ThS Phạm Chí Khoa</v>
          </cell>
          <cell r="R34" t="str">
            <v>03</v>
          </cell>
          <cell r="S34" t="str">
            <v>8h00 sáng thứ năm ngày 05/3/2026</v>
          </cell>
        </row>
        <row r="35">
          <cell r="B35" t="str">
            <v>K224040575</v>
          </cell>
          <cell r="C35" t="str">
            <v>Phan Quang Minh</v>
          </cell>
          <cell r="D35" t="str">
            <v>K22404C</v>
          </cell>
          <cell r="F35" t="str">
            <v>X</v>
          </cell>
          <cell r="G35" t="str">
            <v>X</v>
          </cell>
          <cell r="H35" t="str">
            <v/>
          </cell>
          <cell r="I35" t="str">
            <v>Tiếng Anh</v>
          </cell>
          <cell r="L35" t="str">
            <v>PGS. TS Nguyễn Thị Ánh Như</v>
          </cell>
        </row>
        <row r="36">
          <cell r="B36" t="str">
            <v>K224040586</v>
          </cell>
          <cell r="C36" t="str">
            <v>Đặng Hoài Minh Thư</v>
          </cell>
          <cell r="D36" t="str">
            <v>K22404C</v>
          </cell>
          <cell r="F36" t="str">
            <v>X</v>
          </cell>
          <cell r="G36" t="str">
            <v>X</v>
          </cell>
          <cell r="H36" t="str">
            <v/>
          </cell>
          <cell r="I36" t="str">
            <v>Tiếng Anh</v>
          </cell>
          <cell r="L36" t="str">
            <v>PGS. TS Nguyễn Thị Ánh Như</v>
          </cell>
        </row>
        <row r="37">
          <cell r="B37" t="str">
            <v>K224040591</v>
          </cell>
          <cell r="C37" t="str">
            <v>Nguyễn Hà Trâm</v>
          </cell>
          <cell r="D37" t="str">
            <v>K22404C</v>
          </cell>
          <cell r="F37" t="str">
            <v>X</v>
          </cell>
          <cell r="G37" t="str">
            <v>X</v>
          </cell>
          <cell r="H37" t="str">
            <v/>
          </cell>
          <cell r="I37" t="str">
            <v>Tiếng Việt</v>
          </cell>
          <cell r="L37" t="str">
            <v>PGS. TS Nguyễn Thị Ánh Như</v>
          </cell>
        </row>
        <row r="38">
          <cell r="B38" t="str">
            <v>K224040593</v>
          </cell>
          <cell r="C38" t="str">
            <v>Phạm Văn Trọng</v>
          </cell>
          <cell r="D38" t="str">
            <v>K22404C</v>
          </cell>
          <cell r="F38" t="str">
            <v>X</v>
          </cell>
          <cell r="G38" t="str">
            <v>X</v>
          </cell>
          <cell r="H38" t="str">
            <v/>
          </cell>
          <cell r="I38" t="str">
            <v>Tiếng Việt</v>
          </cell>
          <cell r="L38" t="str">
            <v>PGS. TS Nguyễn Thị Ánh Như</v>
          </cell>
        </row>
        <row r="39">
          <cell r="B39" t="str">
            <v>K224040594</v>
          </cell>
          <cell r="C39" t="str">
            <v>Nguyễn Thành Trung</v>
          </cell>
          <cell r="D39" t="str">
            <v>K22404C</v>
          </cell>
          <cell r="F39" t="str">
            <v>X</v>
          </cell>
          <cell r="G39" t="str">
            <v>X</v>
          </cell>
          <cell r="H39" t="str">
            <v/>
          </cell>
          <cell r="I39" t="str">
            <v>Tiếng Việt</v>
          </cell>
          <cell r="L39" t="str">
            <v>PGS. TS Nguyễn Thị Ánh Như</v>
          </cell>
        </row>
        <row r="40">
          <cell r="B40" t="str">
            <v>K224040595</v>
          </cell>
          <cell r="C40" t="str">
            <v>Lê Nguyễn Thanh Trúc</v>
          </cell>
          <cell r="D40" t="str">
            <v>K22404C</v>
          </cell>
          <cell r="F40" t="str">
            <v>X</v>
          </cell>
          <cell r="G40" t="str">
            <v>X</v>
          </cell>
          <cell r="H40" t="str">
            <v/>
          </cell>
          <cell r="I40" t="str">
            <v>Tiếng Anh</v>
          </cell>
          <cell r="L40" t="str">
            <v>PGS. TS Nguyễn Thị Ánh Như</v>
          </cell>
        </row>
        <row r="41">
          <cell r="B41" t="str">
            <v>K224141726</v>
          </cell>
          <cell r="C41" t="str">
            <v>Dương Thị Thuỳ Linh</v>
          </cell>
          <cell r="D41" t="str">
            <v>K22414C</v>
          </cell>
          <cell r="E41" t="str">
            <v>X</v>
          </cell>
          <cell r="F41" t="str">
            <v>X</v>
          </cell>
          <cell r="H41" t="str">
            <v>CONSTRUCTING AN OPTIMAL VN30 PORTFOLIO USING THE SINGLE INDEX MODEL</v>
          </cell>
          <cell r="I41" t="str">
            <v>Tiếng Anh</v>
          </cell>
          <cell r="J41" t="str">
            <v>Tiếng Anh</v>
          </cell>
          <cell r="K41" t="str">
            <v>https://drive.google.com/open?id=137Bc0e9Rfq_KOa8V8tra8rBiu6dAJAyq</v>
          </cell>
          <cell r="L41" t="str">
            <v>TS Nguyễn Trung Hiếu</v>
          </cell>
          <cell r="N41" t="str">
            <v>PGS. TS Phạm Thị Thanh Xuân</v>
          </cell>
          <cell r="O41" t="str">
            <v>ThS Phan Huy Tâm</v>
          </cell>
          <cell r="P41" t="str">
            <v>ThS Phạm Chí Khoa</v>
          </cell>
          <cell r="Q41" t="str">
            <v>PGS. TS Phạm Thị Thanh Xuân</v>
          </cell>
          <cell r="R41" t="str">
            <v>03</v>
          </cell>
          <cell r="S41" t="str">
            <v>8h00 sáng thứ năm ngày 05/3/2026</v>
          </cell>
        </row>
        <row r="42">
          <cell r="B42" t="str">
            <v>K224141744</v>
          </cell>
          <cell r="C42" t="str">
            <v>Lâm Thanh Vi</v>
          </cell>
          <cell r="D42" t="str">
            <v>K22414C</v>
          </cell>
          <cell r="E42" t="str">
            <v>X</v>
          </cell>
          <cell r="F42" t="str">
            <v>X</v>
          </cell>
          <cell r="H42" t="str">
            <v>MACHINE LEARNING APPROACHES TO MORTGAGE DEFAULT PREDICTION: AN EMPIRICAL STUDY</v>
          </cell>
          <cell r="I42" t="str">
            <v>Tiếng Anh</v>
          </cell>
          <cell r="J42" t="str">
            <v>Tiếng Anh</v>
          </cell>
          <cell r="K42" t="str">
            <v>https://drive.google.com/open?id=15PyTZKySg0d-5tuWMFzHLDp_SPPpB-PZ</v>
          </cell>
          <cell r="L42" t="str">
            <v>TS Nguyễn Trung Hiếu</v>
          </cell>
          <cell r="N42" t="str">
            <v>PGS. TS Phạm Thị Thanh Xuân</v>
          </cell>
          <cell r="O42" t="str">
            <v>ThS Phan Huy Tâm</v>
          </cell>
          <cell r="P42" t="str">
            <v>ThS Phạm Chí Khoa</v>
          </cell>
          <cell r="Q42" t="str">
            <v>ThS Phan Huy Tâm</v>
          </cell>
          <cell r="R42" t="str">
            <v>03</v>
          </cell>
          <cell r="S42" t="str">
            <v>8h00 sáng thứ năm ngày 05/3/2026</v>
          </cell>
        </row>
        <row r="43">
          <cell r="B43" t="str">
            <v>K224141710</v>
          </cell>
          <cell r="C43" t="str">
            <v>Lê Hoàng Phi Yến</v>
          </cell>
          <cell r="D43" t="str">
            <v>K22414</v>
          </cell>
          <cell r="E43" t="str">
            <v>X</v>
          </cell>
          <cell r="H43" t="str">
            <v>DỰ BÁO TỶ LỆ ĐÒN BẨY TÀI CHÍNH: SO SÁNH VÀ PHÂN TÍCH KHẢ NĂNG DỰ BÁO GIỮA CÁC MÔ HÌNH HỌC MÁY VÀ MÔ HÌNH KINH TẾ LƯỢNG TRUYỀN THỐNG ĐỐI VỚI CÁC DOANH NGHIỆP PHI TÀI CHÍNH ĐƯỢC NIÊM YẾT TẠI VIỆT NAM</v>
          </cell>
          <cell r="I43" t="str">
            <v>Tiếng Việt</v>
          </cell>
          <cell r="J43" t="str">
            <v>Tiếng Việt</v>
          </cell>
          <cell r="K43" t="str">
            <v>https://drive.google.com/open?id=1_dzaRlymbqO_J7lNRGkF7Ga1qICe0WQq</v>
          </cell>
          <cell r="L43" t="str">
            <v>TS Võ Thị Ngọc Trinh</v>
          </cell>
          <cell r="N43" t="str">
            <v>PGS. TS Phạm Thị Thanh Xuân</v>
          </cell>
          <cell r="O43" t="str">
            <v>ThS Phan Huy Tâm</v>
          </cell>
          <cell r="P43" t="str">
            <v>ThS Phạm Chí Khoa</v>
          </cell>
          <cell r="Q43" t="str">
            <v>ThS Phạm Chí Khoa</v>
          </cell>
          <cell r="R43" t="str">
            <v>03</v>
          </cell>
          <cell r="S43" t="str">
            <v>8h00 sáng thứ năm ngày 05/3/2026</v>
          </cell>
        </row>
        <row r="44">
          <cell r="B44" t="str">
            <v>K224141716</v>
          </cell>
          <cell r="C44" t="str">
            <v>Nguyễn Quang Duy</v>
          </cell>
          <cell r="D44" t="str">
            <v>K22414C</v>
          </cell>
          <cell r="E44" t="str">
            <v>X</v>
          </cell>
          <cell r="H44" t="str">
            <v>CÁC YẾU TỐ ẢNH HƯỞNG ĐẾN HÀNH VI SỬ DỤNG VÀ DUY TRÌ THANH TOÁN SỐ TẠI VIỆT NAM: TIẾP CẬN KẾT HỢP PHÂN TÍCH ĐỊNH LƯỢNG VÀ KHAI PHÁ DỮ LIỆU CẢM XÚC.</v>
          </cell>
          <cell r="I44" t="str">
            <v>Tiếng Việt</v>
          </cell>
          <cell r="J44" t="str">
            <v>Tiếng Việt</v>
          </cell>
          <cell r="K44" t="str">
            <v>https://drive.google.com/open?id=1EW521o6EsqDPKN4Ls3xmI5PWrzCECI8r</v>
          </cell>
          <cell r="L44" t="str">
            <v>TS Võ Thị Ngọc Trinh</v>
          </cell>
          <cell r="N44" t="str">
            <v>PGS. TS Phạm Thị Thanh Xuân</v>
          </cell>
          <cell r="O44" t="str">
            <v>ThS Phan Huy Tâm</v>
          </cell>
          <cell r="P44" t="str">
            <v>ThS Phạm Chí Khoa</v>
          </cell>
          <cell r="Q44" t="str">
            <v>PGS. TS Phạm Thị Thanh Xuân</v>
          </cell>
          <cell r="R44" t="str">
            <v>03</v>
          </cell>
          <cell r="S44" t="str">
            <v>8h00 sáng thứ năm ngày 05/3/2026</v>
          </cell>
        </row>
        <row r="45">
          <cell r="B45" t="str">
            <v>K224141673</v>
          </cell>
          <cell r="C45" t="str">
            <v>Phạm Gia Linh</v>
          </cell>
          <cell r="D45" t="str">
            <v>K22414</v>
          </cell>
          <cell r="E45" t="str">
            <v>X</v>
          </cell>
          <cell r="F45" t="str">
            <v>X</v>
          </cell>
          <cell r="H45" t="str">
            <v>DỰ BÁO TÌNH TRẠNG KIỆT QUỆ TÀI CHÍNH CỦA CÁC DOANH NGHIỆP SẢN XUẤT VIỆT NAM</v>
          </cell>
          <cell r="I45" t="str">
            <v>Tiếng Việt</v>
          </cell>
          <cell r="J45" t="str">
            <v>Tiếng Việt</v>
          </cell>
          <cell r="K45" t="str">
            <v>https://drive.google.com/open?id=1MMO2klqiwJmVx71SU3BM3tUGI3JYt4N6</v>
          </cell>
          <cell r="L45" t="str">
            <v>PGS. TS Nguyễn Anh Phong</v>
          </cell>
          <cell r="N45" t="str">
            <v>TS Nguyễn Thanh Liêm</v>
          </cell>
          <cell r="O45" t="str">
            <v>TS Nguyễn Trung Hiếu</v>
          </cell>
          <cell r="P45" t="str">
            <v>ThS Ngô Phú Thanh</v>
          </cell>
          <cell r="Q45" t="str">
            <v>TS Nguyễn Thanh Liêm</v>
          </cell>
          <cell r="R45" t="str">
            <v>04</v>
          </cell>
          <cell r="S45" t="str">
            <v>13h00 chiều thứ năm ngày 05/3/2026</v>
          </cell>
        </row>
        <row r="46">
          <cell r="B46" t="str">
            <v>K224141677</v>
          </cell>
          <cell r="C46" t="str">
            <v>Nguyễn Bùi Kim Ngân</v>
          </cell>
          <cell r="D46" t="str">
            <v>K22414</v>
          </cell>
          <cell r="E46" t="str">
            <v>X</v>
          </cell>
          <cell r="F46" t="str">
            <v>X</v>
          </cell>
          <cell r="H46" t="str">
            <v xml:space="preserve">SỬ DỤNG MÁY HỌC DỰ ĐOÁN RỦI RO GIAN LẬN BÁO CÁO TÀI CHÍNH </v>
          </cell>
          <cell r="I46" t="str">
            <v>Tiếng Việt</v>
          </cell>
          <cell r="J46" t="str">
            <v>Tiếng Việt</v>
          </cell>
          <cell r="K46" t="str">
            <v>https://drive.google.com/open?id=1x6N9A5xvj3l1952kvKryUl6h8W4FJ96l</v>
          </cell>
          <cell r="L46" t="str">
            <v>PGS. TS Nguyễn Anh Phong</v>
          </cell>
          <cell r="N46" t="str">
            <v>TS Nguyễn Thanh Liêm</v>
          </cell>
          <cell r="O46" t="str">
            <v>TS Nguyễn Trung Hiếu</v>
          </cell>
          <cell r="P46" t="str">
            <v>ThS Ngô Phú Thanh</v>
          </cell>
          <cell r="Q46" t="str">
            <v>TS Nguyễn Trung Hiếu</v>
          </cell>
          <cell r="R46" t="str">
            <v>04</v>
          </cell>
          <cell r="S46" t="str">
            <v>13h00 chiều thứ năm ngày 05/3/2026</v>
          </cell>
        </row>
        <row r="47">
          <cell r="B47" t="str">
            <v>K224040550</v>
          </cell>
          <cell r="C47" t="str">
            <v>Nguyễn Thị Hải Tiên</v>
          </cell>
          <cell r="D47" t="str">
            <v>K22404</v>
          </cell>
          <cell r="F47" t="str">
            <v>X</v>
          </cell>
          <cell r="G47" t="str">
            <v>X</v>
          </cell>
          <cell r="H47" t="str">
            <v/>
          </cell>
          <cell r="I47" t="str">
            <v>Tiếng Việt</v>
          </cell>
          <cell r="L47" t="str">
            <v>PGS. TS Phạm Thị Thanh Xuân</v>
          </cell>
        </row>
        <row r="48">
          <cell r="B48" t="str">
            <v>K224040553</v>
          </cell>
          <cell r="C48" t="str">
            <v>Lý Bảo Trân</v>
          </cell>
          <cell r="D48" t="str">
            <v>K22404</v>
          </cell>
          <cell r="F48" t="str">
            <v>X</v>
          </cell>
          <cell r="G48" t="str">
            <v>X</v>
          </cell>
          <cell r="H48" t="str">
            <v/>
          </cell>
          <cell r="I48" t="str">
            <v>Tiếng Việt</v>
          </cell>
          <cell r="L48" t="str">
            <v>PGS. TS Phạm Thị Thanh Xuân</v>
          </cell>
        </row>
        <row r="49">
          <cell r="B49" t="str">
            <v>K224040555</v>
          </cell>
          <cell r="C49" t="str">
            <v>Nguyễn Trần Ngọc Trúc</v>
          </cell>
          <cell r="D49" t="str">
            <v>K22404</v>
          </cell>
          <cell r="F49" t="str">
            <v>X</v>
          </cell>
          <cell r="G49" t="str">
            <v>X</v>
          </cell>
          <cell r="H49" t="str">
            <v/>
          </cell>
          <cell r="I49" t="str">
            <v>Tiếng Việt</v>
          </cell>
          <cell r="L49" t="str">
            <v>PGS. TS Phạm Thị Thanh Xuân</v>
          </cell>
        </row>
        <row r="50">
          <cell r="B50" t="str">
            <v>K224040580</v>
          </cell>
          <cell r="C50" t="str">
            <v>Vũ Thị Hồng Phúc</v>
          </cell>
          <cell r="D50" t="str">
            <v>K22404C</v>
          </cell>
          <cell r="F50" t="str">
            <v>X</v>
          </cell>
          <cell r="G50" t="str">
            <v>X</v>
          </cell>
          <cell r="H50" t="str">
            <v/>
          </cell>
          <cell r="I50" t="str">
            <v>Tiếng Anh</v>
          </cell>
          <cell r="L50" t="str">
            <v>PGS. TS Phạm Thị Thanh Xuân</v>
          </cell>
        </row>
        <row r="51">
          <cell r="B51" t="str">
            <v>K224040581</v>
          </cell>
          <cell r="C51" t="str">
            <v>Đoàn Hà Phương</v>
          </cell>
          <cell r="D51" t="str">
            <v>K22404C</v>
          </cell>
          <cell r="F51" t="str">
            <v>X</v>
          </cell>
          <cell r="G51" t="str">
            <v>X</v>
          </cell>
          <cell r="H51" t="str">
            <v/>
          </cell>
          <cell r="I51" t="str">
            <v>Tiếng Anh</v>
          </cell>
          <cell r="L51" t="str">
            <v>PGS. TS Phạm Thị Thanh Xuân</v>
          </cell>
        </row>
        <row r="52">
          <cell r="B52" t="str">
            <v>K224141679</v>
          </cell>
          <cell r="C52" t="str">
            <v>Trần Khánh Ngọc</v>
          </cell>
          <cell r="D52" t="str">
            <v>K22414</v>
          </cell>
          <cell r="E52" t="str">
            <v>X</v>
          </cell>
          <cell r="F52" t="str">
            <v>X</v>
          </cell>
          <cell r="H52" t="str">
            <v>XÂY DỰNG HỆ THỐNG REGTECH HỖ TRỢ CHẨM ĐIỂM RỦI RO BẤT ĐỘNG SẢN VÀ TÍNH NGHĨA VỤ TÀI CHÍNH THEO BẢNG GIÁ ĐẤT TP.HCM 2026</v>
          </cell>
          <cell r="I52" t="str">
            <v>Tiếng Anh</v>
          </cell>
          <cell r="J52" t="str">
            <v>Tiếng Việt</v>
          </cell>
          <cell r="K52" t="str">
            <v>https://drive.google.com/open?id=1tAuqpUrxfohDlAFfLpwZYLKSFnaaFLI9</v>
          </cell>
          <cell r="L52" t="str">
            <v>PGS. TS Nguyễn Anh Phong</v>
          </cell>
          <cell r="M52" t="str">
            <v>Có dashboard</v>
          </cell>
          <cell r="N52" t="str">
            <v>TS Nguyễn Thanh Liêm</v>
          </cell>
          <cell r="O52" t="str">
            <v>TS Nguyễn Trung Hiếu</v>
          </cell>
          <cell r="P52" t="str">
            <v>ThS Ngô Phú Thanh</v>
          </cell>
          <cell r="Q52" t="str">
            <v>ThS Ngô Phú Thanh</v>
          </cell>
          <cell r="R52" t="str">
            <v>04</v>
          </cell>
          <cell r="S52" t="str">
            <v>13h00 chiều thứ năm ngày 05/3/2026</v>
          </cell>
        </row>
        <row r="53">
          <cell r="B53" t="str">
            <v>K224141687</v>
          </cell>
          <cell r="C53" t="str">
            <v>Hứa Nguyễn Như Quỳnh</v>
          </cell>
          <cell r="D53" t="str">
            <v>K22414</v>
          </cell>
          <cell r="E53" t="str">
            <v>X</v>
          </cell>
          <cell r="F53" t="str">
            <v>X</v>
          </cell>
          <cell r="H53" t="str">
            <v xml:space="preserve">ỨNG DỤNG HỌC MÁY TRONG XÁC ĐỊNH  TỶ LỆ NẮM GIỮ TIỀN MẶT TỐI ƯU CỦA DOANH NGHIỆP PHI TÀI CHÍNH TẠI VIỆT NAM </v>
          </cell>
          <cell r="I53" t="str">
            <v>Tiếng Anh</v>
          </cell>
          <cell r="J53" t="str">
            <v>Tiếng Việt</v>
          </cell>
          <cell r="K53" t="str">
            <v>https://drive.google.com/open?id=1IHmCXj6UpzuYT5Tf4zUozICgocSzpAV-</v>
          </cell>
          <cell r="L53" t="str">
            <v>PGS. TS Nguyễn Anh Phong</v>
          </cell>
          <cell r="M53" t="str">
            <v>Có bài báo ở IJBAF, kỷ yếu</v>
          </cell>
          <cell r="N53" t="str">
            <v>TS Nguyễn Thanh Liêm</v>
          </cell>
          <cell r="O53" t="str">
            <v>TS Nguyễn Trung Hiếu</v>
          </cell>
          <cell r="P53" t="str">
            <v>ThS Ngô Phú Thanh</v>
          </cell>
          <cell r="Q53" t="str">
            <v>TS Nguyễn Thanh Liêm</v>
          </cell>
          <cell r="R53" t="str">
            <v>04</v>
          </cell>
          <cell r="S53" t="str">
            <v>13h00 chiều thứ năm ngày 05/3/2026</v>
          </cell>
        </row>
        <row r="54">
          <cell r="B54" t="str">
            <v>K224141688</v>
          </cell>
          <cell r="C54" t="str">
            <v>Mai Như Quỳnh</v>
          </cell>
          <cell r="D54" t="str">
            <v>K22414</v>
          </cell>
          <cell r="E54" t="str">
            <v>X</v>
          </cell>
          <cell r="F54" t="str">
            <v>X</v>
          </cell>
          <cell r="H54" t="str">
            <v>XẾP HẠNG TÍN NHIỆM CÁC NGÂN HÀNG THƯƠNG MẠI TẠI VIỆT NAM DỰA TRÊN CHỈ SỐ TÀI CHÍNH TỔNG HỢP</v>
          </cell>
          <cell r="I54" t="str">
            <v>Tiếng Việt</v>
          </cell>
          <cell r="J54" t="str">
            <v>Tiếng Việt</v>
          </cell>
          <cell r="K54" t="str">
            <v>https://drive.google.com/open?id=1Eh72Ph2M1E1oyxl12YcWeHNOexQk04dD</v>
          </cell>
          <cell r="L54" t="str">
            <v>PGS. TS Nguyễn Anh Phong</v>
          </cell>
          <cell r="N54" t="str">
            <v>TS Nguyễn Thanh Liêm</v>
          </cell>
          <cell r="O54" t="str">
            <v>TS Nguyễn Trung Hiếu</v>
          </cell>
          <cell r="P54" t="str">
            <v>ThS Ngô Phú Thanh</v>
          </cell>
          <cell r="Q54" t="str">
            <v>TS Nguyễn Trung Hiếu</v>
          </cell>
          <cell r="R54" t="str">
            <v>04</v>
          </cell>
          <cell r="S54" t="str">
            <v>13h00 chiều thứ năm ngày 05/3/2026</v>
          </cell>
        </row>
        <row r="55">
          <cell r="B55" t="str">
            <v>K224141737</v>
          </cell>
          <cell r="C55" t="str">
            <v>Lê Vũ Minh Thông</v>
          </cell>
          <cell r="D55" t="str">
            <v>K22414C</v>
          </cell>
          <cell r="E55" t="str">
            <v>X</v>
          </cell>
          <cell r="H55" t="str">
            <v>ỨNG DỤNG MÁY HỌC TRONG CHẤM ĐIỂM RỦI RO QUÁ HẠN KHOẢN VAY TẠI BIDV - CHI NHÁNH THỦ DẦU MỘT</v>
          </cell>
          <cell r="I55" t="str">
            <v>Tiếng Anh</v>
          </cell>
          <cell r="J55" t="str">
            <v>Tiếng Việt</v>
          </cell>
          <cell r="K55" t="str">
            <v>https://drive.google.com/open?id=1i-hHqujFgTa7XcnC4VkcWos2AzaivvAI</v>
          </cell>
          <cell r="L55" t="str">
            <v>PGS. TS Phạm Thị Thanh Xuân</v>
          </cell>
          <cell r="M55" t="str">
            <v>Chưa có giấy xác nhận cho phép sử dụng dữ liệu nội bộ</v>
          </cell>
          <cell r="N55" t="str">
            <v>TS Nguyễn Thanh Liêm</v>
          </cell>
          <cell r="O55" t="str">
            <v>TS Nguyễn Trung Hiếu</v>
          </cell>
          <cell r="P55" t="str">
            <v>ThS Ngô Phú Thanh</v>
          </cell>
          <cell r="Q55" t="str">
            <v>ThS Ngô Phú Thanh</v>
          </cell>
          <cell r="R55" t="str">
            <v>04</v>
          </cell>
          <cell r="S55" t="str">
            <v>13h00 chiều thứ năm ngày 05/3/2026</v>
          </cell>
        </row>
        <row r="56">
          <cell r="B56" t="str">
            <v>K224141743</v>
          </cell>
          <cell r="C56" t="str">
            <v>Lê Việt Tố Uyên</v>
          </cell>
          <cell r="D56" t="str">
            <v>K22414C</v>
          </cell>
          <cell r="E56" t="str">
            <v>X</v>
          </cell>
          <cell r="F56" t="str">
            <v>X</v>
          </cell>
          <cell r="H56" t="str">
            <v>ỨNG DỤNG MACHINE LEARNING TRONG DỰ BÁO ROA CỦA CÁC DOANH NGHIỆP PHI TÀI CHÍNH NIÊM YẾT TẠI VIỆT NAM GIAI ĐOẠN 2018–2024</v>
          </cell>
          <cell r="I56" t="str">
            <v>Tiếng Anh</v>
          </cell>
          <cell r="J56" t="str">
            <v>Tiếng Việt</v>
          </cell>
          <cell r="K56" t="str">
            <v>https://drive.google.com/open?id=1-rZ-ZucoaJauNbvzEgG6VPW2Kj9jqGPf</v>
          </cell>
          <cell r="L56" t="str">
            <v>PGS. TS Phạm Thị Thanh Xuân</v>
          </cell>
          <cell r="N56" t="str">
            <v>TS Nguyễn Thanh Liêm</v>
          </cell>
          <cell r="O56" t="str">
            <v>TS Nguyễn Trung Hiếu</v>
          </cell>
          <cell r="P56" t="str">
            <v>ThS Ngô Phú Thanh</v>
          </cell>
          <cell r="Q56" t="str">
            <v>TS Nguyễn Thanh Liêm</v>
          </cell>
          <cell r="R56" t="str">
            <v>04</v>
          </cell>
          <cell r="S56" t="str">
            <v>13h00 chiều thứ năm ngày 05/3/2026</v>
          </cell>
        </row>
        <row r="57">
          <cell r="B57" t="str">
            <v>K224040556</v>
          </cell>
          <cell r="C57" t="str">
            <v>Đinh Quang Tuấn</v>
          </cell>
          <cell r="D57" t="str">
            <v>K22404</v>
          </cell>
          <cell r="F57" t="str">
            <v>X</v>
          </cell>
          <cell r="G57" t="str">
            <v>X</v>
          </cell>
          <cell r="H57" t="str">
            <v/>
          </cell>
          <cell r="I57" t="str">
            <v>Tiếng Việt</v>
          </cell>
          <cell r="L57" t="str">
            <v>PGS. TS Trần Hùng Sơn</v>
          </cell>
        </row>
        <row r="58">
          <cell r="B58" t="str">
            <v>K224040558</v>
          </cell>
          <cell r="C58" t="str">
            <v>Trần Thị Trúc Uyên</v>
          </cell>
          <cell r="D58" t="str">
            <v>K22404</v>
          </cell>
          <cell r="F58" t="str">
            <v>X</v>
          </cell>
          <cell r="G58" t="str">
            <v>X</v>
          </cell>
          <cell r="H58" t="str">
            <v/>
          </cell>
          <cell r="I58" t="str">
            <v>Tiếng Việt</v>
          </cell>
          <cell r="L58" t="str">
            <v>PGS. TS Trần Hùng Sơn</v>
          </cell>
        </row>
        <row r="59">
          <cell r="B59" t="str">
            <v>K224040560</v>
          </cell>
          <cell r="C59" t="str">
            <v>Nguyễn Thị Hà Vy</v>
          </cell>
          <cell r="D59" t="str">
            <v>K22404</v>
          </cell>
          <cell r="F59" t="str">
            <v>X</v>
          </cell>
          <cell r="G59" t="str">
            <v>X</v>
          </cell>
          <cell r="H59" t="str">
            <v/>
          </cell>
          <cell r="I59" t="str">
            <v>Tiếng Việt</v>
          </cell>
          <cell r="L59" t="str">
            <v>PGS. TS Trần Hùng Sơn</v>
          </cell>
        </row>
        <row r="60">
          <cell r="B60" t="str">
            <v>K224040569</v>
          </cell>
          <cell r="C60" t="str">
            <v>Phạm Thị Thu Hương</v>
          </cell>
          <cell r="D60" t="str">
            <v>K22404C</v>
          </cell>
          <cell r="F60" t="str">
            <v>X</v>
          </cell>
          <cell r="G60" t="str">
            <v>X</v>
          </cell>
          <cell r="H60" t="str">
            <v/>
          </cell>
          <cell r="I60" t="str">
            <v>Tiếng Việt</v>
          </cell>
          <cell r="L60" t="str">
            <v>PGS. TS Trần Hùng Sơn</v>
          </cell>
        </row>
        <row r="61">
          <cell r="B61" t="str">
            <v>K224040587</v>
          </cell>
          <cell r="C61" t="str">
            <v>Nguyễn Thị Minh Thư</v>
          </cell>
          <cell r="D61" t="str">
            <v>K22404C</v>
          </cell>
          <cell r="F61" t="str">
            <v>X</v>
          </cell>
          <cell r="G61" t="str">
            <v>X</v>
          </cell>
          <cell r="H61" t="str">
            <v/>
          </cell>
          <cell r="I61" t="str">
            <v>Tiếng Việt</v>
          </cell>
          <cell r="L61" t="str">
            <v>PGS. TS Trần Hùng Sơn</v>
          </cell>
        </row>
        <row r="62">
          <cell r="B62" t="str">
            <v>K224040589</v>
          </cell>
          <cell r="C62" t="str">
            <v>Hồ Nguyễn Anh Thy</v>
          </cell>
          <cell r="D62" t="str">
            <v>K22404C</v>
          </cell>
          <cell r="F62" t="str">
            <v>X</v>
          </cell>
          <cell r="G62" t="str">
            <v>X</v>
          </cell>
          <cell r="H62" t="str">
            <v/>
          </cell>
          <cell r="I62" t="str">
            <v>Tiếng Anh</v>
          </cell>
          <cell r="L62" t="str">
            <v>PGS. TS Trần Hùng Sơn</v>
          </cell>
        </row>
        <row r="63">
          <cell r="B63" t="str">
            <v>K224141722</v>
          </cell>
          <cell r="C63" t="str">
            <v>Nguyễn Thị Mai Hạnh</v>
          </cell>
          <cell r="D63" t="str">
            <v>K22414C</v>
          </cell>
          <cell r="E63" t="str">
            <v>X</v>
          </cell>
          <cell r="H63" t="str">
            <v>PHÂN TÍCH CẢM XÚC CỦA NGƯỜI DÙNG BIDV MINI APP TRÊN NỀN TẢNG VNPAY BẰNG CÁC PHƯƠNG PHÁP HỌC MÁY</v>
          </cell>
          <cell r="I63" t="str">
            <v>Tiếng Anh</v>
          </cell>
          <cell r="J63" t="str">
            <v>Tiếng Việt</v>
          </cell>
          <cell r="K63" t="str">
            <v>https://drive.google.com/open?id=147hMUBO1QwgInt8wGO1akv-7fT6QoB1Y</v>
          </cell>
          <cell r="L63" t="str">
            <v>TS Nguyễn Thôn Dã</v>
          </cell>
          <cell r="M63" t="str">
            <v>có dấu hiệu sao chép...xài từ: LUẬN VĂN rất nhiều</v>
          </cell>
          <cell r="N63" t="str">
            <v>TS Nguyễn Thanh Liêm</v>
          </cell>
          <cell r="O63" t="str">
            <v>TS Nguyễn Trung Hiếu</v>
          </cell>
          <cell r="P63" t="str">
            <v>ThS Ngô Phú Thanh</v>
          </cell>
          <cell r="Q63" t="str">
            <v>TS Nguyễn Trung Hiếu</v>
          </cell>
          <cell r="R63" t="str">
            <v>04</v>
          </cell>
          <cell r="S63" t="str">
            <v>13h00 chiều thứ năm ngày 05/3/2026</v>
          </cell>
        </row>
        <row r="64">
          <cell r="B64" t="str">
            <v>K224141729</v>
          </cell>
          <cell r="C64" t="str">
            <v>Trần Phương Nghi</v>
          </cell>
          <cell r="D64" t="str">
            <v>K22414C</v>
          </cell>
          <cell r="E64" t="str">
            <v>X</v>
          </cell>
          <cell r="F64" t="str">
            <v>X</v>
          </cell>
          <cell r="H64" t="str">
            <v>ỨNG DỤNG HIỆP PHƯƠNG SAI CO RÚT LEDOIT-WOLF TRONG XÂY DỰNG PHÂN CỤM PHÂN CẤP:  BẰNG CHỨNG THỰC NGHIỆM TẠI THỊ TRƯỜNG CHỨNG KHOÁN VIỆT NAM</v>
          </cell>
          <cell r="I64" t="str">
            <v>Tiếng Việt</v>
          </cell>
          <cell r="J64" t="str">
            <v>Tiếng Việt</v>
          </cell>
          <cell r="K64" t="str">
            <v>https://drive.google.com/open?id=1NRsBqbjPhrPvWL20W2LELyZlz3Yvf3os</v>
          </cell>
          <cell r="L64" t="str">
            <v>TS Nguyễn Thôn Dã</v>
          </cell>
          <cell r="N64" t="str">
            <v>TS Nguyễn Thanh Liêm</v>
          </cell>
          <cell r="O64" t="str">
            <v>TS Nguyễn Trung Hiếu</v>
          </cell>
          <cell r="P64" t="str">
            <v>ThS Ngô Phú Thanh</v>
          </cell>
          <cell r="Q64" t="str">
            <v>ThS Ngô Phú Thanh</v>
          </cell>
          <cell r="R64" t="str">
            <v>04</v>
          </cell>
          <cell r="S64" t="str">
            <v>13h00 chiều thứ năm ngày 05/3/2026</v>
          </cell>
        </row>
        <row r="65">
          <cell r="B65" t="str">
            <v>K224141740</v>
          </cell>
          <cell r="C65" t="str">
            <v>Phạm Hoàng Ngọc Trang</v>
          </cell>
          <cell r="D65" t="str">
            <v>K22414C</v>
          </cell>
          <cell r="E65" t="str">
            <v>X</v>
          </cell>
          <cell r="F65" t="str">
            <v>X</v>
          </cell>
          <cell r="H65" t="str">
            <v xml:space="preserve">ỨNG DỤNG HỌC MÁY KHÔNG GIÁM SÁT TRONG PHÂN TÍCH HÀNH VI GIÁ CỔ PHIẾU VÀ XÂY DỰNG DANH MỤC ĐẦU TƯ TRÊN THỊ TRƯỜNG CHỨNG KHOÁN VIỆT NAM </v>
          </cell>
          <cell r="I65" t="str">
            <v>Tiếng Việt</v>
          </cell>
          <cell r="J65" t="str">
            <v>Tiếng Việt</v>
          </cell>
          <cell r="K65" t="str">
            <v>https://drive.google.com/open?id=1go0o92OlcI3SdTEDYOnuqqRxwlTlr93z</v>
          </cell>
          <cell r="L65" t="str">
            <v>TS Nguyễn Thôn Dã</v>
          </cell>
          <cell r="N65" t="str">
            <v>TS Nguyễn Thanh Liêm</v>
          </cell>
          <cell r="O65" t="str">
            <v>TS Nguyễn Trung Hiếu</v>
          </cell>
          <cell r="P65" t="str">
            <v>ThS Ngô Phú Thanh</v>
          </cell>
          <cell r="Q65" t="str">
            <v>TS Nguyễn Thanh Liêm</v>
          </cell>
          <cell r="R65" t="str">
            <v>04</v>
          </cell>
          <cell r="S65" t="str">
            <v>13h00 chiều thứ năm ngày 05/3/2026</v>
          </cell>
        </row>
        <row r="66">
          <cell r="B66" t="str">
            <v>K224040483</v>
          </cell>
          <cell r="C66" t="str">
            <v>Phan Thúy Ngân</v>
          </cell>
          <cell r="D66" t="str">
            <v>K22404</v>
          </cell>
          <cell r="F66" t="str">
            <v>X</v>
          </cell>
          <cell r="G66" t="str">
            <v>X</v>
          </cell>
          <cell r="H66" t="str">
            <v/>
          </cell>
          <cell r="I66" t="str">
            <v>Tiếng Việt</v>
          </cell>
          <cell r="L66" t="str">
            <v>ThS Hồ Thị Hồng Minh</v>
          </cell>
        </row>
        <row r="67">
          <cell r="B67" t="str">
            <v>K224040484</v>
          </cell>
          <cell r="C67" t="str">
            <v>Trần Huỳnh Phương Nghi</v>
          </cell>
          <cell r="D67" t="str">
            <v>K22404</v>
          </cell>
          <cell r="F67" t="str">
            <v>X</v>
          </cell>
          <cell r="G67" t="str">
            <v>X</v>
          </cell>
          <cell r="H67" t="str">
            <v/>
          </cell>
          <cell r="I67" t="str">
            <v>Tiếng Việt</v>
          </cell>
          <cell r="L67" t="str">
            <v>ThS Hồ Thị Hồng Minh</v>
          </cell>
        </row>
        <row r="68">
          <cell r="B68" t="str">
            <v>K224040486</v>
          </cell>
          <cell r="C68" t="str">
            <v>Hoàng Thị Huệ Nhi</v>
          </cell>
          <cell r="D68" t="str">
            <v>K22404</v>
          </cell>
          <cell r="F68" t="str">
            <v>X</v>
          </cell>
          <cell r="G68" t="str">
            <v>X</v>
          </cell>
          <cell r="H68" t="str">
            <v/>
          </cell>
          <cell r="I68" t="str">
            <v>Tiếng Việt</v>
          </cell>
          <cell r="L68" t="str">
            <v>ThS Hồ Thị Hồng Minh</v>
          </cell>
        </row>
        <row r="69">
          <cell r="B69" t="str">
            <v>K224040488</v>
          </cell>
          <cell r="C69" t="str">
            <v>Nguyễn Thị Thanh Nhung</v>
          </cell>
          <cell r="D69" t="str">
            <v>K22404</v>
          </cell>
          <cell r="F69" t="str">
            <v>X</v>
          </cell>
          <cell r="G69" t="str">
            <v>X</v>
          </cell>
          <cell r="H69" t="str">
            <v/>
          </cell>
          <cell r="I69" t="str">
            <v>Tiếng Việt</v>
          </cell>
          <cell r="L69" t="str">
            <v>ThS Hồ Thị Hồng Minh</v>
          </cell>
        </row>
        <row r="70">
          <cell r="B70" t="str">
            <v>K224040492</v>
          </cell>
          <cell r="C70" t="str">
            <v>Lê Mạnh Quân</v>
          </cell>
          <cell r="D70" t="str">
            <v>K22404</v>
          </cell>
          <cell r="F70" t="str">
            <v>X</v>
          </cell>
          <cell r="G70" t="str">
            <v>X</v>
          </cell>
          <cell r="H70" t="str">
            <v/>
          </cell>
          <cell r="I70" t="str">
            <v>Tiếng Anh</v>
          </cell>
          <cell r="L70" t="str">
            <v>ThS Hồ Thị Hồng Minh</v>
          </cell>
        </row>
        <row r="71">
          <cell r="B71" t="str">
            <v>K224040561</v>
          </cell>
          <cell r="C71" t="str">
            <v>Hà Thị Lan Anh</v>
          </cell>
          <cell r="D71" t="str">
            <v>K22404C</v>
          </cell>
          <cell r="F71" t="str">
            <v>X</v>
          </cell>
          <cell r="G71" t="str">
            <v>X</v>
          </cell>
          <cell r="H71" t="str">
            <v/>
          </cell>
          <cell r="I71" t="str">
            <v>Tiếng Việt</v>
          </cell>
          <cell r="L71" t="str">
            <v>ThS Hồ Thị Hồng Minh</v>
          </cell>
        </row>
        <row r="72">
          <cell r="B72" t="str">
            <v>K224040563</v>
          </cell>
          <cell r="C72" t="str">
            <v>Nguyễn Hồng Ánh</v>
          </cell>
          <cell r="D72" t="str">
            <v>K22404C</v>
          </cell>
          <cell r="F72" t="str">
            <v>X</v>
          </cell>
          <cell r="G72" t="str">
            <v>X</v>
          </cell>
          <cell r="H72" t="str">
            <v/>
          </cell>
          <cell r="I72" t="str">
            <v>Tiếng Anh</v>
          </cell>
          <cell r="L72" t="str">
            <v>ThS Hồ Thị Hồng Minh</v>
          </cell>
        </row>
        <row r="73">
          <cell r="B73" t="str">
            <v>K224040582</v>
          </cell>
          <cell r="C73" t="str">
            <v>Phạm Thị Phương</v>
          </cell>
          <cell r="D73" t="str">
            <v>K22404C</v>
          </cell>
          <cell r="F73" t="str">
            <v>X</v>
          </cell>
          <cell r="G73" t="str">
            <v>X</v>
          </cell>
          <cell r="H73" t="str">
            <v/>
          </cell>
          <cell r="I73" t="str">
            <v>Tiếng Việt</v>
          </cell>
          <cell r="L73" t="str">
            <v>ThS Hồ Thị Hồng Minh</v>
          </cell>
        </row>
        <row r="74">
          <cell r="B74" t="str">
            <v>K224040590</v>
          </cell>
          <cell r="C74" t="str">
            <v>Nguyễn Ngọc Thiên Trang</v>
          </cell>
          <cell r="D74" t="str">
            <v>K22404C</v>
          </cell>
          <cell r="F74" t="str">
            <v>X</v>
          </cell>
          <cell r="G74" t="str">
            <v>X</v>
          </cell>
          <cell r="H74" t="str">
            <v/>
          </cell>
          <cell r="I74" t="str">
            <v>Tiếng Anh</v>
          </cell>
          <cell r="L74" t="str">
            <v>ThS Hồ Thị Hồng Minh</v>
          </cell>
        </row>
        <row r="75">
          <cell r="B75" t="str">
            <v>K224040592</v>
          </cell>
          <cell r="C75" t="str">
            <v>Nguyễn Hoài Tuyết Trân</v>
          </cell>
          <cell r="D75" t="str">
            <v>K22404C</v>
          </cell>
          <cell r="F75" t="str">
            <v>X</v>
          </cell>
          <cell r="G75" t="str">
            <v>X</v>
          </cell>
          <cell r="H75" t="str">
            <v/>
          </cell>
          <cell r="I75" t="str">
            <v>Tiếng Anh</v>
          </cell>
          <cell r="L75" t="str">
            <v>ThS Hồ Thị Hồng Minh</v>
          </cell>
        </row>
        <row r="76">
          <cell r="B76" t="str">
            <v>K224141661</v>
          </cell>
          <cell r="C76" t="str">
            <v>Nguyễn Hạo</v>
          </cell>
          <cell r="D76" t="str">
            <v>K22414</v>
          </cell>
          <cell r="E76" t="str">
            <v>X</v>
          </cell>
          <cell r="F76" t="str">
            <v>X</v>
          </cell>
          <cell r="H76" t="str">
            <v>ỨNG DỤNG MÔ HÌNH DEEP LEARNING ĐỂ TỐI ƯU HÓA DANH MỤC ĐẦU TƯ THEO TRẠNG THÁI RỦI RO THỊ TRƯỜNG</v>
          </cell>
          <cell r="I76" t="str">
            <v>Tiếng Việt</v>
          </cell>
          <cell r="J76" t="str">
            <v>Tiếng Việt</v>
          </cell>
          <cell r="K76" t="str">
            <v>https://drive.google.com/open?id=1iI6ZSutx79BM-umg-FzqYTGQMcj2PUne</v>
          </cell>
          <cell r="L76" t="str">
            <v>ThS Ngô Phú Thanh</v>
          </cell>
          <cell r="N76" t="str">
            <v>PGS. TS Lê Đức Quang Tú</v>
          </cell>
          <cell r="O76" t="str">
            <v>TS Nguyễn Thôn Dã</v>
          </cell>
          <cell r="P76" t="str">
            <v>TS Võ Thị Ngọc Trinh</v>
          </cell>
          <cell r="Q76" t="str">
            <v>TS Nguyễn Thôn Dã</v>
          </cell>
          <cell r="R76" t="str">
            <v>05</v>
          </cell>
          <cell r="S76" t="str">
            <v>13h00 chiều thứ năm ngày 05/3/2026</v>
          </cell>
        </row>
        <row r="77">
          <cell r="B77" t="str">
            <v>K224141665</v>
          </cell>
          <cell r="C77" t="str">
            <v>Phan Thị Thu Huyền</v>
          </cell>
          <cell r="D77" t="str">
            <v>K22414</v>
          </cell>
          <cell r="E77" t="str">
            <v>X</v>
          </cell>
          <cell r="F77" t="str">
            <v>X</v>
          </cell>
          <cell r="H77" t="str">
            <v xml:space="preserve">ỨNG DỤNG GRAPH NEURAL NETWORK TRONG DỰ BÁO VÀ PHÂN TÍCH LAN TRUYỀN RỦI RO TÀI CHÍNH DOANH NGHIỆP TẠI VIỆT NAM </v>
          </cell>
          <cell r="I77" t="str">
            <v>Tiếng Việt</v>
          </cell>
          <cell r="J77" t="str">
            <v>Tiếng Việt</v>
          </cell>
          <cell r="K77" t="str">
            <v>https://drive.google.com/open?id=1U5K_-h0dv_c1uIKCkahKmWmzVeaTolni</v>
          </cell>
          <cell r="L77" t="str">
            <v>ThS Ngô Phú Thanh</v>
          </cell>
          <cell r="N77" t="str">
            <v>PGS. TS Lê Đức Quang Tú</v>
          </cell>
          <cell r="O77" t="str">
            <v>TS Nguyễn Thôn Dã</v>
          </cell>
          <cell r="P77" t="str">
            <v>TS Võ Thị Ngọc Trinh</v>
          </cell>
          <cell r="Q77" t="str">
            <v>TS Võ Thị Ngọc Trinh</v>
          </cell>
          <cell r="R77" t="str">
            <v>05</v>
          </cell>
          <cell r="S77" t="str">
            <v>13h00 chiều thứ năm ngày 05/3/2026</v>
          </cell>
        </row>
        <row r="78">
          <cell r="B78" t="str">
            <v>K224141671</v>
          </cell>
          <cell r="C78" t="str">
            <v>Bùi Ngọc Thiên Kim</v>
          </cell>
          <cell r="D78" t="str">
            <v>K22414</v>
          </cell>
          <cell r="E78" t="str">
            <v>X</v>
          </cell>
          <cell r="F78" t="str">
            <v>X</v>
          </cell>
          <cell r="H78" t="str">
            <v>XÂY DỰNG BẢNG ĐIỀU KHIỂN DANH MỤC ĐẦU TƯ TỐI ƯU THEO KHẨU VỊ RỦI RO"</v>
          </cell>
          <cell r="I78" t="str">
            <v>Tiếng Việt</v>
          </cell>
          <cell r="J78" t="str">
            <v>Tiếng Việt</v>
          </cell>
          <cell r="K78" t="str">
            <v>https://drive.google.com/open?id=1Zt3d2tQWoEksEjCQPYlZTMlOO3qvLmqo</v>
          </cell>
          <cell r="L78" t="str">
            <v>ThS Ngô Phú Thanh</v>
          </cell>
          <cell r="N78" t="str">
            <v>PGS. TS Lê Đức Quang Tú</v>
          </cell>
          <cell r="O78" t="str">
            <v>TS Nguyễn Thôn Dã</v>
          </cell>
          <cell r="P78" t="str">
            <v>TS Võ Thị Ngọc Trinh</v>
          </cell>
          <cell r="Q78" t="str">
            <v>PGS. TS Lê Đức Quang Tú</v>
          </cell>
          <cell r="R78" t="str">
            <v>05</v>
          </cell>
          <cell r="S78" t="str">
            <v>13h00 chiều thứ năm ngày 05/3/2026</v>
          </cell>
        </row>
        <row r="79">
          <cell r="B79" t="str">
            <v>K224141674</v>
          </cell>
          <cell r="C79" t="str">
            <v>Nguyễn Đồng Mạnh</v>
          </cell>
          <cell r="D79" t="str">
            <v>K22414</v>
          </cell>
          <cell r="E79" t="str">
            <v>X</v>
          </cell>
          <cell r="F79" t="str">
            <v>X</v>
          </cell>
          <cell r="H79" t="str">
            <v>ỨNG DỤNG DỮ LIỆU GIAO DỊCH CỦA KHỐI NGOẠI TRONG DỰ BÁO XU HƯỚNG BIẾN ĐỘNG GIÁ CỔ PHIẾU TẠI THỊ TRƯỜNG CHỨNG KHOÁN VIỆT NAM</v>
          </cell>
          <cell r="I79" t="str">
            <v>Tiếng Việt</v>
          </cell>
          <cell r="J79" t="str">
            <v>Tiếng Việt</v>
          </cell>
          <cell r="K79" t="str">
            <v>https://drive.google.com/open?id=1u37wNTDv0xz4kVPM1Qmf0Iiq7zsN7KrC</v>
          </cell>
          <cell r="L79" t="str">
            <v>ThS Ngô Phú Thanh</v>
          </cell>
          <cell r="N79" t="str">
            <v>PGS. TS Lê Đức Quang Tú</v>
          </cell>
          <cell r="O79" t="str">
            <v>TS Nguyễn Thôn Dã</v>
          </cell>
          <cell r="P79" t="str">
            <v>TS Võ Thị Ngọc Trinh</v>
          </cell>
          <cell r="Q79" t="str">
            <v>TS Nguyễn Thôn Dã</v>
          </cell>
          <cell r="R79" t="str">
            <v>05</v>
          </cell>
          <cell r="S79" t="str">
            <v>13h00 chiều thứ năm ngày 05/3/2026</v>
          </cell>
        </row>
        <row r="80">
          <cell r="B80" t="str">
            <v>K224141676</v>
          </cell>
          <cell r="C80" t="str">
            <v>Nguyễn Ngọc Kim Nga</v>
          </cell>
          <cell r="D80" t="str">
            <v>K22414</v>
          </cell>
          <cell r="E80" t="str">
            <v>X</v>
          </cell>
          <cell r="F80" t="str">
            <v>X</v>
          </cell>
          <cell r="H80" t="str">
            <v>NGHIÊN CỨU HIỆU QUẢ CỦA MÔ HÌNH LSTM  TRONG DỰ BÁO GIÁ CỔ PHIẾU VÀ ỨNG DỤNG VÀO  TỐI ƯU HÓA DANH MỤC ĐẦU TƯ: SO SÁNH PHƯƠNG  PHÁP EQUAL WEIGHT, MARKOWITZ VÀ HRP</v>
          </cell>
          <cell r="I80" t="str">
            <v>Tiếng Việt</v>
          </cell>
          <cell r="J80" t="str">
            <v>Tiếng Việt</v>
          </cell>
          <cell r="K80" t="str">
            <v>https://drive.google.com/open?id=1Chxfwa4KIr49Z8PxbGqkrfxzUTN_ciAO</v>
          </cell>
          <cell r="L80" t="str">
            <v>ThS Ngô Phú Thanh</v>
          </cell>
          <cell r="N80" t="str">
            <v>PGS. TS Lê Đức Quang Tú</v>
          </cell>
          <cell r="O80" t="str">
            <v>TS Nguyễn Thôn Dã</v>
          </cell>
          <cell r="P80" t="str">
            <v>TS Võ Thị Ngọc Trinh</v>
          </cell>
          <cell r="Q80" t="str">
            <v>TS Võ Thị Ngọc Trinh</v>
          </cell>
          <cell r="R80" t="str">
            <v>05</v>
          </cell>
          <cell r="S80" t="str">
            <v>13h00 chiều thứ năm ngày 05/3/2026</v>
          </cell>
        </row>
        <row r="81">
          <cell r="B81" t="str">
            <v>K224141723</v>
          </cell>
          <cell r="C81" t="str">
            <v>Nguyễn Thị Ngọc Huyền</v>
          </cell>
          <cell r="D81" t="str">
            <v>K22414C</v>
          </cell>
          <cell r="E81" t="str">
            <v>X</v>
          </cell>
          <cell r="F81" t="str">
            <v>X</v>
          </cell>
          <cell r="H81" t="str">
            <v>ỨNG DỤNG MACHINE LEARNING ĐỂ DỰ ĐOÁN QUYẾT ĐỊNH CHI TRẢ CỔ TỨC CỦA  CÁC DOANH NGHIỆP NIÊM YẾT TRÊN SÀN HOSE</v>
          </cell>
          <cell r="I81" t="str">
            <v>Tiếng Việt</v>
          </cell>
          <cell r="J81" t="str">
            <v>Tiếng Việt</v>
          </cell>
          <cell r="K81" t="str">
            <v>https://drive.google.com/open?id=1gBGPHVhSQscehQZeM2kMNvmmLUukyJ6f</v>
          </cell>
          <cell r="L81" t="str">
            <v>ThS Phạm Chí Khoa</v>
          </cell>
          <cell r="N81" t="str">
            <v>PGS. TS Lê Đức Quang Tú</v>
          </cell>
          <cell r="O81" t="str">
            <v>TS Nguyễn Thôn Dã</v>
          </cell>
          <cell r="P81" t="str">
            <v>TS Võ Thị Ngọc Trinh</v>
          </cell>
          <cell r="Q81" t="str">
            <v>PGS. TS Lê Đức Quang Tú</v>
          </cell>
          <cell r="R81" t="str">
            <v>05</v>
          </cell>
          <cell r="S81" t="str">
            <v>13h00 chiều thứ năm ngày 05/3/2026</v>
          </cell>
        </row>
        <row r="82">
          <cell r="B82" t="str">
            <v>K224141660</v>
          </cell>
          <cell r="C82" t="str">
            <v>Trần Bích Hà</v>
          </cell>
          <cell r="D82" t="str">
            <v>K22414</v>
          </cell>
          <cell r="E82" t="str">
            <v>X</v>
          </cell>
          <cell r="F82" t="str">
            <v>X</v>
          </cell>
          <cell r="H82" t="str">
            <v>PHÂN TÍCH CẢM XÚC NGƯỜI DÙNG TỪ ĐÁNH GIÁ TRÊN ỨNG DỤNG NGÂN HÀNG SỐ VÀ MỐI LIÊN HỆ VỚI BIẾN ĐỘNG GIÁ CỔ PHIẾU NGÂN HÀNG TẠI VIỆT NAM</v>
          </cell>
          <cell r="I82" t="str">
            <v>Tiếng Anh</v>
          </cell>
          <cell r="J82" t="str">
            <v>Tiếng Việt</v>
          </cell>
          <cell r="K82" t="str">
            <v>https://drive.google.com/open?id=1Y1omWwEte0_-Bo5eVfaV1blqX1b6A2jt</v>
          </cell>
          <cell r="L82" t="str">
            <v>ThS Phan Huy Tâm</v>
          </cell>
          <cell r="N82" t="str">
            <v>PGS. TS Lê Đức Quang Tú</v>
          </cell>
          <cell r="O82" t="str">
            <v>TS Nguyễn Thôn Dã</v>
          </cell>
          <cell r="P82" t="str">
            <v>TS Võ Thị Ngọc Trinh</v>
          </cell>
          <cell r="Q82" t="str">
            <v>PGS. TS Lê Đức Quang Tú</v>
          </cell>
          <cell r="R82" t="str">
            <v>05</v>
          </cell>
          <cell r="S82" t="str">
            <v>13h00 chiều thứ năm ngày 05/3/2026</v>
          </cell>
        </row>
        <row r="83">
          <cell r="B83" t="str">
            <v>K224141662</v>
          </cell>
          <cell r="C83" t="str">
            <v>Nguyễn Lâm Xuân Hân</v>
          </cell>
          <cell r="D83" t="str">
            <v>K22414</v>
          </cell>
          <cell r="E83" t="str">
            <v>X</v>
          </cell>
          <cell r="F83" t="str">
            <v>X</v>
          </cell>
          <cell r="H83" t="str">
            <v>PHÁT HIỆN SỰ CHUYỂN PHA TRẠNG THÁI THỊ TRƯỜNG CHỨNG KHOÁN VIỆT NAM BẰNG HỌC MÁY KHÔNG GIÁM SÁT VÀ MÔ HÌNH TRẠNG THÁI ẨN HIDDEN MARKOV MODEL</v>
          </cell>
          <cell r="I83" t="str">
            <v>Tiếng Việt</v>
          </cell>
          <cell r="J83" t="str">
            <v>Tiếng Việt</v>
          </cell>
          <cell r="K83" t="str">
            <v>https://drive.google.com/open?id=1HFZnhy3nirBh46hG9mOOdZOkmUDJt1ut</v>
          </cell>
          <cell r="L83" t="str">
            <v>ThS Phan Huy Tâm</v>
          </cell>
          <cell r="N83" t="str">
            <v>PGS. TS Lê Đức Quang Tú</v>
          </cell>
          <cell r="O83" t="str">
            <v>TS Nguyễn Thôn Dã</v>
          </cell>
          <cell r="P83" t="str">
            <v>TS Võ Thị Ngọc Trinh</v>
          </cell>
          <cell r="Q83" t="str">
            <v>TS Nguyễn Thôn Dã</v>
          </cell>
          <cell r="R83" t="str">
            <v>05</v>
          </cell>
          <cell r="S83" t="str">
            <v>13h00 chiều thứ năm ngày 05/3/2026</v>
          </cell>
        </row>
        <row r="84">
          <cell r="B84" t="str">
            <v>K224141666</v>
          </cell>
          <cell r="C84" t="str">
            <v>Trần Thị Thu Huỳnh</v>
          </cell>
          <cell r="D84" t="str">
            <v>K22414</v>
          </cell>
          <cell r="E84" t="str">
            <v>X</v>
          </cell>
          <cell r="F84" t="str">
            <v>X</v>
          </cell>
          <cell r="H84" t="str">
            <v>ỨNG DỤNG THUẬT TOÁN PHÂN CỤM TRONG XÂY DỰNG MÔ HÌNH CHẤM ĐIỂM TÍN  DỤNG DOANH NGHIỆP</v>
          </cell>
          <cell r="I84" t="str">
            <v>Tiếng Việt</v>
          </cell>
          <cell r="J84" t="str">
            <v>Tiếng Việt</v>
          </cell>
          <cell r="K84" t="str">
            <v>https://drive.google.com/open?id=192cNv33ABUm8Z5LICz_76AKJv5OesCV5</v>
          </cell>
          <cell r="L84" t="str">
            <v>ThS Phan Huy Tâm</v>
          </cell>
          <cell r="N84" t="str">
            <v>PGS. TS Lê Đức Quang Tú</v>
          </cell>
          <cell r="O84" t="str">
            <v>TS Nguyễn Thôn Dã</v>
          </cell>
          <cell r="P84" t="str">
            <v>TS Võ Thị Ngọc Trinh</v>
          </cell>
          <cell r="Q84" t="str">
            <v>TS Võ Thị Ngọc Trinh</v>
          </cell>
          <cell r="R84" t="str">
            <v>05</v>
          </cell>
          <cell r="S84" t="str">
            <v>13h00 chiều thứ năm ngày 05/3/2026</v>
          </cell>
        </row>
        <row r="85">
          <cell r="B85" t="str">
            <v>K224141669</v>
          </cell>
          <cell r="C85" t="str">
            <v>Bùi Trung Kiên</v>
          </cell>
          <cell r="D85" t="str">
            <v>K22414</v>
          </cell>
          <cell r="E85" t="str">
            <v>X</v>
          </cell>
          <cell r="F85" t="str">
            <v>X</v>
          </cell>
          <cell r="H85" t="str">
            <v>MOMENTUM TRADING IN CRYPTOCURRENCY MARKETS: A MACHINE LEARNING APPROACH WITH RISK ANALYSIS</v>
          </cell>
          <cell r="I85" t="str">
            <v>Tiếng Anh</v>
          </cell>
          <cell r="J85" t="str">
            <v>Tiếng Anh</v>
          </cell>
          <cell r="K85" t="str">
            <v>https://drive.google.com/open?id=1tR2s-a6yp1tI3UwCqoQM1JtMs3qLNzFm</v>
          </cell>
          <cell r="L85" t="str">
            <v>ThS Phan Huy Tâm</v>
          </cell>
          <cell r="N85" t="str">
            <v>PGS. TS Lê Đức Quang Tú</v>
          </cell>
          <cell r="O85" t="str">
            <v>TS Nguyễn Thôn Dã</v>
          </cell>
          <cell r="P85" t="str">
            <v>TS Võ Thị Ngọc Trinh</v>
          </cell>
          <cell r="Q85" t="str">
            <v>PGS. TS Lê Đức Quang Tú</v>
          </cell>
          <cell r="R85" t="str">
            <v>05</v>
          </cell>
          <cell r="S85" t="str">
            <v>13h00 chiều thứ năm ngày 05/3/2026</v>
          </cell>
        </row>
        <row r="86">
          <cell r="B86" t="str">
            <v>K224141670</v>
          </cell>
          <cell r="C86" t="str">
            <v>Nguyễn Hữu Kiên</v>
          </cell>
          <cell r="D86" t="str">
            <v>K22414</v>
          </cell>
          <cell r="E86" t="str">
            <v>X</v>
          </cell>
          <cell r="H86" t="str">
            <v>UNVEILING HIDDEN FINANCIAL STATEMENT FRAUD THROUGH WEAK SUPERVISION AND DYNAMIC ENSEMBLE SELECTION: EVIDENCE FROM VIETNAM</v>
          </cell>
          <cell r="I86" t="str">
            <v>Tiếng Anh</v>
          </cell>
          <cell r="J86" t="str">
            <v>Tiếng Anh</v>
          </cell>
          <cell r="K86" t="str">
            <v>https://drive.google.com/open?id=1XohfkH1kyZdLJBcurOVOABNzd9VZckoM</v>
          </cell>
          <cell r="L86" t="str">
            <v>ThS Phan Huy Tâm</v>
          </cell>
          <cell r="N86" t="str">
            <v>PGS. TS Lê Đức Quang Tú</v>
          </cell>
          <cell r="O86" t="str">
            <v>TS Nguyễn Thôn Dã</v>
          </cell>
          <cell r="P86" t="str">
            <v>TS Võ Thị Ngọc Trinh</v>
          </cell>
          <cell r="Q86" t="str">
            <v>TS Nguyễn Thôn Dã</v>
          </cell>
          <cell r="R86" t="str">
            <v>05</v>
          </cell>
          <cell r="S86" t="str">
            <v>13h00 chiều thứ năm ngày 05/3/2026</v>
          </cell>
        </row>
        <row r="87">
          <cell r="B87" t="str">
            <v>K224141718</v>
          </cell>
          <cell r="C87" t="str">
            <v>Huỳnh Thị Mỹ Duyên</v>
          </cell>
          <cell r="D87" t="str">
            <v>K22414C</v>
          </cell>
          <cell r="E87" t="str">
            <v>X</v>
          </cell>
          <cell r="F87" t="str">
            <v>X</v>
          </cell>
          <cell r="H87" t="str">
            <v xml:space="preserve">DỰ BÁO XÁC SUẤT VỠ NỢ (PD) CHO KHOẢN VAY THẾ CHẤP GIAI ĐOẠN 2020–2023 VÀ HÀM Ý QUẢN TRỊ RỦI RO TÍN DỤNG </v>
          </cell>
          <cell r="I87" t="str">
            <v>Tiếng Việt</v>
          </cell>
          <cell r="J87" t="str">
            <v>Tiếng Việt</v>
          </cell>
          <cell r="K87" t="str">
            <v>https://drive.google.com/open?id=13tiQizfrzO5NHU9rj9NYOM5AuvZbj0jq&amp;usp=drive_fs</v>
          </cell>
          <cell r="L87" t="str">
            <v>PGS. TS Lê Đức Quang Tú</v>
          </cell>
          <cell r="N87" t="str">
            <v>PGS. TS Phạm Thị Thanh Xuân</v>
          </cell>
          <cell r="O87" t="str">
            <v>ThS Phan Huy Tâm</v>
          </cell>
          <cell r="P87" t="str">
            <v>ThS Phạm Chí Khoa</v>
          </cell>
          <cell r="Q87" t="str">
            <v>PGS. TS Phạm Thị Thanh Xuân</v>
          </cell>
          <cell r="R87" t="str">
            <v>06</v>
          </cell>
          <cell r="S87" t="str">
            <v>13h00 chiều thứ năm ngày 05/3/2026</v>
          </cell>
        </row>
        <row r="88">
          <cell r="B88" t="str">
            <v>K224141739</v>
          </cell>
          <cell r="C88" t="str">
            <v>Dương Ngọc Trang</v>
          </cell>
          <cell r="D88" t="str">
            <v>K22414C</v>
          </cell>
          <cell r="E88" t="str">
            <v>X</v>
          </cell>
          <cell r="F88" t="str">
            <v>X</v>
          </cell>
          <cell r="H88" t="str">
            <v>UNVEILING NON-LINEAR DYNAMICS: HOW ECONOMIC POLICY  UNCERTAINTY IMPACTS MANUFACTURING STOCK RETURNS THROUGH XGBOOST AND  RANDOM FOREST ANALYSIS.</v>
          </cell>
          <cell r="I88" t="str">
            <v>Tiếng Anh</v>
          </cell>
          <cell r="J88" t="str">
            <v>Tiếng Anh</v>
          </cell>
          <cell r="K88" t="str">
            <v>https://drive.google.com/open?id=1BXrXuHjaYZJeGqw9UA-qrMNj4p-OSff8</v>
          </cell>
          <cell r="L88" t="str">
            <v>PGS. TS Lê Đức Quang Tú</v>
          </cell>
          <cell r="N88" t="str">
            <v>PGS. TS Phạm Thị Thanh Xuân</v>
          </cell>
          <cell r="O88" t="str">
            <v>ThS Phan Huy Tâm</v>
          </cell>
          <cell r="P88" t="str">
            <v>ThS Phạm Chí Khoa</v>
          </cell>
          <cell r="Q88" t="str">
            <v>ThS Phan Huy Tâm</v>
          </cell>
          <cell r="R88" t="str">
            <v>06</v>
          </cell>
          <cell r="S88" t="str">
            <v>13h00 chiều thứ năm ngày 05/3/2026</v>
          </cell>
        </row>
        <row r="89">
          <cell r="B89" t="str">
            <v>K224141745</v>
          </cell>
          <cell r="C89" t="str">
            <v>Châu Hải Vy</v>
          </cell>
          <cell r="D89" t="str">
            <v>K22414C</v>
          </cell>
          <cell r="E89" t="str">
            <v>X</v>
          </cell>
          <cell r="F89" t="str">
            <v>X</v>
          </cell>
          <cell r="H89" t="str">
            <v xml:space="preserve">REGIME-SWITCHING ANALYSIS OF THE VIETNAMESE STOCK MARKET: BENCHMARKING CLASSICAL MODELS AND A HYBRID LATENT FRAMEWORK </v>
          </cell>
          <cell r="I89" t="str">
            <v>Tiếng Anh</v>
          </cell>
          <cell r="J89" t="str">
            <v>Tiếng Anh</v>
          </cell>
          <cell r="K89" t="str">
            <v>https://drive.google.com/open?id=14KHr1oKnpdzF5_09SOuwK-O0zfLjJslG</v>
          </cell>
          <cell r="L89" t="str">
            <v>PGS. TS Lê Đức Quang Tú</v>
          </cell>
          <cell r="N89" t="str">
            <v>PGS. TS Phạm Thị Thanh Xuân</v>
          </cell>
          <cell r="O89" t="str">
            <v>ThS Phan Huy Tâm</v>
          </cell>
          <cell r="P89" t="str">
            <v>ThS Phạm Chí Khoa</v>
          </cell>
          <cell r="Q89" t="str">
            <v>ThS Phạm Chí Khoa</v>
          </cell>
          <cell r="R89" t="str">
            <v>06</v>
          </cell>
          <cell r="S89" t="str">
            <v>13h00 chiều thứ năm ngày 05/3/2026</v>
          </cell>
        </row>
        <row r="90">
          <cell r="B90" t="str">
            <v>K224141728</v>
          </cell>
          <cell r="C90" t="str">
            <v>Nguyễn Nhật Nam</v>
          </cell>
          <cell r="D90" t="str">
            <v>K22414C</v>
          </cell>
          <cell r="E90" t="str">
            <v>X</v>
          </cell>
          <cell r="F90" t="str">
            <v>X</v>
          </cell>
          <cell r="H90" t="str">
            <v>DỰ BÁO BIẾN ĐỘNG CÁC MÃ CỔ PHIẾU CỦA THỊ TRƯỜNG VIỆT NAM BẰNG MÔ HÌNH GARCH TĂNG CƯỜNG HỌC SÂU LSTM VỚI THÔNG TIN THỊ TRƯỜNG VÀ SENTIMENT TIN TỨC</v>
          </cell>
          <cell r="I90" t="str">
            <v>Tiếng Việt</v>
          </cell>
          <cell r="J90" t="str">
            <v>Tiếng Việt</v>
          </cell>
          <cell r="K90" t="str">
            <v>https://drive.google.com/open?id=1Zmv0pbvytBv__aLOHzeoDpxFwoaE6qxZ</v>
          </cell>
          <cell r="L90" t="str">
            <v>PGS. TS Nguyễn Anh Phong</v>
          </cell>
          <cell r="N90" t="str">
            <v>PGS. TS Phạm Thị Thanh Xuân</v>
          </cell>
          <cell r="O90" t="str">
            <v>ThS Phan Huy Tâm</v>
          </cell>
          <cell r="P90" t="str">
            <v>ThS Phạm Chí Khoa</v>
          </cell>
          <cell r="Q90" t="str">
            <v>PGS. TS Phạm Thị Thanh Xuân</v>
          </cell>
          <cell r="R90" t="str">
            <v>06</v>
          </cell>
          <cell r="S90" t="str">
            <v>13h00 chiều thứ năm ngày 05/3/2026</v>
          </cell>
        </row>
        <row r="91">
          <cell r="B91" t="str">
            <v>K224141731</v>
          </cell>
          <cell r="C91" t="str">
            <v>Nguyễn Trọng Nghĩa</v>
          </cell>
          <cell r="D91" t="str">
            <v>K22414C</v>
          </cell>
          <cell r="E91" t="str">
            <v>X</v>
          </cell>
          <cell r="F91" t="str">
            <v>X</v>
          </cell>
          <cell r="H91" t="str">
            <v>XÂY DỰNG MÔ HÌNH DỰ BÁO GIÁ ĐÓNG CỬA NGẮN HẠN CHO CÁC MÃ CỔ PHIẾU THUỘC VN30 BẰNG DEEP LEARNING VÀ ỨNG DỤNG TRONG HỆ THỐNG HỖ TRỢ GIAO DỊCH FINTECH</v>
          </cell>
          <cell r="I91" t="str">
            <v>Tiếng Việt</v>
          </cell>
          <cell r="J91" t="str">
            <v>Tiếng Việt</v>
          </cell>
          <cell r="K91" t="str">
            <v>https://drive.google.com/open?id=1Jc-UMnspQBNZr0Nbb25qrUlnyEfUSwVu</v>
          </cell>
          <cell r="L91" t="str">
            <v>PGS. TS Nguyễn Anh Phong</v>
          </cell>
          <cell r="N91" t="str">
            <v>PGS. TS Phạm Thị Thanh Xuân</v>
          </cell>
          <cell r="O91" t="str">
            <v>ThS Phan Huy Tâm</v>
          </cell>
          <cell r="P91" t="str">
            <v>ThS Phạm Chí Khoa</v>
          </cell>
          <cell r="Q91" t="str">
            <v>ThS Phan Huy Tâm</v>
          </cell>
          <cell r="R91" t="str">
            <v>06</v>
          </cell>
          <cell r="S91" t="str">
            <v>13h00 chiều thứ năm ngày 05/3/2026</v>
          </cell>
        </row>
        <row r="92">
          <cell r="B92" t="str">
            <v>K224141732</v>
          </cell>
          <cell r="C92" t="str">
            <v>Cao Hoàng Nhã</v>
          </cell>
          <cell r="D92" t="str">
            <v>K22414C</v>
          </cell>
          <cell r="E92" t="str">
            <v>X</v>
          </cell>
          <cell r="F92" t="str">
            <v>X</v>
          </cell>
          <cell r="H92" t="str">
            <v>DỰ BÁO BIẾN ĐỘNG LỢI NHUẬN VÀ RỦI RO SUY GIẢM LỢI NHUẬN CỦA CÁC DOANH NGHIỆP NIÊM YẾT PHI TÀI CHÍNH TẠI VIỆT NAM BẰNG HỌC MÁY</v>
          </cell>
          <cell r="I92" t="str">
            <v>Tiếng Anh</v>
          </cell>
          <cell r="J92" t="str">
            <v>Tiếng Việt</v>
          </cell>
          <cell r="K92" t="str">
            <v>https://drive.google.com/open?id=1dJq_RVgjBeEYnc_ImqAGy9-JBEjabtLd</v>
          </cell>
          <cell r="L92" t="str">
            <v>PGS. TS Nguyễn Anh Phong</v>
          </cell>
          <cell r="N92" t="str">
            <v>PGS. TS Phạm Thị Thanh Xuân</v>
          </cell>
          <cell r="O92" t="str">
            <v>ThS Phan Huy Tâm</v>
          </cell>
          <cell r="P92" t="str">
            <v>ThS Phạm Chí Khoa</v>
          </cell>
          <cell r="Q92" t="str">
            <v>ThS Phạm Chí Khoa</v>
          </cell>
          <cell r="R92" t="str">
            <v>06</v>
          </cell>
          <cell r="S92" t="str">
            <v>13h00 chiều thứ năm ngày 05/3/2026</v>
          </cell>
        </row>
        <row r="93">
          <cell r="B93" t="str">
            <v>K224141734</v>
          </cell>
          <cell r="C93" t="str">
            <v>Hoàng Thị Quỳnh Như</v>
          </cell>
          <cell r="D93" t="str">
            <v>K22414C</v>
          </cell>
          <cell r="E93" t="str">
            <v>X</v>
          </cell>
          <cell r="F93" t="str">
            <v>X</v>
          </cell>
          <cell r="H93" t="str">
            <v>ỨNG DỤNG MACHINE LEARNING TRONG DỰ BÁO RỦI RO THANH KHOẢN CỦA NGÂN HÀNG THƯƠNG MẠI TẠI VIỆT NAM</v>
          </cell>
          <cell r="I93" t="str">
            <v>Tiếng Anh</v>
          </cell>
          <cell r="J93" t="str">
            <v>Tiếng Việt</v>
          </cell>
          <cell r="K93" t="str">
            <v>https://drive.google.com/open?id=1h_mZeupS44TgPflfSEpuY_s05KHp6vlX</v>
          </cell>
          <cell r="L93" t="str">
            <v>PGS. TS Nguyễn Anh Phong</v>
          </cell>
          <cell r="N93" t="str">
            <v>PGS. TS Phạm Thị Thanh Xuân</v>
          </cell>
          <cell r="O93" t="str">
            <v>ThS Phan Huy Tâm</v>
          </cell>
          <cell r="P93" t="str">
            <v>ThS Phạm Chí Khoa</v>
          </cell>
          <cell r="Q93" t="str">
            <v>PGS. TS Phạm Thị Thanh Xuân</v>
          </cell>
          <cell r="R93" t="str">
            <v>06</v>
          </cell>
          <cell r="S93" t="str">
            <v>13h00 chiều thứ năm ngày 05/3/2026</v>
          </cell>
        </row>
        <row r="94">
          <cell r="B94" t="str">
            <v>K224141735</v>
          </cell>
          <cell r="C94" t="str">
            <v>Liêu Hoài Phúc</v>
          </cell>
          <cell r="D94" t="str">
            <v>K22414C</v>
          </cell>
          <cell r="E94" t="str">
            <v>X</v>
          </cell>
          <cell r="F94" t="str">
            <v>X</v>
          </cell>
          <cell r="H94" t="str">
            <v>QUANTVN STRATEGY FORGE: THIẾT KẾ VÀ TRIỂN KHAI NỀN TẢNG PHÂN TÍCH ĐỊNH LƯỢNG HỖ TRỢ XÂY DỰNG CHIẾN LƯỢC GIAO DỊCH VÀ KIỂM ĐỊNH QUÁ KHỨ TRÊN THỊ TRƯỜNG CỔ PHIẾU VIỆT NAM (HOSE)</v>
          </cell>
          <cell r="I94" t="str">
            <v>Tiếng Việt</v>
          </cell>
          <cell r="J94" t="str">
            <v>Tiếng Việt</v>
          </cell>
          <cell r="K94" t="str">
            <v>https://drive.google.com/open?id=17R1d5-5pxA0Ba0AC7kKHNbZKHZrnAYss</v>
          </cell>
          <cell r="L94" t="str">
            <v>PGS. TS Nguyễn Anh Phong</v>
          </cell>
          <cell r="N94" t="str">
            <v>PGS. TS Phạm Thị Thanh Xuân</v>
          </cell>
          <cell r="O94" t="str">
            <v>ThS Phan Huy Tâm</v>
          </cell>
          <cell r="P94" t="str">
            <v>ThS Phạm Chí Khoa</v>
          </cell>
          <cell r="Q94" t="str">
            <v>ThS Phan Huy Tâm</v>
          </cell>
          <cell r="R94" t="str">
            <v>06</v>
          </cell>
          <cell r="S94" t="str">
            <v>13h00 chiều thứ năm ngày 05/3/2026</v>
          </cell>
        </row>
        <row r="95">
          <cell r="B95" t="str">
            <v>K224141719</v>
          </cell>
          <cell r="C95" t="str">
            <v>Nguyễn Khánh Hà</v>
          </cell>
          <cell r="D95" t="str">
            <v>K22414C</v>
          </cell>
          <cell r="E95" t="str">
            <v>X</v>
          </cell>
          <cell r="H95" t="str">
            <v>PHÂN TÍCH CÁC YẾU TỐ TÁC ĐỘNG ĐẾN CĂNG THẲNG TÀI CHÍNH CỦA DOANH NGHIỆP NGÀNH NGUYÊN VẬT LIỆU NIÊM YẾT TRÊN SỞ GIAO DỊCH CHỨNG KHOÁN TP. HỒ CHÍ MINH GIAI ĐOẠN 2014–2024</v>
          </cell>
          <cell r="I95" t="str">
            <v>Tiếng Anh</v>
          </cell>
          <cell r="J95" t="str">
            <v>Tiếng Việt</v>
          </cell>
          <cell r="K95" t="str">
            <v>https://drive.google.com/open?id=18QfMm1Jj2t20BOVXKpXpIhlVpP8jeB7H</v>
          </cell>
          <cell r="L95" t="str">
            <v>TS Võ Thị Ngọc Trinh</v>
          </cell>
          <cell r="N95" t="str">
            <v>PGS. TS Phạm Thị Thanh Xuân</v>
          </cell>
          <cell r="O95" t="str">
            <v>ThS Phan Huy Tâm</v>
          </cell>
          <cell r="P95" t="str">
            <v>ThS Phạm Chí Khoa</v>
          </cell>
          <cell r="Q95" t="str">
            <v>ThS Phạm Chí Khoa</v>
          </cell>
          <cell r="R95" t="str">
            <v>06</v>
          </cell>
          <cell r="S95" t="str">
            <v>13h00 chiều thứ năm ngày 05/3/2026</v>
          </cell>
        </row>
        <row r="96">
          <cell r="B96" t="str">
            <v>K224141720</v>
          </cell>
          <cell r="C96" t="str">
            <v>Phạm Thị Duyên Hải</v>
          </cell>
          <cell r="D96" t="str">
            <v>K22414C</v>
          </cell>
          <cell r="E96" t="str">
            <v>X</v>
          </cell>
          <cell r="F96" t="str">
            <v>X</v>
          </cell>
          <cell r="H96" t="str">
            <v>PHÂN TÍCH HIỆU SUẤT TÀI CHÍNH VÀ CHI PHÍ CƠ HỘI CỦA DANH MỤC ĐẦU TƯ TÍCH HỢP TIÊU CHÍ ESG TẠI THỊ TRƯỜNG CHỨNG KHOÁN VIỆT NAM: TIẾP CẬN TỪ MÔ HÌNH MARKOWITZ VÀ THUẬT TOÁN NSGA-II</v>
          </cell>
          <cell r="I96" t="str">
            <v>Tiếng Anh</v>
          </cell>
          <cell r="J96" t="str">
            <v>Tiếng Việt</v>
          </cell>
          <cell r="K96" t="str">
            <v>https://drive.google.com/open?id=1xSfqh-DHR1Rawo8iMrafNTP9XhVOIfBZ</v>
          </cell>
          <cell r="L96" t="str">
            <v>TS Võ Thị Ngọc Trinh</v>
          </cell>
          <cell r="N96" t="str">
            <v>PGS. TS Phạm Thị Thanh Xuân</v>
          </cell>
          <cell r="O96" t="str">
            <v>ThS Phan Huy Tâm</v>
          </cell>
          <cell r="P96" t="str">
            <v>ThS Phạm Chí Khoa</v>
          </cell>
          <cell r="Q96" t="str">
            <v>PGS. TS Phạm Thị Thanh Xuân</v>
          </cell>
          <cell r="R96" t="str">
            <v>06</v>
          </cell>
          <cell r="S96" t="str">
            <v>13h00 chiều thứ năm ngày 05/3/2026</v>
          </cell>
        </row>
        <row r="97">
          <cell r="B97" t="str">
            <v>K224141680</v>
          </cell>
          <cell r="C97" t="str">
            <v>HUỲNH THỊ NGỌC NHI</v>
          </cell>
          <cell r="D97" t="str">
            <v>K22414</v>
          </cell>
          <cell r="E97" t="str">
            <v>X</v>
          </cell>
          <cell r="F97" t="str">
            <v>X</v>
          </cell>
          <cell r="H97" t="str">
            <v>ỨNG DỤNG MACHINE LEARNING TRONG XÂY DỰNG HỆ THỐNG DỰ BÁO RỦI RO CỔ PHIẾU TRÊN THỊ TRƯỜNG CHỨNG KHOÁN VIỆT NAM</v>
          </cell>
          <cell r="I97" t="str">
            <v>Tiếng Việt</v>
          </cell>
          <cell r="J97" t="str">
            <v>Tiếng Việt</v>
          </cell>
          <cell r="K97" t="str">
            <v>https://drive.google.com/open?id=1pV3dCYZAj-pE5bgCdYuZjTNK9r2yHBLF</v>
          </cell>
          <cell r="L97" t="str">
            <v>ThS Ngô Phú Thanh</v>
          </cell>
          <cell r="N97" t="str">
            <v>PGS. TS Lê Đức Quang Tú</v>
          </cell>
          <cell r="O97" t="str">
            <v>TS Nguyễn Thanh Liêm</v>
          </cell>
          <cell r="P97" t="str">
            <v>PGS. TS Phạm Thị Thanh Xuân</v>
          </cell>
          <cell r="Q97" t="str">
            <v>PGS. TS Lê Đức Quang Tú</v>
          </cell>
          <cell r="R97" t="str">
            <v>07</v>
          </cell>
          <cell r="S97" t="str">
            <v>8h00 sáng thứ sáu ngày 06/3/2026</v>
          </cell>
        </row>
        <row r="98">
          <cell r="B98" t="str">
            <v>K224141683</v>
          </cell>
          <cell r="C98" t="str">
            <v>Huỳnh Quế Nhu</v>
          </cell>
          <cell r="D98" t="str">
            <v>K22414</v>
          </cell>
          <cell r="E98" t="str">
            <v>X</v>
          </cell>
          <cell r="F98" t="str">
            <v>X</v>
          </cell>
          <cell r="H98" t="str">
            <v>XÂY DỰNG TRỢ LÝ HỖ TRỢ NGHIỆP VỤ NGÂN HÀNG DỰA TRÊN MÔ HÌNH RAG VÀ KỸ THUẬT OCR TRONG XỬ LÝ VĂN BẢN</v>
          </cell>
          <cell r="I98" t="str">
            <v>Tiếng Việt</v>
          </cell>
          <cell r="J98" t="str">
            <v>Tiếng Việt</v>
          </cell>
          <cell r="K98" t="str">
            <v>https://drive.google.com/open?id=1-CkXnJchq4dIj2pgPHRfaPhDXGfLlDB_</v>
          </cell>
          <cell r="L98" t="str">
            <v>ThS Ngô Phú Thanh</v>
          </cell>
          <cell r="M98" t="str">
            <v>Có demo sản phẩm</v>
          </cell>
          <cell r="N98" t="str">
            <v>PGS. TS Lê Đức Quang Tú</v>
          </cell>
          <cell r="O98" t="str">
            <v>TS Nguyễn Thanh Liêm</v>
          </cell>
          <cell r="P98" t="str">
            <v>PGS. TS Phạm Thị Thanh Xuân</v>
          </cell>
          <cell r="Q98" t="str">
            <v>TS Nguyễn Thanh Liêm</v>
          </cell>
          <cell r="R98" t="str">
            <v>07</v>
          </cell>
          <cell r="S98" t="str">
            <v>8h00 sáng thứ sáu ngày 06/3/2026</v>
          </cell>
        </row>
        <row r="99">
          <cell r="B99" t="str">
            <v>K224141684</v>
          </cell>
          <cell r="C99" t="str">
            <v>Phan Kiều Oanh</v>
          </cell>
          <cell r="D99" t="str">
            <v>K22414</v>
          </cell>
          <cell r="E99" t="str">
            <v>X</v>
          </cell>
          <cell r="F99" t="str">
            <v>X</v>
          </cell>
          <cell r="H99" t="str">
            <v xml:space="preserve">XÂY DỰNG HỆ THỐNG CẢNH BÁO SỚM TÌNH TRẠNG KIỆT QUỆ TÀI CHÍNH ĐỐI VỚI CÁC DOANH NGHIỆP PHI TÀI CHÍNH NIÊM YẾT TRÊN SỞ GIAO DỊCH CHỨNG KHOÁN TP. HỒ CHÍ MINH (HOSE) GIAI ĐOẠN 2014-2024 BẰNG DASHBOARD ỨNG DỤNG STREAMLIT </v>
          </cell>
          <cell r="I99" t="str">
            <v>Tiếng Việt</v>
          </cell>
          <cell r="J99" t="str">
            <v>Tiếng Việt</v>
          </cell>
          <cell r="K99" t="str">
            <v>https://drive.google.com/open?id=1yJA-6axgvCBgcGCVhqRZMQCfZNVEc6yw</v>
          </cell>
          <cell r="L99" t="str">
            <v>ThS Ngô Phú Thanh</v>
          </cell>
          <cell r="M99" t="str">
            <v>Có demo sản phẩm</v>
          </cell>
          <cell r="N99" t="str">
            <v>PGS. TS Lê Đức Quang Tú</v>
          </cell>
          <cell r="O99" t="str">
            <v>TS Nguyễn Thanh Liêm</v>
          </cell>
          <cell r="P99" t="str">
            <v>PGS. TS Phạm Thị Thanh Xuân</v>
          </cell>
          <cell r="Q99" t="str">
            <v>PGS. TS Phạm Thị Thanh Xuân</v>
          </cell>
          <cell r="R99" t="str">
            <v>07</v>
          </cell>
          <cell r="S99" t="str">
            <v>8h00 sáng thứ sáu ngày 06/3/2026</v>
          </cell>
        </row>
        <row r="100">
          <cell r="B100" t="str">
            <v>K224141689</v>
          </cell>
          <cell r="C100" t="str">
            <v>Trần Ngọc Như Quỳnh</v>
          </cell>
          <cell r="D100" t="str">
            <v>K22414</v>
          </cell>
          <cell r="E100" t="str">
            <v>X</v>
          </cell>
          <cell r="F100" t="str">
            <v>X</v>
          </cell>
          <cell r="H100" t="str">
            <v>ỨNG DỤNG MÔ HÌNH MEAN - VARIANCE VÀ HIERARCHICAL RISK PARITY TRONG PHÂN BỔ DANH MỤC CỔ PHIẾU TẠI THỊ TRƯỜNG CHỨNG KHOÁN VIỆT NAM</v>
          </cell>
          <cell r="I100" t="str">
            <v>Tiếng Việt</v>
          </cell>
          <cell r="J100" t="str">
            <v>Tiếng Việt</v>
          </cell>
          <cell r="K100" t="str">
            <v>https://drive.google.com/open?id=1u_Y61HKiFIFxBoTp3KxWmkF3T5WpVdB7</v>
          </cell>
          <cell r="L100" t="str">
            <v>ThS Ngô Phú Thanh</v>
          </cell>
          <cell r="N100" t="str">
            <v>PGS. TS Lê Đức Quang Tú</v>
          </cell>
          <cell r="O100" t="str">
            <v>TS Nguyễn Thanh Liêm</v>
          </cell>
          <cell r="P100" t="str">
            <v>PGS. TS Phạm Thị Thanh Xuân</v>
          </cell>
          <cell r="Q100" t="str">
            <v>PGS. TS Lê Đức Quang Tú</v>
          </cell>
          <cell r="R100" t="str">
            <v>07</v>
          </cell>
          <cell r="S100" t="str">
            <v>8h00 sáng thứ sáu ngày 06/3/2026</v>
          </cell>
        </row>
        <row r="101">
          <cell r="B101" t="str">
            <v>K204041141</v>
          </cell>
          <cell r="C101" t="str">
            <v>Nguyễn Ngọc Hoàng</v>
          </cell>
          <cell r="D101" t="str">
            <v>K20404</v>
          </cell>
          <cell r="F101" t="str">
            <v>X</v>
          </cell>
          <cell r="G101" t="str">
            <v>X</v>
          </cell>
          <cell r="H101" t="str">
            <v/>
          </cell>
          <cell r="I101" t="str">
            <v>Tiếng Việt</v>
          </cell>
          <cell r="L101" t="str">
            <v>ThS Nguyễn Thị Diễm Hiền</v>
          </cell>
        </row>
        <row r="102">
          <cell r="B102" t="str">
            <v>K214041625</v>
          </cell>
          <cell r="C102" t="str">
            <v>Nguyễn Hoàng Tuân</v>
          </cell>
          <cell r="D102" t="str">
            <v>K21404</v>
          </cell>
          <cell r="F102" t="str">
            <v>X</v>
          </cell>
          <cell r="G102" t="str">
            <v>X</v>
          </cell>
          <cell r="H102" t="str">
            <v/>
          </cell>
          <cell r="I102" t="str">
            <v>Tiếng Việt</v>
          </cell>
          <cell r="L102" t="str">
            <v>ThS Nguyễn Thị Diễm Hiền</v>
          </cell>
        </row>
        <row r="103">
          <cell r="B103" t="str">
            <v>K224040466</v>
          </cell>
          <cell r="C103" t="str">
            <v>Nguyễn Đình Thiên Ân</v>
          </cell>
          <cell r="D103" t="str">
            <v>K22412</v>
          </cell>
          <cell r="F103" t="str">
            <v>X</v>
          </cell>
          <cell r="G103" t="str">
            <v>X</v>
          </cell>
          <cell r="H103" t="str">
            <v/>
          </cell>
          <cell r="I103" t="str">
            <v>Tiếng Việt</v>
          </cell>
          <cell r="L103" t="str">
            <v>ThS Nguyễn Thị Diễm Hiền</v>
          </cell>
        </row>
        <row r="104">
          <cell r="B104" t="str">
            <v>K224040467</v>
          </cell>
          <cell r="C104" t="str">
            <v>Tô Gia Bảo</v>
          </cell>
          <cell r="D104" t="str">
            <v>K22412</v>
          </cell>
          <cell r="F104" t="str">
            <v>X</v>
          </cell>
          <cell r="G104" t="str">
            <v>X</v>
          </cell>
          <cell r="H104" t="str">
            <v/>
          </cell>
          <cell r="I104" t="str">
            <v>Tiếng Anh</v>
          </cell>
          <cell r="L104" t="str">
            <v>ThS Nguyễn Thị Diễm Hiền</v>
          </cell>
        </row>
        <row r="105">
          <cell r="B105" t="str">
            <v>K224040468</v>
          </cell>
          <cell r="C105" t="str">
            <v>Phạm Mai Chi</v>
          </cell>
          <cell r="D105" t="str">
            <v>K22412</v>
          </cell>
          <cell r="F105" t="str">
            <v>X</v>
          </cell>
          <cell r="G105" t="str">
            <v>X</v>
          </cell>
          <cell r="H105" t="str">
            <v/>
          </cell>
          <cell r="I105" t="str">
            <v>Tiếng Việt</v>
          </cell>
          <cell r="L105" t="str">
            <v>ThS Nguyễn Thị Diễm Hiền</v>
          </cell>
        </row>
        <row r="106">
          <cell r="B106" t="str">
            <v>K224040478</v>
          </cell>
          <cell r="C106" t="str">
            <v>Nguyễn Tuấn Kiệt</v>
          </cell>
          <cell r="D106" t="str">
            <v>K22412</v>
          </cell>
          <cell r="F106" t="str">
            <v>X</v>
          </cell>
          <cell r="G106" t="str">
            <v>X</v>
          </cell>
          <cell r="H106" t="str">
            <v/>
          </cell>
          <cell r="I106" t="str">
            <v>Tiếng Anh</v>
          </cell>
          <cell r="L106" t="str">
            <v>ThS Nguyễn Thị Diễm Hiền</v>
          </cell>
        </row>
        <row r="107">
          <cell r="B107" t="str">
            <v>K224040487</v>
          </cell>
          <cell r="C107" t="str">
            <v>Nghiêm Thùy Yến Nhi</v>
          </cell>
          <cell r="D107" t="str">
            <v>K22412</v>
          </cell>
          <cell r="F107" t="str">
            <v>X</v>
          </cell>
          <cell r="G107" t="str">
            <v>X</v>
          </cell>
          <cell r="H107" t="str">
            <v/>
          </cell>
          <cell r="I107" t="str">
            <v>Tiếng Việt</v>
          </cell>
          <cell r="L107" t="str">
            <v>ThS Nguyễn Thị Diễm Hiền</v>
          </cell>
        </row>
        <row r="108">
          <cell r="B108" t="str">
            <v>K224040489</v>
          </cell>
          <cell r="C108" t="str">
            <v>Thiều Thị Ngọc Oanh</v>
          </cell>
          <cell r="D108" t="str">
            <v>K22412</v>
          </cell>
          <cell r="F108" t="str">
            <v>X</v>
          </cell>
          <cell r="G108" t="str">
            <v>X</v>
          </cell>
          <cell r="H108" t="str">
            <v/>
          </cell>
          <cell r="I108" t="str">
            <v>Tiếng Việt</v>
          </cell>
          <cell r="L108" t="str">
            <v>ThS Nguyễn Thị Diễm Hiền</v>
          </cell>
        </row>
        <row r="109">
          <cell r="B109" t="str">
            <v>K224040490</v>
          </cell>
          <cell r="C109" t="str">
            <v>Nguyễn Ngọc Châu Phương</v>
          </cell>
          <cell r="D109" t="str">
            <v>K22412</v>
          </cell>
          <cell r="F109" t="str">
            <v>X</v>
          </cell>
          <cell r="G109" t="str">
            <v>X</v>
          </cell>
          <cell r="H109" t="str">
            <v/>
          </cell>
          <cell r="I109" t="str">
            <v>Tiếng Anh</v>
          </cell>
          <cell r="L109" t="str">
            <v>ThS Nguyễn Thị Diễm Hiền</v>
          </cell>
        </row>
        <row r="110">
          <cell r="B110" t="str">
            <v>K224040491</v>
          </cell>
          <cell r="C110" t="str">
            <v>Nguyễn Duy Phúc</v>
          </cell>
          <cell r="D110" t="str">
            <v>K22412</v>
          </cell>
          <cell r="F110" t="str">
            <v>X</v>
          </cell>
          <cell r="G110" t="str">
            <v>X</v>
          </cell>
          <cell r="H110" t="str">
            <v/>
          </cell>
          <cell r="I110" t="str">
            <v>Tiếng Việt</v>
          </cell>
          <cell r="L110" t="str">
            <v>ThS Nguyễn Thị Diễm Hiền</v>
          </cell>
        </row>
        <row r="111">
          <cell r="B111" t="str">
            <v>K224040495</v>
          </cell>
          <cell r="C111" t="str">
            <v>Hà Huy Tân</v>
          </cell>
          <cell r="D111" t="str">
            <v>K22412</v>
          </cell>
          <cell r="F111" t="str">
            <v>X</v>
          </cell>
          <cell r="G111" t="str">
            <v>X</v>
          </cell>
          <cell r="H111" t="str">
            <v/>
          </cell>
          <cell r="I111" t="str">
            <v>Tiếng Việt</v>
          </cell>
          <cell r="L111" t="str">
            <v>ThS Nguyễn Thị Diễm Hiền</v>
          </cell>
        </row>
        <row r="112">
          <cell r="B112" t="str">
            <v>K224040501</v>
          </cell>
          <cell r="C112" t="str">
            <v>Lê Thị Thủy Tiên</v>
          </cell>
          <cell r="D112" t="str">
            <v>K22412</v>
          </cell>
          <cell r="F112" t="str">
            <v>X</v>
          </cell>
          <cell r="G112" t="str">
            <v>X</v>
          </cell>
          <cell r="H112" t="str">
            <v/>
          </cell>
          <cell r="I112" t="str">
            <v>Tiếng Việt</v>
          </cell>
          <cell r="L112" t="str">
            <v>ThS Nguyễn Thị Diễm Hiền</v>
          </cell>
        </row>
        <row r="113">
          <cell r="B113" t="str">
            <v>K224040502</v>
          </cell>
          <cell r="C113" t="str">
            <v>Nguyễn Thủy Tiên</v>
          </cell>
          <cell r="D113" t="str">
            <v>K22404</v>
          </cell>
          <cell r="F113" t="str">
            <v>X</v>
          </cell>
          <cell r="G113" t="str">
            <v>X</v>
          </cell>
          <cell r="H113" t="str">
            <v/>
          </cell>
          <cell r="I113" t="str">
            <v>Tiếng Việt</v>
          </cell>
          <cell r="L113" t="str">
            <v>ThS Nguyễn Thị Diễm Hiền</v>
          </cell>
        </row>
        <row r="114">
          <cell r="B114" t="str">
            <v>K224040504</v>
          </cell>
          <cell r="C114" t="str">
            <v>Hồ Thị Ngọc Trâm</v>
          </cell>
          <cell r="D114" t="str">
            <v>K22404</v>
          </cell>
          <cell r="F114" t="str">
            <v>X</v>
          </cell>
          <cell r="G114" t="str">
            <v>X</v>
          </cell>
          <cell r="H114" t="str">
            <v/>
          </cell>
          <cell r="I114" t="str">
            <v>Tiếng Việt</v>
          </cell>
          <cell r="L114" t="str">
            <v>ThS Nguyễn Thị Diễm Hiền</v>
          </cell>
        </row>
        <row r="115">
          <cell r="B115" t="str">
            <v>K224040506</v>
          </cell>
          <cell r="C115" t="str">
            <v>Nguyễn Thanh Trúc</v>
          </cell>
          <cell r="D115" t="str">
            <v>K22404</v>
          </cell>
          <cell r="F115" t="str">
            <v>X</v>
          </cell>
          <cell r="G115" t="str">
            <v>X</v>
          </cell>
          <cell r="H115" t="str">
            <v/>
          </cell>
          <cell r="I115" t="str">
            <v>Tiếng Việt</v>
          </cell>
          <cell r="L115" t="str">
            <v>ThS Nguyễn Thị Diễm Hiền</v>
          </cell>
        </row>
        <row r="116">
          <cell r="B116" t="str">
            <v>K224040519</v>
          </cell>
          <cell r="C116" t="str">
            <v>Hoàng Thị Đông Hà</v>
          </cell>
          <cell r="D116" t="str">
            <v>K22412</v>
          </cell>
          <cell r="F116" t="str">
            <v>X</v>
          </cell>
          <cell r="G116" t="str">
            <v>X</v>
          </cell>
          <cell r="H116" t="str">
            <v/>
          </cell>
          <cell r="I116" t="str">
            <v>Tiếng Việt</v>
          </cell>
          <cell r="L116" t="str">
            <v>ThS Nguyễn Thị Diễm Hiền</v>
          </cell>
        </row>
        <row r="117">
          <cell r="B117" t="str">
            <v>K224040523</v>
          </cell>
          <cell r="C117" t="str">
            <v>Phí Nhật Hoàng</v>
          </cell>
          <cell r="D117" t="str">
            <v>K22412</v>
          </cell>
          <cell r="F117" t="str">
            <v>X</v>
          </cell>
          <cell r="G117" t="str">
            <v>X</v>
          </cell>
          <cell r="H117" t="str">
            <v/>
          </cell>
          <cell r="I117" t="str">
            <v>Tiếng Anh</v>
          </cell>
          <cell r="L117" t="str">
            <v>ThS Nguyễn Thị Diễm Hiền</v>
          </cell>
        </row>
        <row r="118">
          <cell r="B118" t="str">
            <v>K224040528</v>
          </cell>
          <cell r="C118" t="str">
            <v>Trần Nhật Linh</v>
          </cell>
          <cell r="D118" t="str">
            <v>K22412</v>
          </cell>
          <cell r="F118" t="str">
            <v>X</v>
          </cell>
          <cell r="G118" t="str">
            <v>X</v>
          </cell>
          <cell r="H118" t="str">
            <v/>
          </cell>
          <cell r="I118" t="str">
            <v>Tiếng Việt</v>
          </cell>
          <cell r="L118" t="str">
            <v>ThS Nguyễn Thị Diễm Hiền</v>
          </cell>
        </row>
        <row r="119">
          <cell r="B119" t="str">
            <v>K224042344</v>
          </cell>
          <cell r="C119" t="str">
            <v>Đỗ Kim Anh</v>
          </cell>
          <cell r="D119" t="str">
            <v>K22412</v>
          </cell>
          <cell r="F119" t="str">
            <v>X</v>
          </cell>
          <cell r="G119" t="str">
            <v>X</v>
          </cell>
          <cell r="H119" t="str">
            <v/>
          </cell>
          <cell r="I119" t="str">
            <v>Tiếng Anh</v>
          </cell>
          <cell r="L119" t="str">
            <v>ThS Nguyễn Thị Diễm Hiền</v>
          </cell>
        </row>
        <row r="120">
          <cell r="B120" t="str">
            <v>K224042345</v>
          </cell>
          <cell r="C120" t="str">
            <v>Phandolak Mona</v>
          </cell>
          <cell r="D120" t="str">
            <v>K22412</v>
          </cell>
          <cell r="F120" t="str">
            <v>X</v>
          </cell>
          <cell r="G120" t="str">
            <v>X</v>
          </cell>
          <cell r="H120" t="str">
            <v/>
          </cell>
          <cell r="I120" t="str">
            <v>Tiếng Việt</v>
          </cell>
          <cell r="L120" t="str">
            <v>ThS Nguyễn Thị Diễm Hiền</v>
          </cell>
        </row>
        <row r="121">
          <cell r="B121" t="str">
            <v>K224042346</v>
          </cell>
          <cell r="C121" t="str">
            <v>Phommavong Thipsouda</v>
          </cell>
          <cell r="D121" t="str">
            <v>K22412</v>
          </cell>
          <cell r="F121" t="str">
            <v>X</v>
          </cell>
          <cell r="G121" t="str">
            <v>X</v>
          </cell>
          <cell r="H121" t="str">
            <v/>
          </cell>
          <cell r="I121" t="str">
            <v>Tiếng Việt</v>
          </cell>
          <cell r="L121" t="str">
            <v>ThS Nguyễn Thị Diễm Hiền</v>
          </cell>
        </row>
        <row r="122">
          <cell r="B122" t="str">
            <v>K224042347</v>
          </cell>
          <cell r="C122" t="str">
            <v>Cheemeng Vangchiaxar</v>
          </cell>
          <cell r="D122" t="str">
            <v>K22412</v>
          </cell>
          <cell r="F122" t="str">
            <v>X</v>
          </cell>
          <cell r="G122" t="str">
            <v>X</v>
          </cell>
          <cell r="H122" t="str">
            <v/>
          </cell>
          <cell r="I122" t="str">
            <v>Tiếng Việt</v>
          </cell>
          <cell r="L122" t="str">
            <v>ThS Nguyễn Thị Diễm Hiền</v>
          </cell>
        </row>
        <row r="123">
          <cell r="B123" t="str">
            <v>K224141697</v>
          </cell>
          <cell r="C123" t="str">
            <v>Lâm Chánh Tín</v>
          </cell>
          <cell r="D123" t="str">
            <v>K22414</v>
          </cell>
          <cell r="E123" t="str">
            <v>X</v>
          </cell>
          <cell r="F123" t="str">
            <v>X</v>
          </cell>
          <cell r="H123" t="str">
            <v>ỨNG DỤNG DEEP REINFORCEMENT LEARNING  TRONG TỐI ƯU HÓA DANH MỤC ĐẦU TƯ CHỨNG KHOÁN Ở THỊ TRƯỜNG VIỆT NAM</v>
          </cell>
          <cell r="I123" t="str">
            <v>Tiếng Việt</v>
          </cell>
          <cell r="J123" t="str">
            <v>Tiếng Việt</v>
          </cell>
          <cell r="K123" t="str">
            <v>https://drive.google.com/open?id=1aJPIQHdorWx-XkNR5_DSy0bwEaBsmtgU</v>
          </cell>
          <cell r="L123" t="str">
            <v>ThS Ngô Phú Thanh</v>
          </cell>
          <cell r="N123" t="str">
            <v>PGS. TS Lê Đức Quang Tú</v>
          </cell>
          <cell r="O123" t="str">
            <v>TS Nguyễn Thanh Liêm</v>
          </cell>
          <cell r="P123" t="str">
            <v>PGS. TS Phạm Thị Thanh Xuân</v>
          </cell>
          <cell r="Q123" t="str">
            <v>TS Nguyễn Thanh Liêm</v>
          </cell>
          <cell r="R123" t="str">
            <v>07</v>
          </cell>
          <cell r="S123" t="str">
            <v>8h00 sáng thứ sáu ngày 06/3/2026</v>
          </cell>
        </row>
        <row r="124">
          <cell r="B124" t="str">
            <v>K224141692</v>
          </cell>
          <cell r="C124" t="str">
            <v>Nguyễn Thị Ngọc Thanh</v>
          </cell>
          <cell r="D124" t="str">
            <v>K22414</v>
          </cell>
          <cell r="E124" t="str">
            <v>X</v>
          </cell>
          <cell r="F124" t="str">
            <v>X</v>
          </cell>
          <cell r="H124" t="str">
            <v>ỨNG DỤNG MÔ HÌNH HEDONIC VÀ MACHINE LEARNING TRONG PHÂN TÍCH CÁC YẾU TỐ ẢNH HƯỞNG ĐẾN GIÁ CĂN HỘ CHUNG CƯ TẠI TP.HCM</v>
          </cell>
          <cell r="I124" t="str">
            <v>Tiếng Việt</v>
          </cell>
          <cell r="J124" t="str">
            <v>Tiếng Việt</v>
          </cell>
          <cell r="K124" t="str">
            <v>https://drive.google.com/open?id=1rqbS8g3SruQRRw9kpmc5kXg9tKJVEn5h</v>
          </cell>
          <cell r="L124" t="str">
            <v>ThS Ngô Phú Thanh</v>
          </cell>
          <cell r="N124" t="str">
            <v>PGS. TS Lê Đức Quang Tú</v>
          </cell>
          <cell r="O124" t="str">
            <v>TS Nguyễn Thanh Liêm</v>
          </cell>
          <cell r="P124" t="str">
            <v>PGS. TS Phạm Thị Thanh Xuân</v>
          </cell>
          <cell r="Q124" t="str">
            <v>PGS. TS Lê Đức Quang Tú</v>
          </cell>
          <cell r="R124" t="str">
            <v>07</v>
          </cell>
          <cell r="S124" t="str">
            <v>8h00 sáng thứ sáu ngày 06/3/2026</v>
          </cell>
        </row>
        <row r="125">
          <cell r="B125" t="str">
            <v>K224141672</v>
          </cell>
          <cell r="C125" t="str">
            <v>Phan Ánh Linh</v>
          </cell>
          <cell r="D125" t="str">
            <v>K22414</v>
          </cell>
          <cell r="E125" t="str">
            <v>X</v>
          </cell>
          <cell r="F125" t="str">
            <v>X</v>
          </cell>
          <cell r="H125" t="str">
            <v>ỨNG DỤNG MÔ HÌNH HỌC SÂU LAI LSTM-GRU TRONG DỰ BÁO ĐIỂM ĐẢO CHIỀU XU HƯỚNG CỔ PHIẾU: THỰC NGHIỆM TẠI THỊ TRƯỜNG CHỨNG KHOÁN VIỆT NAM</v>
          </cell>
          <cell r="I125" t="str">
            <v>Tiếng Anh</v>
          </cell>
          <cell r="J125" t="str">
            <v>Tiếng Việt</v>
          </cell>
          <cell r="K125" t="str">
            <v>https://drive.google.com/open?id=1apeGzQjqsRX5_mRKHRLphzoZ5xItuB0T</v>
          </cell>
          <cell r="L125" t="str">
            <v>ThS Phan Huy Tâm</v>
          </cell>
          <cell r="M125" t="str">
            <v>Có demo (Dashboard)</v>
          </cell>
          <cell r="N125" t="str">
            <v>PGS. TS Lê Đức Quang Tú</v>
          </cell>
          <cell r="O125" t="str">
            <v>TS Nguyễn Thanh Liêm</v>
          </cell>
          <cell r="P125" t="str">
            <v>PGS. TS Phạm Thị Thanh Xuân</v>
          </cell>
          <cell r="Q125" t="str">
            <v>PGS. TS Phạm Thị Thanh Xuân</v>
          </cell>
          <cell r="R125" t="str">
            <v>07</v>
          </cell>
          <cell r="S125" t="str">
            <v>8h00 sáng thứ sáu ngày 06/3/2026</v>
          </cell>
        </row>
        <row r="126">
          <cell r="B126" t="str">
            <v>K224040464</v>
          </cell>
          <cell r="C126" t="str">
            <v>Phạm Vũ Tú Anh</v>
          </cell>
          <cell r="D126" t="str">
            <v>K22412</v>
          </cell>
          <cell r="F126" t="str">
            <v>X</v>
          </cell>
          <cell r="G126" t="str">
            <v>X</v>
          </cell>
          <cell r="H126" t="str">
            <v/>
          </cell>
          <cell r="I126" t="str">
            <v>Tiếng Anh</v>
          </cell>
          <cell r="L126" t="str">
            <v>ThS Nguyễn Thị Hai Hằng</v>
          </cell>
        </row>
        <row r="127">
          <cell r="B127" t="str">
            <v>K224040469</v>
          </cell>
          <cell r="C127" t="str">
            <v>Nguyễn Thị Thúy Diễm</v>
          </cell>
          <cell r="D127" t="str">
            <v>K22412</v>
          </cell>
          <cell r="F127" t="str">
            <v>X</v>
          </cell>
          <cell r="G127" t="str">
            <v>X</v>
          </cell>
          <cell r="H127" t="str">
            <v/>
          </cell>
          <cell r="I127" t="str">
            <v>Tiếng Anh</v>
          </cell>
          <cell r="L127" t="str">
            <v>ThS Nguyễn Thị Hai Hằng</v>
          </cell>
        </row>
        <row r="128">
          <cell r="B128" t="str">
            <v>K224040482</v>
          </cell>
          <cell r="C128" t="str">
            <v>Dương Công Nam</v>
          </cell>
          <cell r="D128" t="str">
            <v>K22412</v>
          </cell>
          <cell r="F128" t="str">
            <v>X</v>
          </cell>
          <cell r="G128" t="str">
            <v>X</v>
          </cell>
          <cell r="H128" t="str">
            <v/>
          </cell>
          <cell r="I128" t="str">
            <v>Tiếng Việt</v>
          </cell>
          <cell r="L128" t="str">
            <v>ThS Nguyễn Thị Hai Hằng</v>
          </cell>
        </row>
        <row r="129">
          <cell r="B129" t="str">
            <v>K224040485</v>
          </cell>
          <cell r="C129" t="str">
            <v>Triệu Hoàng Kim Nguyên</v>
          </cell>
          <cell r="D129" t="str">
            <v>K22412</v>
          </cell>
          <cell r="F129" t="str">
            <v>X</v>
          </cell>
          <cell r="G129" t="str">
            <v>X</v>
          </cell>
          <cell r="H129" t="str">
            <v/>
          </cell>
          <cell r="I129" t="str">
            <v>Tiếng Việt</v>
          </cell>
          <cell r="L129" t="str">
            <v>ThS Nguyễn Thị Hai Hằng</v>
          </cell>
        </row>
        <row r="130">
          <cell r="B130" t="str">
            <v>K224040494</v>
          </cell>
          <cell r="C130" t="str">
            <v>Huỳnh Thị Thanh Tâm</v>
          </cell>
          <cell r="D130" t="str">
            <v>K22412</v>
          </cell>
          <cell r="F130" t="str">
            <v>X</v>
          </cell>
          <cell r="G130" t="str">
            <v>X</v>
          </cell>
          <cell r="H130" t="str">
            <v/>
          </cell>
          <cell r="I130" t="str">
            <v>Tiếng Việt</v>
          </cell>
          <cell r="L130" t="str">
            <v>ThS Nguyễn Thị Hai Hằng</v>
          </cell>
        </row>
        <row r="131">
          <cell r="B131" t="str">
            <v>K224040497</v>
          </cell>
          <cell r="C131" t="str">
            <v>Phan Như Thành</v>
          </cell>
          <cell r="D131" t="str">
            <v>K22412</v>
          </cell>
          <cell r="F131" t="str">
            <v>X</v>
          </cell>
          <cell r="G131" t="str">
            <v>X</v>
          </cell>
          <cell r="H131" t="str">
            <v/>
          </cell>
          <cell r="I131" t="str">
            <v>Tiếng Việt</v>
          </cell>
          <cell r="L131" t="str">
            <v>ThS Nguyễn Thị Hai Hằng</v>
          </cell>
        </row>
        <row r="132">
          <cell r="B132" t="str">
            <v>K224040498</v>
          </cell>
          <cell r="C132" t="str">
            <v>Lê Hưng Thịnh</v>
          </cell>
          <cell r="D132" t="str">
            <v>K22404</v>
          </cell>
          <cell r="F132" t="str">
            <v>X</v>
          </cell>
          <cell r="G132" t="str">
            <v>X</v>
          </cell>
          <cell r="H132" t="str">
            <v/>
          </cell>
          <cell r="I132" t="str">
            <v>Tiếng Việt</v>
          </cell>
          <cell r="L132" t="str">
            <v>ThS Nguyễn Thị Hai Hằng</v>
          </cell>
        </row>
        <row r="133">
          <cell r="B133" t="str">
            <v>K224040499</v>
          </cell>
          <cell r="C133" t="str">
            <v>Bùi Anh Thư</v>
          </cell>
          <cell r="D133" t="str">
            <v>K22404</v>
          </cell>
          <cell r="F133" t="str">
            <v>X</v>
          </cell>
          <cell r="G133" t="str">
            <v>X</v>
          </cell>
          <cell r="H133" t="str">
            <v/>
          </cell>
          <cell r="I133" t="str">
            <v>Tiếng Việt</v>
          </cell>
          <cell r="L133" t="str">
            <v>ThS Nguyễn Thị Hai Hằng</v>
          </cell>
        </row>
        <row r="134">
          <cell r="B134" t="str">
            <v>K224040500</v>
          </cell>
          <cell r="C134" t="str">
            <v>Nguyễn Thị Thương</v>
          </cell>
          <cell r="D134" t="str">
            <v>K22404</v>
          </cell>
          <cell r="F134" t="str">
            <v>X</v>
          </cell>
          <cell r="G134" t="str">
            <v>X</v>
          </cell>
          <cell r="H134" t="str">
            <v/>
          </cell>
          <cell r="I134" t="str">
            <v>Tiếng Việt</v>
          </cell>
          <cell r="L134" t="str">
            <v>ThS Nguyễn Thị Hai Hằng</v>
          </cell>
        </row>
        <row r="135">
          <cell r="B135" t="str">
            <v>K224040505</v>
          </cell>
          <cell r="C135" t="str">
            <v>Nguyễn Ngọc Huyền Trân</v>
          </cell>
          <cell r="D135" t="str">
            <v>K22412</v>
          </cell>
          <cell r="F135" t="str">
            <v>X</v>
          </cell>
          <cell r="G135" t="str">
            <v>X</v>
          </cell>
          <cell r="H135" t="str">
            <v/>
          </cell>
          <cell r="I135" t="str">
            <v>Tiếng Việt</v>
          </cell>
          <cell r="L135" t="str">
            <v>ThS Nguyễn Thị Hai Hằng</v>
          </cell>
        </row>
        <row r="136">
          <cell r="B136" t="str">
            <v>K224040509</v>
          </cell>
          <cell r="C136" t="str">
            <v>Phan Ngọc Khánh Uyên</v>
          </cell>
          <cell r="D136" t="str">
            <v>K22412</v>
          </cell>
          <cell r="F136" t="str">
            <v>X</v>
          </cell>
          <cell r="G136" t="str">
            <v>X</v>
          </cell>
          <cell r="H136" t="str">
            <v/>
          </cell>
          <cell r="I136" t="str">
            <v>Tiếng Việt</v>
          </cell>
          <cell r="L136" t="str">
            <v>ThS Nguyễn Thị Hai Hằng</v>
          </cell>
        </row>
        <row r="137">
          <cell r="B137" t="str">
            <v>K224040510</v>
          </cell>
          <cell r="C137" t="str">
            <v>Lê Trịnh Thảo Vi</v>
          </cell>
          <cell r="D137" t="str">
            <v>K22412</v>
          </cell>
          <cell r="F137" t="str">
            <v>X</v>
          </cell>
          <cell r="G137" t="str">
            <v>X</v>
          </cell>
          <cell r="H137" t="str">
            <v/>
          </cell>
          <cell r="I137" t="str">
            <v>Tiếng Việt</v>
          </cell>
          <cell r="L137" t="str">
            <v>ThS Nguyễn Thị Hai Hằng</v>
          </cell>
        </row>
        <row r="138">
          <cell r="B138" t="str">
            <v>K224040512</v>
          </cell>
          <cell r="C138" t="str">
            <v>Nguyễn Tường Vy</v>
          </cell>
          <cell r="D138" t="str">
            <v>K22412</v>
          </cell>
          <cell r="F138" t="str">
            <v>X</v>
          </cell>
          <cell r="G138" t="str">
            <v>X</v>
          </cell>
          <cell r="H138" t="str">
            <v/>
          </cell>
          <cell r="I138" t="str">
            <v>Tiếng Việt</v>
          </cell>
          <cell r="L138" t="str">
            <v>ThS Nguyễn Thị Hai Hằng</v>
          </cell>
        </row>
        <row r="139">
          <cell r="B139" t="str">
            <v>K224040518</v>
          </cell>
          <cell r="C139" t="str">
            <v>Nguyễn Triệu Duy</v>
          </cell>
          <cell r="D139" t="str">
            <v>K22404</v>
          </cell>
          <cell r="F139" t="str">
            <v>X</v>
          </cell>
          <cell r="G139" t="str">
            <v>X</v>
          </cell>
          <cell r="H139" t="str">
            <v/>
          </cell>
          <cell r="I139" t="str">
            <v>Tiếng Việt</v>
          </cell>
          <cell r="L139" t="str">
            <v>ThS Nguyễn Thị Hai Hằng</v>
          </cell>
        </row>
        <row r="140">
          <cell r="B140" t="str">
            <v>K224040521</v>
          </cell>
          <cell r="C140" t="str">
            <v>Nguyễn Huy Thu Hằng</v>
          </cell>
          <cell r="D140" t="str">
            <v>K22404</v>
          </cell>
          <cell r="F140" t="str">
            <v>X</v>
          </cell>
          <cell r="G140" t="str">
            <v>X</v>
          </cell>
          <cell r="H140" t="str">
            <v/>
          </cell>
          <cell r="I140" t="str">
            <v>Tiếng Việt</v>
          </cell>
          <cell r="L140" t="str">
            <v>ThS Nguyễn Thị Hai Hằng</v>
          </cell>
        </row>
        <row r="141">
          <cell r="B141" t="str">
            <v>K224040522</v>
          </cell>
          <cell r="C141" t="str">
            <v>Đỗ Thu Hiền</v>
          </cell>
          <cell r="D141" t="str">
            <v>K22412</v>
          </cell>
          <cell r="F141" t="str">
            <v>X</v>
          </cell>
          <cell r="G141" t="str">
            <v>X</v>
          </cell>
          <cell r="H141" t="str">
            <v/>
          </cell>
          <cell r="I141" t="str">
            <v>Tiếng Anh</v>
          </cell>
          <cell r="L141" t="str">
            <v>ThS Nguyễn Thị Hai Hằng</v>
          </cell>
        </row>
        <row r="142">
          <cell r="B142" t="str">
            <v>K224040525</v>
          </cell>
          <cell r="C142" t="str">
            <v>Nguyễn Đỗ Thiên Hương</v>
          </cell>
          <cell r="D142" t="str">
            <v>K22412</v>
          </cell>
          <cell r="F142" t="str">
            <v>X</v>
          </cell>
          <cell r="G142" t="str">
            <v>X</v>
          </cell>
          <cell r="H142" t="str">
            <v/>
          </cell>
          <cell r="I142" t="str">
            <v>Tiếng Việt</v>
          </cell>
          <cell r="L142" t="str">
            <v>ThS Nguyễn Thị Hai Hằng</v>
          </cell>
        </row>
        <row r="143">
          <cell r="B143" t="str">
            <v>K224040527</v>
          </cell>
          <cell r="C143" t="str">
            <v>Chu Thị Mỹ Linh</v>
          </cell>
          <cell r="D143" t="str">
            <v>K22412</v>
          </cell>
          <cell r="F143" t="str">
            <v>X</v>
          </cell>
          <cell r="G143" t="str">
            <v>X</v>
          </cell>
          <cell r="H143" t="str">
            <v/>
          </cell>
          <cell r="I143" t="str">
            <v>Tiếng Việt</v>
          </cell>
          <cell r="L143" t="str">
            <v>ThS Nguyễn Thị Hai Hằng</v>
          </cell>
        </row>
        <row r="144">
          <cell r="B144" t="str">
            <v>K224040531</v>
          </cell>
          <cell r="C144" t="str">
            <v>Lê Bảo Ngân</v>
          </cell>
          <cell r="D144" t="str">
            <v>K22412</v>
          </cell>
          <cell r="F144" t="str">
            <v>X</v>
          </cell>
          <cell r="G144" t="str">
            <v>X</v>
          </cell>
          <cell r="H144" t="str">
            <v/>
          </cell>
          <cell r="I144" t="str">
            <v>Tiếng Anh</v>
          </cell>
          <cell r="L144" t="str">
            <v>ThS Nguyễn Thị Hai Hằng</v>
          </cell>
        </row>
        <row r="145">
          <cell r="B145" t="str">
            <v>K224040533</v>
          </cell>
          <cell r="C145" t="str">
            <v>Lê Hà Bảo Ngọc</v>
          </cell>
          <cell r="D145" t="str">
            <v>K22412</v>
          </cell>
          <cell r="F145" t="str">
            <v>X</v>
          </cell>
          <cell r="G145" t="str">
            <v>X</v>
          </cell>
          <cell r="H145" t="str">
            <v/>
          </cell>
          <cell r="I145" t="str">
            <v>Tiếng Việt</v>
          </cell>
          <cell r="L145" t="str">
            <v>ThS Nguyễn Thị Hai Hằng</v>
          </cell>
        </row>
        <row r="146">
          <cell r="B146" t="str">
            <v>K224040534</v>
          </cell>
          <cell r="C146" t="str">
            <v>Nguyễn Trần Ái Nguyệt</v>
          </cell>
          <cell r="D146" t="str">
            <v>K22404</v>
          </cell>
          <cell r="F146" t="str">
            <v>X</v>
          </cell>
          <cell r="G146" t="str">
            <v>X</v>
          </cell>
          <cell r="H146" t="str">
            <v/>
          </cell>
          <cell r="I146" t="str">
            <v>Tiếng Việt</v>
          </cell>
          <cell r="L146" t="str">
            <v>ThS Nguyễn Thị Hai Hằng</v>
          </cell>
        </row>
        <row r="147">
          <cell r="B147" t="str">
            <v>K224040535</v>
          </cell>
          <cell r="C147" t="str">
            <v>Lê Thị Kiều Nhi</v>
          </cell>
          <cell r="D147" t="str">
            <v>K22404</v>
          </cell>
          <cell r="F147" t="str">
            <v>X</v>
          </cell>
          <cell r="G147" t="str">
            <v>X</v>
          </cell>
          <cell r="H147" t="str">
            <v/>
          </cell>
          <cell r="I147" t="str">
            <v>Tiếng Việt</v>
          </cell>
          <cell r="L147" t="str">
            <v>ThS Nguyễn Thị Hai Hằng</v>
          </cell>
        </row>
        <row r="148">
          <cell r="B148" t="str">
            <v>K224040537</v>
          </cell>
          <cell r="C148" t="str">
            <v>Đặng Kiều Oanh</v>
          </cell>
          <cell r="D148" t="str">
            <v>K22404</v>
          </cell>
          <cell r="F148" t="str">
            <v>X</v>
          </cell>
          <cell r="G148" t="str">
            <v>X</v>
          </cell>
          <cell r="H148" t="str">
            <v/>
          </cell>
          <cell r="I148" t="str">
            <v>Tiếng Việt</v>
          </cell>
          <cell r="L148" t="str">
            <v>ThS Nguyễn Thị Hai Hằng</v>
          </cell>
        </row>
        <row r="149">
          <cell r="B149" t="str">
            <v>K224040552</v>
          </cell>
          <cell r="C149" t="str">
            <v>Huỳnh Mai Huyền Trang</v>
          </cell>
          <cell r="D149" t="str">
            <v>K22412</v>
          </cell>
          <cell r="F149" t="str">
            <v>X</v>
          </cell>
          <cell r="G149" t="str">
            <v>X</v>
          </cell>
          <cell r="H149" t="str">
            <v/>
          </cell>
          <cell r="I149" t="str">
            <v>Tiếng Việt</v>
          </cell>
          <cell r="L149" t="str">
            <v>ThS Nguyễn Thị Hai Hằng</v>
          </cell>
        </row>
        <row r="150">
          <cell r="B150" t="str">
            <v>K224040554</v>
          </cell>
          <cell r="C150" t="str">
            <v>Lê Thanh Trúc</v>
          </cell>
          <cell r="D150" t="str">
            <v>K22412</v>
          </cell>
          <cell r="F150" t="str">
            <v>X</v>
          </cell>
          <cell r="G150" t="str">
            <v>X</v>
          </cell>
          <cell r="H150" t="str">
            <v/>
          </cell>
          <cell r="I150" t="str">
            <v>Tiếng Việt</v>
          </cell>
          <cell r="L150" t="str">
            <v>ThS Nguyễn Thị Hai Hằng</v>
          </cell>
        </row>
        <row r="151">
          <cell r="B151" t="str">
            <v>K224040557</v>
          </cell>
          <cell r="C151" t="str">
            <v>Nguyễn Văn Tuyên</v>
          </cell>
          <cell r="D151" t="str">
            <v>K22412</v>
          </cell>
          <cell r="F151" t="str">
            <v>X</v>
          </cell>
          <cell r="G151" t="str">
            <v>X</v>
          </cell>
          <cell r="H151" t="str">
            <v/>
          </cell>
          <cell r="I151" t="str">
            <v>Tiếng Anh</v>
          </cell>
          <cell r="L151" t="str">
            <v>ThS Nguyễn Thị Hai Hằng</v>
          </cell>
        </row>
        <row r="152">
          <cell r="B152" t="str">
            <v>K224040559</v>
          </cell>
          <cell r="C152" t="str">
            <v>Vũ Hoàng Vi</v>
          </cell>
          <cell r="D152" t="str">
            <v>K22412</v>
          </cell>
          <cell r="F152" t="str">
            <v>X</v>
          </cell>
          <cell r="G152" t="str">
            <v>X</v>
          </cell>
          <cell r="H152" t="str">
            <v/>
          </cell>
          <cell r="I152" t="str">
            <v>Tiếng Việt</v>
          </cell>
          <cell r="L152" t="str">
            <v>ThS Nguyễn Thị Hai Hằng</v>
          </cell>
        </row>
        <row r="153">
          <cell r="B153" t="str">
            <v>K224141675</v>
          </cell>
          <cell r="C153" t="str">
            <v>Huỳnh Thị Thanh Nga</v>
          </cell>
          <cell r="D153" t="str">
            <v>K22414</v>
          </cell>
          <cell r="E153" t="str">
            <v>X</v>
          </cell>
          <cell r="H153" t="str">
            <v>XÂY DỰNG VÀ SO SÁNH HIỆU QUẢ DANH MỤC ĐẦU TƯ THEO MÔ HÌNH MARKOWITZ VÀ DOWNSIDE RISK TRÊN RỔ CỔ PHIẾU VN100 KẾT HỢP KỸ THUẬT PHÂN CỤM</v>
          </cell>
          <cell r="I153" t="str">
            <v>Tiếng Anh</v>
          </cell>
          <cell r="J153" t="str">
            <v>Tiếng Việt</v>
          </cell>
          <cell r="K153" t="str">
            <v>https://drive.google.com/open?id=1HBe6sKVWo57SYNJmGwuMlghonFnmX4hz</v>
          </cell>
          <cell r="L153" t="str">
            <v>ThS Phan Huy Tâm</v>
          </cell>
          <cell r="M153" t="str">
            <v>Có demo (Dashboard)</v>
          </cell>
          <cell r="N153" t="str">
            <v>PGS. TS Lê Đức Quang Tú</v>
          </cell>
          <cell r="O153" t="str">
            <v>TS Nguyễn Thanh Liêm</v>
          </cell>
          <cell r="P153" t="str">
            <v>PGS. TS Phạm Thị Thanh Xuân</v>
          </cell>
          <cell r="Q153" t="str">
            <v>PGS. TS Lê Đức Quang Tú</v>
          </cell>
          <cell r="R153" t="str">
            <v>07</v>
          </cell>
          <cell r="S153" t="str">
            <v>8h00 sáng thứ sáu ngày 06/3/2026</v>
          </cell>
        </row>
        <row r="154">
          <cell r="B154" t="str">
            <v>K224141682</v>
          </cell>
          <cell r="C154" t="str">
            <v>Hồ Minh Nhí</v>
          </cell>
          <cell r="D154" t="str">
            <v>K22414</v>
          </cell>
          <cell r="E154" t="str">
            <v>X</v>
          </cell>
          <cell r="F154" t="str">
            <v>X</v>
          </cell>
          <cell r="H154" t="str">
            <v>APPLYING MACHINE LEARNING TO ASSESS  FINANCIAL RISK OF VIETNAMESE LISTED FIRMS  USING CLASSICAL BANKRUPTCY MODELS  AND PRICE-BASED RISK MEASURES</v>
          </cell>
          <cell r="I154" t="str">
            <v>Tiếng Anh</v>
          </cell>
          <cell r="J154" t="str">
            <v>Tiếng Anh</v>
          </cell>
          <cell r="K154" t="str">
            <v>https://drive.google.com/open?id=1j0SOYbvN-zT3wki1_Soaju3X2FjgX1mG</v>
          </cell>
          <cell r="L154" t="str">
            <v>ThS Phan Huy Tâm</v>
          </cell>
          <cell r="N154" t="str">
            <v>PGS. TS Lê Đức Quang Tú</v>
          </cell>
          <cell r="O154" t="str">
            <v>TS Nguyễn Thanh Liêm</v>
          </cell>
          <cell r="P154" t="str">
            <v>PGS. TS Phạm Thị Thanh Xuân</v>
          </cell>
          <cell r="Q154" t="str">
            <v>TS Nguyễn Thanh Liêm</v>
          </cell>
          <cell r="R154" t="str">
            <v>07</v>
          </cell>
          <cell r="S154" t="str">
            <v>8h00 sáng thứ sáu ngày 06/3/2026</v>
          </cell>
        </row>
        <row r="155">
          <cell r="B155" t="str">
            <v>K224141686</v>
          </cell>
          <cell r="C155" t="str">
            <v>Phạm Ngọc Quang</v>
          </cell>
          <cell r="D155" t="str">
            <v>K22414</v>
          </cell>
          <cell r="E155" t="str">
            <v>X</v>
          </cell>
          <cell r="F155" t="str">
            <v>X</v>
          </cell>
          <cell r="H155" t="str">
            <v>ỨNG DỤNG MÁY HỌC TRONG PHÂN TÍCH  CẢM XÚC THỊ TRƯỜNG ĐỂ DỰ BÁO GIÁ CỔ PHIẾU VIỆT NAM</v>
          </cell>
          <cell r="I155" t="str">
            <v>Tiếng Việt</v>
          </cell>
          <cell r="J155" t="str">
            <v>Tiếng Việt</v>
          </cell>
          <cell r="K155" t="str">
            <v>https://drive.google.com/open?id=1Kuz9QfEauikGIqe7-RKIIw7OON_RD5b9&amp;usp=drive_fs</v>
          </cell>
          <cell r="L155" t="str">
            <v>ThS Phan Huy Tâm</v>
          </cell>
          <cell r="M155" t="str">
            <v>gia đình SV có biến cố lớn, đã liên hệ GVHD muốn huỷ nhưng có cố gắng hoàn thiện, mong hội đồng xem xét tạo điều kiện thêm cho SV</v>
          </cell>
          <cell r="N155" t="str">
            <v>PGS. TS Lê Đức Quang Tú</v>
          </cell>
          <cell r="O155" t="str">
            <v>TS Nguyễn Thanh Liêm</v>
          </cell>
          <cell r="P155" t="str">
            <v>PGS. TS Phạm Thị Thanh Xuân</v>
          </cell>
          <cell r="Q155" t="str">
            <v>PGS. TS Phạm Thị Thanh Xuân</v>
          </cell>
          <cell r="R155" t="str">
            <v>07</v>
          </cell>
          <cell r="S155" t="str">
            <v>8h00 sáng thứ sáu ngày 06/3/2026</v>
          </cell>
        </row>
        <row r="156">
          <cell r="B156" t="str">
            <v>K224141742</v>
          </cell>
          <cell r="C156" t="str">
            <v>Nguyễn Sơn Trường</v>
          </cell>
          <cell r="D156" t="str">
            <v>K22414C</v>
          </cell>
          <cell r="E156" t="str">
            <v>X</v>
          </cell>
          <cell r="F156" t="str">
            <v>X</v>
          </cell>
          <cell r="H156" t="str">
            <v>ỨNG DỤNG THUẬT TOÁN K-MEANS TRONG VIỆC PHÂN NHÓM CỔ PHIẾU VÀ TẠO LẬP DANH MỤC ĐẦU TƯ.</v>
          </cell>
          <cell r="I156" t="str">
            <v>Tiếng Việt</v>
          </cell>
          <cell r="J156" t="str">
            <v>Tiếng Việt</v>
          </cell>
          <cell r="K156" t="str">
            <v>https://drive.google.com/open?id=1w1FE9h3C8odNYERPJndNdr2Ljho940r2</v>
          </cell>
          <cell r="L156" t="str">
            <v>TS Võ Thị Ngọc Trinh</v>
          </cell>
          <cell r="N156" t="str">
            <v>PGS. TS Lê Đức Quang Tú</v>
          </cell>
          <cell r="O156" t="str">
            <v>TS Nguyễn Thanh Liêm</v>
          </cell>
          <cell r="P156" t="str">
            <v>PGS. TS Phạm Thị Thanh Xuân</v>
          </cell>
          <cell r="Q156" t="str">
            <v>TS Nguyễn Thanh Liêm</v>
          </cell>
          <cell r="R156" t="str">
            <v>07</v>
          </cell>
          <cell r="S156" t="str">
            <v>8h00 sáng thứ sáu ngày 06/3/2026</v>
          </cell>
        </row>
        <row r="157">
          <cell r="B157" t="str">
            <v>K224141699</v>
          </cell>
          <cell r="C157" t="str">
            <v>Phan Nguyễn Xuân Toàn</v>
          </cell>
          <cell r="D157" t="str">
            <v>K22414</v>
          </cell>
          <cell r="E157" t="str">
            <v>X</v>
          </cell>
          <cell r="F157" t="str">
            <v>X</v>
          </cell>
          <cell r="H157" t="str">
            <v>THIẾT KẾ VÀ TRIỂN KHAI HỆ THỐNG GIAO DỊCH ĐỊNH LƯỢNG THÍCH NGHI (ADAPTIVE) TRÊN THỊ TRƯỜNG TIỀN MÃ HÓA ỨNG DỤNG BỘ LỌC KALMAN VÀ TỐI ƯU HÓA DANH MỤC THEO KELLY CRITERION</v>
          </cell>
          <cell r="I157" t="str">
            <v>Tiếng Việt</v>
          </cell>
          <cell r="J157" t="str">
            <v>Tiếng Việt</v>
          </cell>
          <cell r="K157" t="str">
            <v>https://drive.google.com/open?id=1nfvXbXBBOl55YDqEI_K3x-gNOV88_xgM</v>
          </cell>
          <cell r="L157" t="str">
            <v>ThS Ngô Phú Thanh</v>
          </cell>
          <cell r="N157" t="str">
            <v>PGS. TS Phạm Thị Thanh Xuân</v>
          </cell>
          <cell r="O157" t="str">
            <v>TS Nguyễn Thanh Liêm</v>
          </cell>
          <cell r="P157" t="str">
            <v>PGS. TS Lê Đức Quang Tú</v>
          </cell>
          <cell r="Q157" t="str">
            <v>PGS. TS Phạm Thị Thanh Xuân</v>
          </cell>
          <cell r="R157" t="str">
            <v>08</v>
          </cell>
          <cell r="S157" t="str">
            <v>13h00 chiều thứ sáu ngày 06/3/2026</v>
          </cell>
        </row>
        <row r="158">
          <cell r="B158" t="str">
            <v>K224141707</v>
          </cell>
          <cell r="C158" t="str">
            <v>Lê Thị Mỹ Uyên</v>
          </cell>
          <cell r="D158" t="str">
            <v>K22414</v>
          </cell>
          <cell r="E158" t="str">
            <v>X</v>
          </cell>
          <cell r="H158" t="str">
            <v>ỨNG DỤNG HỌC MÁY TRONG PHÂN LOẠI  SỨC KHỎE TÀI CHÍNH VÀ ĐÁNH GIÁ TÍN NHIỆM  DOANH NGHIỆP PHI TÀI CHÍNH VIỆT NAM</v>
          </cell>
          <cell r="I158" t="str">
            <v>Tiếng Việt</v>
          </cell>
          <cell r="J158" t="str">
            <v>Tiếng Việt</v>
          </cell>
          <cell r="K158" t="str">
            <v>https://drive.google.com/open?id=1RgOEnqncxiwz0uPnMw6askGZVose1ex_</v>
          </cell>
          <cell r="L158" t="str">
            <v>ThS Ngô Phú Thanh</v>
          </cell>
          <cell r="N158" t="str">
            <v>PGS. TS Phạm Thị Thanh Xuân</v>
          </cell>
          <cell r="O158" t="str">
            <v>TS Nguyễn Thanh Liêm</v>
          </cell>
          <cell r="P158" t="str">
            <v>PGS. TS Lê Đức Quang Tú</v>
          </cell>
          <cell r="Q158" t="str">
            <v>TS Nguyễn Thanh Liêm</v>
          </cell>
          <cell r="R158" t="str">
            <v>08</v>
          </cell>
          <cell r="S158" t="str">
            <v>13h00 chiều thứ sáu ngày 06/3/2026</v>
          </cell>
        </row>
        <row r="159">
          <cell r="B159" t="str">
            <v>K224141708</v>
          </cell>
          <cell r="C159" t="str">
            <v>Phạm Thị Điệp Vân</v>
          </cell>
          <cell r="D159" t="str">
            <v>K22414</v>
          </cell>
          <cell r="E159" t="str">
            <v>X</v>
          </cell>
          <cell r="H159" t="str">
            <v>PHÂN TÍCH VÀ ỨNG DỤNG HỌC MÁY   TRONG CẢNH BÁO SỚM RỦI RO TÀI CHÍNH CỦA CÁC DOANH  NGHIỆP PHI TÀI CHÍNH NIÊM YẾT TẠI VIỆT NAM</v>
          </cell>
          <cell r="I159" t="str">
            <v>Tiếng Việt</v>
          </cell>
          <cell r="J159" t="str">
            <v>Tiếng Việt</v>
          </cell>
          <cell r="K159" t="str">
            <v>https://drive.google.com/open?id=1ik8rS8-FKwXAote9J5tcBc2yA80_AfRp</v>
          </cell>
          <cell r="L159" t="str">
            <v>ThS Ngô Phú Thanh</v>
          </cell>
          <cell r="N159" t="str">
            <v>PGS. TS Phạm Thị Thanh Xuân</v>
          </cell>
          <cell r="O159" t="str">
            <v>TS Nguyễn Thanh Liêm</v>
          </cell>
          <cell r="P159" t="str">
            <v>PGS. TS Lê Đức Quang Tú</v>
          </cell>
          <cell r="Q159" t="str">
            <v>PGS. TS Lê Đức Quang Tú</v>
          </cell>
          <cell r="R159" t="str">
            <v>08</v>
          </cell>
          <cell r="S159" t="str">
            <v>13h00 chiều thứ sáu ngày 06/3/2026</v>
          </cell>
        </row>
        <row r="160">
          <cell r="B160" t="str">
            <v>K224040574</v>
          </cell>
          <cell r="C160" t="str">
            <v>Nguyễn Lê Nhật Minh</v>
          </cell>
          <cell r="D160" t="str">
            <v>K22404C</v>
          </cell>
          <cell r="F160" t="str">
            <v>X</v>
          </cell>
          <cell r="G160" t="str">
            <v>X</v>
          </cell>
          <cell r="H160" t="str">
            <v/>
          </cell>
          <cell r="I160" t="str">
            <v>Tiếng Anh</v>
          </cell>
          <cell r="L160" t="str">
            <v>ThS Phạm Chí Khoa</v>
          </cell>
        </row>
        <row r="161">
          <cell r="B161" t="str">
            <v>K224142348</v>
          </cell>
          <cell r="C161" t="str">
            <v>Nguyễn Duy Ngọc</v>
          </cell>
          <cell r="D161" t="str">
            <v>K22414</v>
          </cell>
          <cell r="E161" t="str">
            <v>X</v>
          </cell>
          <cell r="F161" t="str">
            <v>X</v>
          </cell>
          <cell r="H161" t="str">
            <v>XÂY DỰNG HỆ THỐNG CHATBOT TƯ VẤN SẢN PHẨM DỊCH VỤ NGÂN HÀNG TÍCH HỢP AI CHO TỆP KHÁCH HÀNG CÁ NHÂN CỦA NGÂN HÀNG MBV</v>
          </cell>
          <cell r="I161" t="str">
            <v>Tiếng Việt</v>
          </cell>
          <cell r="J161" t="str">
            <v>Tiếng Việt</v>
          </cell>
          <cell r="K161" t="str">
            <v>https://drive.google.com/open?id=1RvKcqo8SySvvbr_jmQ3b5GjRG1FCT5Ac</v>
          </cell>
          <cell r="L161" t="str">
            <v>ThS Ngô Phú Thanh</v>
          </cell>
          <cell r="M161" t="str">
            <v>có chatbot</v>
          </cell>
          <cell r="N161" t="str">
            <v>PGS. TS Phạm Thị Thanh Xuân</v>
          </cell>
          <cell r="O161" t="str">
            <v>TS Nguyễn Thanh Liêm</v>
          </cell>
          <cell r="P161" t="str">
            <v>PGS. TS Lê Đức Quang Tú</v>
          </cell>
          <cell r="Q161" t="str">
            <v>PGS. TS Phạm Thị Thanh Xuân</v>
          </cell>
          <cell r="R161" t="str">
            <v>08</v>
          </cell>
          <cell r="S161" t="str">
            <v>13h00 chiều thứ sáu ngày 06/3/2026</v>
          </cell>
        </row>
        <row r="162">
          <cell r="B162" t="str">
            <v>K224141693</v>
          </cell>
          <cell r="C162" t="str">
            <v>Vy Đặng Thanh Thảo</v>
          </cell>
          <cell r="D162" t="str">
            <v>K22414</v>
          </cell>
          <cell r="E162" t="str">
            <v>X</v>
          </cell>
          <cell r="F162" t="str">
            <v>X</v>
          </cell>
          <cell r="H162" t="str">
            <v>FORECASTING VN-INDEX RETURNS USING TRADITIONAL MODELS, MACHINE LEARNING AND DEEP LEARNING IN AN EMERGING MARKET</v>
          </cell>
          <cell r="I162" t="str">
            <v>Tiếng Anh</v>
          </cell>
          <cell r="J162" t="str">
            <v>Tiếng Anh</v>
          </cell>
          <cell r="K162" t="str">
            <v>https://drive.google.com/open?id=1DBKOj-gp3D4ekJzbo8Fuvdb_dX8Iqwtf</v>
          </cell>
          <cell r="L162" t="str">
            <v>ThS Phan Huy Tâm</v>
          </cell>
          <cell r="N162" t="str">
            <v>PGS. TS Phạm Thị Thanh Xuân</v>
          </cell>
          <cell r="O162" t="str">
            <v>TS Nguyễn Thanh Liêm</v>
          </cell>
          <cell r="P162" t="str">
            <v>PGS. TS Lê Đức Quang Tú</v>
          </cell>
          <cell r="Q162" t="str">
            <v>TS Nguyễn Thanh Liêm</v>
          </cell>
          <cell r="R162" t="str">
            <v>08</v>
          </cell>
          <cell r="S162" t="str">
            <v>13h00 chiều thứ sáu ngày 06/3/2026</v>
          </cell>
        </row>
        <row r="163">
          <cell r="B163" t="str">
            <v>K224141696</v>
          </cell>
          <cell r="C163" t="str">
            <v>Bùi Việt Hoàng Tín</v>
          </cell>
          <cell r="D163" t="str">
            <v>K22414</v>
          </cell>
          <cell r="E163" t="str">
            <v>X</v>
          </cell>
          <cell r="H163" t="str">
            <v>PREDICTING FUTURE GOLD PRICES AND SUGGESTING SUITABLE DERIVATIVE CONTRACTS</v>
          </cell>
          <cell r="I163" t="str">
            <v>Tiếng Anh</v>
          </cell>
          <cell r="J163" t="str">
            <v>Tiếng Anh</v>
          </cell>
          <cell r="K163" t="str">
            <v>https://drive.google.com/open?id=1FoCgeNRKbjFBZPtmu64Kn7oA-ZlEd7eR</v>
          </cell>
          <cell r="L163" t="str">
            <v>ThS Phan Huy Tâm</v>
          </cell>
          <cell r="N163" t="str">
            <v>PGS. TS Phạm Thị Thanh Xuân</v>
          </cell>
          <cell r="O163" t="str">
            <v>TS Nguyễn Thanh Liêm</v>
          </cell>
          <cell r="P163" t="str">
            <v>PGS. TS Lê Đức Quang Tú</v>
          </cell>
          <cell r="Q163" t="str">
            <v>PGS. TS Lê Đức Quang Tú</v>
          </cell>
          <cell r="R163" t="str">
            <v>08</v>
          </cell>
          <cell r="S163" t="str">
            <v>13h00 chiều thứ sáu ngày 06/3/2026</v>
          </cell>
        </row>
        <row r="164">
          <cell r="B164" t="str">
            <v>K224141700</v>
          </cell>
          <cell r="C164" t="str">
            <v>Phan Viết Toàn</v>
          </cell>
          <cell r="D164" t="str">
            <v>K22414</v>
          </cell>
          <cell r="E164" t="str">
            <v>X</v>
          </cell>
          <cell r="F164" t="str">
            <v>X</v>
          </cell>
          <cell r="H164" t="str">
            <v>A COMPARATIVE STUDY OF THE EFFECTIVENESS OF ARIMA, SARIMA, LSTM MODELS IN CRYPTO CURRENCY PRICE FORECASTING</v>
          </cell>
          <cell r="I164" t="str">
            <v>Tiếng Việt</v>
          </cell>
          <cell r="J164" t="str">
            <v>Tiếng Anh</v>
          </cell>
          <cell r="K164" t="str">
            <v>https://drive.google.com/open?id=14L3_jLl-FjkoCFxxIddu3RpTKa5UGQD9</v>
          </cell>
          <cell r="L164" t="str">
            <v>ThS Phan Huy Tâm</v>
          </cell>
          <cell r="N164" t="str">
            <v>PGS. TS Phạm Thị Thanh Xuân</v>
          </cell>
          <cell r="O164" t="str">
            <v>TS Nguyễn Thanh Liêm</v>
          </cell>
          <cell r="P164" t="str">
            <v>PGS. TS Lê Đức Quang Tú</v>
          </cell>
          <cell r="Q164" t="str">
            <v>PGS. TS Phạm Thị Thanh Xuân</v>
          </cell>
          <cell r="R164" t="str">
            <v>08</v>
          </cell>
          <cell r="S164" t="str">
            <v>13h00 chiều thứ sáu ngày 06/3/2026</v>
          </cell>
        </row>
        <row r="165">
          <cell r="B165" t="str">
            <v>K224141701</v>
          </cell>
          <cell r="C165" t="str">
            <v>Nguyễn Thị Mai Trâm</v>
          </cell>
          <cell r="D165" t="str">
            <v>K22414</v>
          </cell>
          <cell r="E165" t="str">
            <v>X</v>
          </cell>
          <cell r="F165" t="str">
            <v>X</v>
          </cell>
          <cell r="H165" t="str">
            <v>DỰ BÁO BIẾN ĐỘNG TỶ GIÁ CÁC NGOẠI TỆ CHỦ CHỐT TẠI VIỆT NAM: NGHIÊN CỨU SO SÁNH GIỮA CÁC MÔ HÌNH THỐNG KÊ VÀ HỌC SÂU</v>
          </cell>
          <cell r="I165" t="str">
            <v>Tiếng Việt</v>
          </cell>
          <cell r="J165" t="str">
            <v>Tiếng Việt</v>
          </cell>
          <cell r="K165" t="str">
            <v>https://drive.google.com/open?id=1ZL5tv8lsR_dzwzLqY-AQRE8Pu6eGrUEL</v>
          </cell>
          <cell r="L165" t="str">
            <v>ThS Phan Huy Tâm</v>
          </cell>
          <cell r="N165" t="str">
            <v>PGS. TS Phạm Thị Thanh Xuân</v>
          </cell>
          <cell r="O165" t="str">
            <v>TS Nguyễn Thanh Liêm</v>
          </cell>
          <cell r="P165" t="str">
            <v>PGS. TS Lê Đức Quang Tú</v>
          </cell>
          <cell r="Q165" t="str">
            <v>TS Nguyễn Thanh Liêm</v>
          </cell>
          <cell r="R165" t="str">
            <v>08</v>
          </cell>
          <cell r="S165" t="str">
            <v>13h00 chiều thứ sáu ngày 06/3/2026</v>
          </cell>
        </row>
        <row r="166">
          <cell r="B166" t="str">
            <v>K224141705</v>
          </cell>
          <cell r="C166" t="str">
            <v>Lê Nam Tuyên</v>
          </cell>
          <cell r="D166" t="str">
            <v>K22414</v>
          </cell>
          <cell r="E166" t="str">
            <v>X</v>
          </cell>
          <cell r="F166" t="str">
            <v>X</v>
          </cell>
          <cell r="H166" t="str">
            <v>COMPOSITE PROFITABILITY INDEX CONSTRUCTION AND OUT-OF-SAMPLE PREDICTION: EVIDENCE FROM VIETNAM</v>
          </cell>
          <cell r="I166" t="str">
            <v>Tiếng Anh</v>
          </cell>
          <cell r="J166" t="str">
            <v>Tiếng Anh</v>
          </cell>
          <cell r="K166" t="str">
            <v>https://drive.google.com/open?id=1OA5cn0SIfgIcQDB0qfqTIjd7BYQw9T5D</v>
          </cell>
          <cell r="L166" t="str">
            <v>ThS Phan Huy Tâm</v>
          </cell>
          <cell r="N166" t="str">
            <v>PGS. TS Phạm Thị Thanh Xuân</v>
          </cell>
          <cell r="O166" t="str">
            <v>TS Nguyễn Thanh Liêm</v>
          </cell>
          <cell r="P166" t="str">
            <v>PGS. TS Lê Đức Quang Tú</v>
          </cell>
          <cell r="Q166" t="str">
            <v>PGS. TS Lê Đức Quang Tú</v>
          </cell>
          <cell r="R166" t="str">
            <v>08</v>
          </cell>
          <cell r="S166" t="str">
            <v>13h00 chiều thứ sáu ngày 06/3/2026</v>
          </cell>
        </row>
        <row r="167">
          <cell r="B167" t="str">
            <v>K224141746</v>
          </cell>
          <cell r="C167" t="str">
            <v>Lê Nguyễn Tường Vy</v>
          </cell>
          <cell r="D167" t="str">
            <v>K22414C</v>
          </cell>
          <cell r="E167" t="str">
            <v>X</v>
          </cell>
          <cell r="F167" t="str">
            <v>X</v>
          </cell>
          <cell r="H167" t="str">
            <v>DỰ BÁO RỦI RO PHÁ SẢN DOANH NGHIỆP PHI TÀI CHÍNH TRÊN SÀN GIAO DỊCH CHỨNG KHOÁN TP. HỒ CHÍ MINH: HƯỚNG TIẾP CẬN PHƯƠNG PHÁP LAI TÍCH HỢP MÔ HÌNH ALTMAN Z’’-SCORE VÀ MACHINE LEARNING</v>
          </cell>
          <cell r="I167" t="str">
            <v>Tiếng Việt</v>
          </cell>
          <cell r="J167" t="str">
            <v>Tiếng Việt</v>
          </cell>
          <cell r="K167" t="str">
            <v>https://drive.google.com/open?id=1rqFQ-63kJazg9Uyg0Jym7j80nZnUglPy</v>
          </cell>
          <cell r="L167" t="str">
            <v>TS Võ Thị Ngọc Trinh</v>
          </cell>
          <cell r="N167" t="str">
            <v>PGS. TS Phạm Thị Thanh Xuân</v>
          </cell>
          <cell r="O167" t="str">
            <v>TS Nguyễn Thanh Liêm</v>
          </cell>
          <cell r="P167" t="str">
            <v>PGS. TS Lê Đức Quang Tú</v>
          </cell>
          <cell r="Q167" t="str">
            <v>PGS. TS Phạm Thị Thanh Xuân</v>
          </cell>
          <cell r="R167" t="str">
            <v>08</v>
          </cell>
          <cell r="S167" t="str">
            <v>13h00 chiều thứ sáu ngày 06/3/2026</v>
          </cell>
        </row>
        <row r="168">
          <cell r="B168" t="str">
            <v>K224040565</v>
          </cell>
          <cell r="C168" t="str">
            <v>Mai Đức Dương</v>
          </cell>
          <cell r="D168" t="str">
            <v>K22404C</v>
          </cell>
          <cell r="E168" t="str">
            <v>X</v>
          </cell>
          <cell r="F168" t="str">
            <v>X</v>
          </cell>
          <cell r="H168" t="str">
            <v>TÁC ĐỘNG CỦA ĐA DẠNG HÓA NGUỒN VỐN ĐẾN LỢI NHUẬN VÀ RỦI RO CỦA CÁC NGÂN HÀNG THƯƠNG MẠI TẠI VIỆT NAM.</v>
          </cell>
          <cell r="I168" t="str">
            <v>Tiếng Việt</v>
          </cell>
          <cell r="J168" t="str">
            <v>Tiếng Việt</v>
          </cell>
          <cell r="K168" t="str">
            <v>https://drive.google.com/open?id=1_4WoNPmeGOdzuEQ5tydrLhD2UoON2KFv</v>
          </cell>
          <cell r="L168" t="str">
            <v>PGS. TS Nguyễn Thị Ánh Như</v>
          </cell>
          <cell r="N168" t="str">
            <v>PGS. TS Trần Hùng Sơn</v>
          </cell>
          <cell r="O168" t="str">
            <v>ThS Tô Thị Thanh Trúc</v>
          </cell>
          <cell r="P168" t="str">
            <v>ThS Nguyễn Thị Diễm Hiền</v>
          </cell>
          <cell r="Q168" t="str">
            <v>ThS Nguyễn Thị Diễm Hiền</v>
          </cell>
          <cell r="R168" t="str">
            <v>09</v>
          </cell>
          <cell r="S168" t="str">
            <v>8h00 sáng thứ năm ngày 05/3/2026</v>
          </cell>
        </row>
        <row r="169">
          <cell r="B169" t="str">
            <v>K224040579</v>
          </cell>
          <cell r="C169" t="str">
            <v>Huỳnh Trí Nhân</v>
          </cell>
          <cell r="D169" t="str">
            <v>K22404C</v>
          </cell>
          <cell r="E169" t="str">
            <v>X</v>
          </cell>
          <cell r="F169" t="str">
            <v>X</v>
          </cell>
          <cell r="H169" t="str">
            <v>TÁC ĐỘNG CỦA CẤU TRÚC VỐN ĐẾN KHẢ NĂNG SINH LỜI CỦA CÁC NGÂN HÀNG THƯƠNG MẠI TẠI VIỆT NAM</v>
          </cell>
          <cell r="I169" t="str">
            <v>Tiếng Việt</v>
          </cell>
          <cell r="J169" t="str">
            <v>Tiếng Việt</v>
          </cell>
          <cell r="K169" t="str">
            <v>https://drive.google.com/open?id=1CoYdJf0d_DYGOl6usVw774BLv1xbgnRe</v>
          </cell>
          <cell r="L169" t="str">
            <v>PGS. TS Phạm Thị Thanh Xuân</v>
          </cell>
          <cell r="N169" t="str">
            <v>PGS. TS Trần Hùng Sơn</v>
          </cell>
          <cell r="O169" t="str">
            <v>ThS Tô Thị Thanh Trúc</v>
          </cell>
          <cell r="P169" t="str">
            <v>ThS Nguyễn Thị Diễm Hiền</v>
          </cell>
          <cell r="Q169" t="str">
            <v>ThS Tô Thị Thanh Trúc</v>
          </cell>
          <cell r="R169" t="str">
            <v>09</v>
          </cell>
          <cell r="S169" t="str">
            <v>8h00 sáng thứ năm ngày 05/3/2026</v>
          </cell>
        </row>
        <row r="170">
          <cell r="B170" t="str">
            <v>K224040562</v>
          </cell>
          <cell r="C170" t="str">
            <v>Nguyễn Đức Anh</v>
          </cell>
          <cell r="D170" t="str">
            <v>K22404C</v>
          </cell>
          <cell r="E170" t="str">
            <v>X</v>
          </cell>
          <cell r="F170" t="str">
            <v>X</v>
          </cell>
          <cell r="H170" t="str">
            <v>ANALYZING THE TECHNICAL EFFICIENCY OF COMMERCIAL BANKS IN VIETNAM USING THE DATA ENVELOPE ANALYSIS APPROACH</v>
          </cell>
          <cell r="I170" t="str">
            <v>Tiếng Anh</v>
          </cell>
          <cell r="J170" t="str">
            <v>Tiếng Anh</v>
          </cell>
          <cell r="K170" t="str">
            <v>https://drive.google.com/open?id=1YhGLTeTefbvnTodbHBxPRPsZ2BQyTamj</v>
          </cell>
          <cell r="L170" t="str">
            <v>ThS Hồ Thị Hồng Minh</v>
          </cell>
          <cell r="N170" t="str">
            <v>PGS. TS Trần Hùng Sơn</v>
          </cell>
          <cell r="O170" t="str">
            <v>ThS Tô Thị Thanh Trúc</v>
          </cell>
          <cell r="P170" t="str">
            <v>ThS Nguyễn Thị Diễm Hiền</v>
          </cell>
          <cell r="Q170" t="str">
            <v>PGS. TS Trần Hùng Sơn</v>
          </cell>
          <cell r="R170" t="str">
            <v>09</v>
          </cell>
          <cell r="S170" t="str">
            <v>8h00 sáng thứ năm ngày 05/3/2026</v>
          </cell>
        </row>
        <row r="171">
          <cell r="B171" t="str">
            <v>K224040481</v>
          </cell>
          <cell r="C171" t="str">
            <v>Vũ Nhật Minh</v>
          </cell>
          <cell r="D171" t="str">
            <v>K22404</v>
          </cell>
          <cell r="E171" t="str">
            <v>X</v>
          </cell>
          <cell r="F171" t="str">
            <v>X</v>
          </cell>
          <cell r="H171" t="str">
            <v>BANK–FINTECH COOPERATION, OWNERSHIP STRUCTURE, AND OVERALL BANK RISK: EMPIRICAL EVIDENCE FROM VIETNAM</v>
          </cell>
          <cell r="I171" t="str">
            <v>Tiếng Anh</v>
          </cell>
          <cell r="J171" t="str">
            <v>Tiếng Anh</v>
          </cell>
          <cell r="K171" t="str">
            <v>https://drive.google.com/open?id=1b6wAb3ttgtJQQNJuhGHJB_5qG8r9AqtX</v>
          </cell>
          <cell r="L171" t="str">
            <v>ThS Nguyễn Thị Hai Hằng</v>
          </cell>
          <cell r="N171" t="str">
            <v>PGS. TS Trần Hùng Sơn</v>
          </cell>
          <cell r="O171" t="str">
            <v>ThS Tô Thị Thanh Trúc</v>
          </cell>
          <cell r="P171" t="str">
            <v>ThS Nguyễn Thị Diễm Hiền</v>
          </cell>
          <cell r="Q171" t="str">
            <v>PGS. TS Trần Hùng Sơn</v>
          </cell>
          <cell r="R171" t="str">
            <v>09</v>
          </cell>
          <cell r="S171" t="str">
            <v>8h00 sáng thứ năm ngày 05/3/2026</v>
          </cell>
        </row>
        <row r="172">
          <cell r="B172" t="str">
            <v>K224040493</v>
          </cell>
          <cell r="C172" t="str">
            <v>Nguyễn Ngọc Quỳnh</v>
          </cell>
          <cell r="D172" t="str">
            <v>K22404</v>
          </cell>
          <cell r="E172" t="str">
            <v>X</v>
          </cell>
          <cell r="F172" t="str">
            <v>X</v>
          </cell>
          <cell r="H172" t="str">
            <v>ẢNH HƯỞNG CỦA CÁC NHÂN TỐ VĨ MÔ VÀ CÁC NHÂN TỐ NỘI TẠI ĐẾN BIÊN LÃI RÒNG CỦA CÁC NGÂN HÀNG THƯƠNG MẠI QUY MÔ VỪA VÀ NHỎ TẠI VIỆT NAM TRONG GIAI ĐOẠN 2014-2024</v>
          </cell>
          <cell r="I172" t="str">
            <v>Tiếng Việt</v>
          </cell>
          <cell r="J172" t="str">
            <v>Tiếng Việt</v>
          </cell>
          <cell r="K172" t="str">
            <v>https://drive.google.com/open?id=1OEpYckDJnZy6-xFaEjecrWYk0rZZr-F5</v>
          </cell>
          <cell r="L172" t="str">
            <v>ThS Nguyễn Thị Hai Hằng</v>
          </cell>
          <cell r="N172" t="str">
            <v>PGS. TS Trần Hùng Sơn</v>
          </cell>
          <cell r="O172" t="str">
            <v>ThS Tô Thị Thanh Trúc</v>
          </cell>
          <cell r="P172" t="str">
            <v>ThS Nguyễn Thị Diễm Hiền</v>
          </cell>
          <cell r="Q172" t="str">
            <v>ThS Tô Thị Thanh Trúc</v>
          </cell>
          <cell r="R172" t="str">
            <v>09</v>
          </cell>
          <cell r="S172" t="str">
            <v>8h00 sáng thứ năm ngày 05/3/2026</v>
          </cell>
        </row>
        <row r="173">
          <cell r="B173" t="str">
            <v>K224040541</v>
          </cell>
          <cell r="C173" t="str">
            <v>Lâm Hồng Minh Quân</v>
          </cell>
          <cell r="D173" t="str">
            <v>K22404</v>
          </cell>
          <cell r="E173" t="str">
            <v>X</v>
          </cell>
          <cell r="F173" t="str">
            <v>X</v>
          </cell>
          <cell r="H173" t="str">
            <v>EVALUATING BUSINESS PERFORMANCE OF COMMERCIAL BANKS IN VIETNAM BASED ON THE CAMELS FRAMEWORK</v>
          </cell>
          <cell r="I173" t="str">
            <v>Tiếng Việt</v>
          </cell>
          <cell r="J173" t="str">
            <v>Tiếng Anh</v>
          </cell>
          <cell r="K173" t="str">
            <v>https://drive.google.com/open?id=17oHQ1kPpUxUPMz4J7MSB1AnABqwPUcZ4</v>
          </cell>
          <cell r="L173" t="str">
            <v>ThS Nguyễn Thị Hai Hằng</v>
          </cell>
          <cell r="N173" t="str">
            <v>PGS. TS Trần Hùng Sơn</v>
          </cell>
          <cell r="O173" t="str">
            <v>ThS Tô Thị Thanh Trúc</v>
          </cell>
          <cell r="P173" t="str">
            <v>ThS Nguyễn Thị Diễm Hiền</v>
          </cell>
          <cell r="Q173" t="str">
            <v>ThS Nguyễn Thị Diễm Hiền</v>
          </cell>
          <cell r="R173" t="str">
            <v>09</v>
          </cell>
          <cell r="S173" t="str">
            <v>8h00 sáng thứ năm ngày 05/3/2026</v>
          </cell>
        </row>
        <row r="174">
          <cell r="B174" t="str">
            <v>K224040564</v>
          </cell>
          <cell r="C174" t="str">
            <v>Nguyễn Vũ Bình</v>
          </cell>
          <cell r="D174" t="str">
            <v>K22404C</v>
          </cell>
          <cell r="E174" t="str">
            <v>X</v>
          </cell>
          <cell r="F174" t="str">
            <v>X</v>
          </cell>
          <cell r="H174" t="str">
            <v>THE IMPACT OF CAPITAL STRUCTURE ON LIQUIDITY OF VIETNAMESE COMMERCIAL BANKS: EVIDENCE DURING 2019-2025</v>
          </cell>
          <cell r="I174" t="str">
            <v>Tiếng Anh</v>
          </cell>
          <cell r="J174" t="str">
            <v>Tiếng Anh</v>
          </cell>
          <cell r="K174" t="str">
            <v>https://drive.google.com/open?id=18Epq500tcInZOdyxjts7YvFMq-JZkXks</v>
          </cell>
          <cell r="L174" t="str">
            <v>ThS Phạm Chí Khoa</v>
          </cell>
          <cell r="N174" t="str">
            <v>PGS. TS Trần Hùng Sơn</v>
          </cell>
          <cell r="O174" t="str">
            <v>ThS Tô Thị Thanh Trúc</v>
          </cell>
          <cell r="P174" t="str">
            <v>ThS Nguyễn Thị Diễm Hiền</v>
          </cell>
          <cell r="Q174" t="str">
            <v>ThS Tô Thị Thanh Trúc</v>
          </cell>
          <cell r="R174" t="str">
            <v>09</v>
          </cell>
          <cell r="S174" t="str">
            <v>8h00 sáng thứ năm ngày 05/3/2026</v>
          </cell>
        </row>
        <row r="175">
          <cell r="B175" t="str">
            <v>K224040567</v>
          </cell>
          <cell r="C175" t="str">
            <v>Nguyễn Tấn Đạt</v>
          </cell>
          <cell r="D175" t="str">
            <v>K22404C</v>
          </cell>
          <cell r="E175" t="str">
            <v>X</v>
          </cell>
          <cell r="F175" t="str">
            <v>X</v>
          </cell>
          <cell r="H175" t="str">
            <v>THE IMPACT OF FINANCIAL LEVERAGE ON FINANCIAL DISTRESS: THE CASE OF REAL ESTATE FIRMS LISTED ON THE HO CHI MINH STOCK EXCHANGE</v>
          </cell>
          <cell r="I175" t="str">
            <v>Tiếng Việt</v>
          </cell>
          <cell r="J175" t="str">
            <v>Tiếng Anh</v>
          </cell>
          <cell r="K175" t="str">
            <v>https://drive.google.com/open?id=1JYWXzbtHVhgeBJDkoS4ELCeERGbh8m-Z</v>
          </cell>
          <cell r="L175" t="str">
            <v>TS Nguyễn Hoàng Anh</v>
          </cell>
          <cell r="N175" t="str">
            <v>PGS. TS Trần Hùng Sơn</v>
          </cell>
          <cell r="O175" t="str">
            <v>ThS Tô Thị Thanh Trúc</v>
          </cell>
          <cell r="P175" t="str">
            <v>ThS Nguyễn Thị Diễm Hiền</v>
          </cell>
          <cell r="Q175" t="str">
            <v>PGS. TS Trần Hùng Sơn</v>
          </cell>
          <cell r="R175" t="str">
            <v>09</v>
          </cell>
          <cell r="S175" t="str">
            <v>8h00 sáng thứ năm ngày 05/3/2026</v>
          </cell>
        </row>
        <row r="176">
          <cell r="B176" t="str">
            <v>K224040578</v>
          </cell>
          <cell r="C176" t="str">
            <v>Đinh Đỗ Hạnh Nguyên</v>
          </cell>
          <cell r="D176" t="str">
            <v>K22404C</v>
          </cell>
          <cell r="E176" t="str">
            <v>X</v>
          </cell>
          <cell r="F176" t="str">
            <v>X</v>
          </cell>
          <cell r="H176" t="str">
            <v>THE IMPACT OF CAPITAL STRUCTURE ON PROFITABILITY: A CASE STUDY OF VIETNAMESE NON – FINANCIAL LISTED COMPANIES</v>
          </cell>
          <cell r="I176" t="str">
            <v>Tiếng Anh</v>
          </cell>
          <cell r="J176" t="str">
            <v>Tiếng Anh</v>
          </cell>
          <cell r="K176" t="str">
            <v>https://drive.google.com/open?id=1nEhyjOkz0VE0PBQIhqFTJpv1fKyUfA56</v>
          </cell>
          <cell r="L176" t="str">
            <v>TS Nguyễn Thanh Liêm</v>
          </cell>
          <cell r="N176" t="str">
            <v>PGS. TS Trần Hùng Sơn</v>
          </cell>
          <cell r="O176" t="str">
            <v>ThS Tô Thị Thanh Trúc</v>
          </cell>
          <cell r="P176" t="str">
            <v>ThS Nguyễn Thị Diễm Hiền</v>
          </cell>
          <cell r="Q176" t="str">
            <v>PGS. TS Trần Hùng Sơn</v>
          </cell>
          <cell r="R176" t="str">
            <v>09</v>
          </cell>
          <cell r="S176" t="str">
            <v>8h00 sáng thứ năm ngày 05/3/2026</v>
          </cell>
        </row>
        <row r="177">
          <cell r="B177" t="str">
            <v>K224040568</v>
          </cell>
          <cell r="C177" t="str">
            <v>Nguyễn Phúc Hưng</v>
          </cell>
          <cell r="D177" t="str">
            <v>K22404C</v>
          </cell>
          <cell r="E177" t="str">
            <v>X</v>
          </cell>
          <cell r="F177" t="str">
            <v>X</v>
          </cell>
          <cell r="H177" t="str">
            <v>THE MODERATING ROLE OF DIGITAL BANKING ON THE RELATIONSHIP BETWEEN INCOME DIVERSIFICATION AND BANK PERFORMANCE: EVIDENCE FROM VIETNAMESE COMMERCIAL BANK</v>
          </cell>
          <cell r="I177" t="str">
            <v>Tiếng Anh</v>
          </cell>
          <cell r="J177" t="str">
            <v>Tiếng Anh</v>
          </cell>
          <cell r="K177" t="str">
            <v>https://drive.google.com/open?id=14rWPLJmTJKqMD8KSlWNXGrSZ3njUmrwh</v>
          </cell>
          <cell r="L177" t="str">
            <v>TS Nguyễn Tiến Trung</v>
          </cell>
          <cell r="N177" t="str">
            <v>PGS. TS Trần Hùng Sơn</v>
          </cell>
          <cell r="O177" t="str">
            <v>ThS Tô Thị Thanh Trúc</v>
          </cell>
          <cell r="P177" t="str">
            <v>ThS Nguyễn Thị Diễm Hiền</v>
          </cell>
          <cell r="Q177" t="str">
            <v>ThS Tô Thị Thanh Trúc</v>
          </cell>
          <cell r="R177" t="str">
            <v>09</v>
          </cell>
          <cell r="S177" t="str">
            <v>8h00 sáng thứ năm ngày 05/3/2026</v>
          </cell>
        </row>
        <row r="178">
          <cell r="B178" t="str">
            <v>K224040576</v>
          </cell>
          <cell r="C178" t="str">
            <v>Hà Vũ Thúy Mỵ</v>
          </cell>
          <cell r="D178" t="str">
            <v>K22404C</v>
          </cell>
          <cell r="E178" t="str">
            <v>X</v>
          </cell>
          <cell r="F178" t="str">
            <v>X</v>
          </cell>
          <cell r="H178" t="str">
            <v>TÁC ĐỘNG CỦA CHUYỂN ĐỔI SỐ VÀ CẤU TRÚC VỐN ĐẾN HIỆU QUẢ HOẠT ĐỘNG: TRƯỜNG HỢP CÁC NGÂN HÀNG THƯƠNG MẠI VIỆT NAM</v>
          </cell>
          <cell r="I178" t="str">
            <v>Tiếng Việt</v>
          </cell>
          <cell r="J178" t="str">
            <v>Tiếng Việt</v>
          </cell>
          <cell r="K178" t="str">
            <v>https://drive.google.com/open?id=1mrX_FSvKNetoJQUvRBaj1K0ew6TjqmjC</v>
          </cell>
          <cell r="L178" t="str">
            <v>TS Nguyễn Tiến Trung</v>
          </cell>
          <cell r="N178" t="str">
            <v>PGS. TS Trần Hùng Sơn</v>
          </cell>
          <cell r="O178" t="str">
            <v>ThS Tô Thị Thanh Trúc</v>
          </cell>
          <cell r="P178" t="str">
            <v>ThS Nguyễn Thị Diễm Hiền</v>
          </cell>
          <cell r="Q178" t="str">
            <v>ThS Nguyễn Thị Diễm Hiền</v>
          </cell>
          <cell r="R178" t="str">
            <v>09</v>
          </cell>
          <cell r="S178" t="str">
            <v>8h00 sáng thứ năm ngày 05/3/2026</v>
          </cell>
        </row>
        <row r="179">
          <cell r="B179" t="str">
            <v>K224040596</v>
          </cell>
          <cell r="C179" t="str">
            <v>Nguyễn Đặng Thanh Trúc</v>
          </cell>
          <cell r="D179" t="str">
            <v>K22404C</v>
          </cell>
          <cell r="E179" t="str">
            <v>X</v>
          </cell>
          <cell r="F179" t="str">
            <v>X</v>
          </cell>
          <cell r="H179" t="str">
            <v>PHÁT TRIỂN TÍN DỤNG NHÀ Ở DÀNH CHO KHÁCH HÀNG TRẺ TẠI CÁC NGÂN HÀNG THƯƠNG MẠI CỔ PHẦN Ở VIỆT NAM</v>
          </cell>
          <cell r="I179" t="str">
            <v>Tiếng Anh</v>
          </cell>
          <cell r="J179" t="str">
            <v>Tiếng Việt</v>
          </cell>
          <cell r="K179" t="str">
            <v>https://drive.google.com/open?id=1tG0abyWyzm65mrLp7vJR6_JrmqIZrJhF</v>
          </cell>
          <cell r="L179" t="str">
            <v>TS Nguyễn Trung Hiếu</v>
          </cell>
          <cell r="N179" t="str">
            <v>PGS. TS Trần Hùng Sơn</v>
          </cell>
          <cell r="O179" t="str">
            <v>ThS Tô Thị Thanh Trúc</v>
          </cell>
          <cell r="P179" t="str">
            <v>ThS Nguyễn Thị Diễm Hiền</v>
          </cell>
          <cell r="Q179" t="str">
            <v>ThS Nguyễn Thị Diễm Hiền</v>
          </cell>
          <cell r="R179" t="str">
            <v>09</v>
          </cell>
          <cell r="S179" t="str">
            <v>8h00 sáng thứ năm ngày 05/3/2026</v>
          </cell>
        </row>
        <row r="180">
          <cell r="B180" t="str">
            <v>K224141698</v>
          </cell>
          <cell r="C180" t="str">
            <v>Lê Minh Toàn</v>
          </cell>
          <cell r="D180" t="str">
            <v>K22414</v>
          </cell>
          <cell r="F180" t="str">
            <v>X</v>
          </cell>
          <cell r="H180" t="str">
            <v/>
          </cell>
          <cell r="I180" t="str">
            <v>Tiếng Việt</v>
          </cell>
          <cell r="L180" t="str">
            <v>ThS Phan Huy Tâm</v>
          </cell>
        </row>
        <row r="181">
          <cell r="B181" t="str">
            <v>K224141704</v>
          </cell>
          <cell r="C181" t="str">
            <v>Phạm Huỳnh Minh Tuân</v>
          </cell>
          <cell r="D181" t="str">
            <v>K22414</v>
          </cell>
          <cell r="F181" t="str">
            <v>X</v>
          </cell>
          <cell r="H181" t="str">
            <v/>
          </cell>
          <cell r="I181" t="str">
            <v>Tiếng Việt</v>
          </cell>
          <cell r="L181" t="str">
            <v>ThS Phan Huy Tâm</v>
          </cell>
        </row>
        <row r="182">
          <cell r="B182" t="str">
            <v>K224040551</v>
          </cell>
          <cell r="C182" t="str">
            <v>Ngô Minh Tiến</v>
          </cell>
          <cell r="D182" t="str">
            <v>K22404</v>
          </cell>
          <cell r="E182" t="str">
            <v>X</v>
          </cell>
          <cell r="F182" t="str">
            <v>X</v>
          </cell>
          <cell r="H182" t="str">
            <v>KIỂM ĐỊNH TÍNH THỰC NGHIỆM LÝ THUYẾT MÔ HÌNH FAMA-FRENCH NĂM NHÂN TỐ TẠI THỊ TRƯỜNG CHỨNG KHOÁN VIỆT NAM: TRƯỜNG HỢP VN30</v>
          </cell>
          <cell r="I182" t="str">
            <v>Tiếng Việt</v>
          </cell>
          <cell r="J182" t="str">
            <v>Tiếng Việt</v>
          </cell>
          <cell r="K182" t="str">
            <v>https://drive.google.com/open?id=1C9PPQymOOu9FxcPWy1KNGIASBoUJ1k_j</v>
          </cell>
          <cell r="L182" t="str">
            <v>PGS. TS Trần Hùng Sơn</v>
          </cell>
          <cell r="N182" t="str">
            <v>ThS Nguyễn Thị Hai Hằng</v>
          </cell>
          <cell r="O182" t="str">
            <v>TS Nguyễn Thành Đạt</v>
          </cell>
          <cell r="P182" t="str">
            <v>ThS Hồ Thị Hồng Minh</v>
          </cell>
          <cell r="Q182" t="str">
            <v>TS Nguyễn Thành Đạt</v>
          </cell>
          <cell r="R182" t="str">
            <v>10</v>
          </cell>
          <cell r="S182" t="str">
            <v>8h00 sáng thứ năm ngày 05/3/2026</v>
          </cell>
        </row>
        <row r="183">
          <cell r="B183" t="str">
            <v>K224040572</v>
          </cell>
          <cell r="C183" t="str">
            <v>Vũ Gia Linh</v>
          </cell>
          <cell r="D183" t="str">
            <v>K22404C</v>
          </cell>
          <cell r="E183" t="str">
            <v>X</v>
          </cell>
          <cell r="F183" t="str">
            <v>X</v>
          </cell>
          <cell r="H183" t="str">
            <v>FACTORS AFFECTING THE FINANCIAL DISTRESS RISK OF LISTED MANUFACTURING FIRMS ON THE HO CHI MINH STOCK EXCHANGE</v>
          </cell>
          <cell r="I183" t="str">
            <v>Tiếng Anh</v>
          </cell>
          <cell r="J183" t="str">
            <v>Tiếng Anh</v>
          </cell>
          <cell r="K183" t="str">
            <v>https://drive.google.com/open?id=10JEcyG5CApihiJNYJ3SjlXq_aenQQdqA</v>
          </cell>
          <cell r="L183" t="str">
            <v>PGS. TS Trần Hùng Sơn</v>
          </cell>
          <cell r="M183" t="str">
            <v>Có bài báo quốc tế chủ đề không liên quan</v>
          </cell>
          <cell r="N183" t="str">
            <v>ThS Nguyễn Thị Hai Hằng</v>
          </cell>
          <cell r="O183" t="str">
            <v>TS Nguyễn Thành Đạt</v>
          </cell>
          <cell r="P183" t="str">
            <v>ThS Hồ Thị Hồng Minh</v>
          </cell>
          <cell r="Q183" t="str">
            <v>ThS Hồ Thị Hồng Minh</v>
          </cell>
          <cell r="R183" t="str">
            <v>10</v>
          </cell>
          <cell r="S183" t="str">
            <v>8h00 sáng thứ năm ngày 05/3/2026</v>
          </cell>
        </row>
        <row r="184">
          <cell r="B184" t="str">
            <v>K224040573</v>
          </cell>
          <cell r="C184" t="str">
            <v>Bùi Hương Ly</v>
          </cell>
          <cell r="D184" t="str">
            <v>K22404C</v>
          </cell>
          <cell r="E184" t="str">
            <v>X</v>
          </cell>
          <cell r="F184" t="str">
            <v>X</v>
          </cell>
          <cell r="H184" t="str">
            <v>ANALYSIS OF FACTORS AFFECTING THE ISSUANCE OF GREEN BONDS IN DEVELOPING COUNTRIES</v>
          </cell>
          <cell r="I184" t="str">
            <v>Tiếng Anh</v>
          </cell>
          <cell r="J184" t="str">
            <v>Tiếng Anh</v>
          </cell>
          <cell r="K184" t="str">
            <v>https://drive.google.com/open?id=14rZm4z7f6_rVmj3r_6voMl_4U8rtox5F</v>
          </cell>
          <cell r="L184" t="str">
            <v>PGS. TS Trần Hùng Sơn</v>
          </cell>
          <cell r="N184" t="str">
            <v>ThS Nguyễn Thị Hai Hằng</v>
          </cell>
          <cell r="O184" t="str">
            <v>TS Nguyễn Thành Đạt</v>
          </cell>
          <cell r="P184" t="str">
            <v>ThS Hồ Thị Hồng Minh</v>
          </cell>
          <cell r="Q184" t="str">
            <v>ThS Nguyễn Thị Hai Hằng</v>
          </cell>
          <cell r="R184" t="str">
            <v>10</v>
          </cell>
          <cell r="S184" t="str">
            <v>8h00 sáng thứ năm ngày 05/3/2026</v>
          </cell>
        </row>
        <row r="185">
          <cell r="B185" t="str">
            <v>K224040524</v>
          </cell>
          <cell r="C185" t="str">
            <v>Võ Bảo Huy</v>
          </cell>
          <cell r="D185" t="str">
            <v>K22404</v>
          </cell>
          <cell r="E185" t="str">
            <v>X</v>
          </cell>
          <cell r="F185" t="str">
            <v>X</v>
          </cell>
          <cell r="H185" t="str">
            <v>TÍNH LAN TỎA GIỮA CÁC TÀI SẢN DEFI, TIỀN MÃ HÓA, CỔ PHIẾU VÀ TÀI SẢN TRÚ ẨN AN TOÀN</v>
          </cell>
          <cell r="I185" t="str">
            <v>Tiếng Việt</v>
          </cell>
          <cell r="J185" t="str">
            <v>Tiếng Việt</v>
          </cell>
          <cell r="K185" t="str">
            <v>https://drive.google.com/open?id=10lpHY1hjMRfvFeUJEwOX4In0mDiuXT3J</v>
          </cell>
          <cell r="L185" t="str">
            <v>PGS. TS Trần Hùng Sơn</v>
          </cell>
          <cell r="N185" t="str">
            <v>ThS Nguyễn Thị Hai Hằng</v>
          </cell>
          <cell r="O185" t="str">
            <v>TS Nguyễn Thành Đạt</v>
          </cell>
          <cell r="P185" t="str">
            <v>ThS Hồ Thị Hồng Minh</v>
          </cell>
          <cell r="Q185" t="str">
            <v>TS Nguyễn Thành Đạt</v>
          </cell>
          <cell r="R185" t="str">
            <v>10</v>
          </cell>
          <cell r="S185" t="str">
            <v>8h00 sáng thứ năm ngày 05/3/2026</v>
          </cell>
        </row>
        <row r="186">
          <cell r="B186" t="str">
            <v>K204040224</v>
          </cell>
          <cell r="C186" t="str">
            <v>Trang Hoàng Phi Yến</v>
          </cell>
          <cell r="D186" t="str">
            <v>K20404</v>
          </cell>
          <cell r="F186" t="str">
            <v>X</v>
          </cell>
          <cell r="G186" t="str">
            <v>X</v>
          </cell>
          <cell r="H186" t="str">
            <v/>
          </cell>
          <cell r="L186" t="str">
            <v>ThS Tô Thị Thanh Trúc</v>
          </cell>
        </row>
        <row r="187">
          <cell r="B187" t="str">
            <v>K204041202</v>
          </cell>
          <cell r="C187" t="str">
            <v>Tô Quang Tiến</v>
          </cell>
          <cell r="D187" t="str">
            <v>K20404</v>
          </cell>
          <cell r="F187" t="str">
            <v>X</v>
          </cell>
          <cell r="G187" t="str">
            <v>X</v>
          </cell>
          <cell r="H187" t="str">
            <v/>
          </cell>
          <cell r="L187" t="str">
            <v>ThS Tô Thị Thanh Trúc</v>
          </cell>
        </row>
        <row r="188">
          <cell r="B188" t="str">
            <v>K204041217</v>
          </cell>
          <cell r="C188" t="str">
            <v>Nguyễn Thị Thuý Vi</v>
          </cell>
          <cell r="D188" t="str">
            <v>K20404</v>
          </cell>
          <cell r="F188" t="str">
            <v>X</v>
          </cell>
          <cell r="G188" t="str">
            <v>X</v>
          </cell>
          <cell r="H188" t="str">
            <v/>
          </cell>
          <cell r="L188" t="str">
            <v>ThS Tô Thị Thanh Trúc</v>
          </cell>
        </row>
        <row r="189">
          <cell r="B189" t="str">
            <v>K204041219</v>
          </cell>
          <cell r="C189" t="str">
            <v>Phan Lê Tú Viên</v>
          </cell>
          <cell r="D189" t="str">
            <v>K20404</v>
          </cell>
          <cell r="F189" t="str">
            <v>X</v>
          </cell>
          <cell r="G189" t="str">
            <v>X</v>
          </cell>
          <cell r="H189" t="str">
            <v/>
          </cell>
          <cell r="I189" t="str">
            <v>Tiếng Việt</v>
          </cell>
          <cell r="L189" t="str">
            <v>ThS Tô Thị Thanh Trúc</v>
          </cell>
        </row>
        <row r="190">
          <cell r="B190" t="str">
            <v>K214040248</v>
          </cell>
          <cell r="C190" t="str">
            <v>Hoàng Gia Linh</v>
          </cell>
          <cell r="D190" t="str">
            <v>K21404</v>
          </cell>
          <cell r="F190" t="str">
            <v>X</v>
          </cell>
          <cell r="G190" t="str">
            <v>X</v>
          </cell>
          <cell r="H190" t="str">
            <v/>
          </cell>
          <cell r="L190" t="str">
            <v>ThS Tô Thị Thanh Trúc</v>
          </cell>
        </row>
        <row r="191">
          <cell r="B191" t="str">
            <v>K214040272</v>
          </cell>
          <cell r="C191" t="str">
            <v>Nguyễn Khắc Như Thùy</v>
          </cell>
          <cell r="D191" t="str">
            <v>K21404</v>
          </cell>
          <cell r="F191" t="str">
            <v>X</v>
          </cell>
          <cell r="G191" t="str">
            <v>X</v>
          </cell>
          <cell r="H191" t="str">
            <v/>
          </cell>
          <cell r="L191" t="str">
            <v>ThS Tô Thị Thanh Trúc</v>
          </cell>
        </row>
        <row r="192">
          <cell r="B192" t="str">
            <v>K214041589</v>
          </cell>
          <cell r="C192" t="str">
            <v>Vòng Lập Bình</v>
          </cell>
          <cell r="D192" t="str">
            <v>K21404</v>
          </cell>
          <cell r="F192" t="str">
            <v>X</v>
          </cell>
          <cell r="G192" t="str">
            <v>X</v>
          </cell>
          <cell r="H192" t="str">
            <v/>
          </cell>
          <cell r="L192" t="str">
            <v>ThS Tô Thị Thanh Trúc</v>
          </cell>
        </row>
        <row r="193">
          <cell r="B193" t="str">
            <v>K224020262</v>
          </cell>
          <cell r="C193" t="str">
            <v>Nguyễn Đặng Vi Bân</v>
          </cell>
          <cell r="D193" t="str">
            <v>K22404C</v>
          </cell>
          <cell r="F193" t="str">
            <v>X</v>
          </cell>
          <cell r="G193" t="str">
            <v>X</v>
          </cell>
          <cell r="H193" t="str">
            <v/>
          </cell>
          <cell r="I193" t="str">
            <v>Tiếng Anh</v>
          </cell>
          <cell r="L193" t="str">
            <v>ThS Tô Thị Thanh Trúc</v>
          </cell>
        </row>
        <row r="194">
          <cell r="B194" t="str">
            <v>K224040465</v>
          </cell>
          <cell r="C194" t="str">
            <v>Trương Thị Nhã Ái</v>
          </cell>
          <cell r="D194" t="str">
            <v>K22404</v>
          </cell>
          <cell r="F194" t="str">
            <v>X</v>
          </cell>
          <cell r="G194" t="str">
            <v>X</v>
          </cell>
          <cell r="H194" t="str">
            <v/>
          </cell>
          <cell r="I194" t="str">
            <v>Tiếng Việt</v>
          </cell>
          <cell r="L194" t="str">
            <v>ThS Tô Thị Thanh Trúc</v>
          </cell>
        </row>
        <row r="195">
          <cell r="B195" t="str">
            <v>K224040471</v>
          </cell>
          <cell r="C195" t="str">
            <v>Nguyễn Thị Thu Hà</v>
          </cell>
          <cell r="D195" t="str">
            <v>K22404</v>
          </cell>
          <cell r="F195" t="str">
            <v>X</v>
          </cell>
          <cell r="G195" t="str">
            <v>X</v>
          </cell>
          <cell r="H195" t="str">
            <v/>
          </cell>
          <cell r="I195" t="str">
            <v>Tiếng Việt</v>
          </cell>
          <cell r="L195" t="str">
            <v>ThS Tô Thị Thanh Trúc</v>
          </cell>
        </row>
        <row r="196">
          <cell r="B196" t="str">
            <v>K224040472</v>
          </cell>
          <cell r="C196" t="str">
            <v>Võ Thị Hồng Hạnh</v>
          </cell>
          <cell r="D196" t="str">
            <v>K22404</v>
          </cell>
          <cell r="F196" t="str">
            <v>X</v>
          </cell>
          <cell r="G196" t="str">
            <v>X</v>
          </cell>
          <cell r="H196" t="str">
            <v/>
          </cell>
          <cell r="I196" t="str">
            <v>Tiếng Việt</v>
          </cell>
          <cell r="L196" t="str">
            <v>ThS Tô Thị Thanh Trúc</v>
          </cell>
        </row>
        <row r="197">
          <cell r="B197" t="str">
            <v>K224040473</v>
          </cell>
          <cell r="C197" t="str">
            <v>Trần Thị Thu Hằng</v>
          </cell>
          <cell r="D197" t="str">
            <v>K22404</v>
          </cell>
          <cell r="F197" t="str">
            <v>X</v>
          </cell>
          <cell r="G197" t="str">
            <v>X</v>
          </cell>
          <cell r="H197" t="str">
            <v/>
          </cell>
          <cell r="I197" t="str">
            <v>Tiếng Việt</v>
          </cell>
          <cell r="L197" t="str">
            <v>ThS Tô Thị Thanh Trúc</v>
          </cell>
        </row>
        <row r="198">
          <cell r="B198" t="str">
            <v>K224040474</v>
          </cell>
          <cell r="C198" t="str">
            <v>Phan Thanh Thanh Hiền</v>
          </cell>
          <cell r="D198" t="str">
            <v>K22404</v>
          </cell>
          <cell r="F198" t="str">
            <v>X</v>
          </cell>
          <cell r="G198" t="str">
            <v>X</v>
          </cell>
          <cell r="H198" t="str">
            <v/>
          </cell>
          <cell r="I198" t="str">
            <v>Tiếng Việt</v>
          </cell>
          <cell r="L198" t="str">
            <v>ThS Tô Thị Thanh Trúc</v>
          </cell>
        </row>
        <row r="199">
          <cell r="B199" t="str">
            <v>K224040475</v>
          </cell>
          <cell r="C199" t="str">
            <v>Lý Nhật Huy</v>
          </cell>
          <cell r="D199" t="str">
            <v>K22404</v>
          </cell>
          <cell r="F199" t="str">
            <v>X</v>
          </cell>
          <cell r="G199" t="str">
            <v>X</v>
          </cell>
          <cell r="H199" t="str">
            <v/>
          </cell>
          <cell r="I199" t="str">
            <v>Tiếng Việt</v>
          </cell>
          <cell r="L199" t="str">
            <v>ThS Tô Thị Thanh Trúc</v>
          </cell>
        </row>
        <row r="200">
          <cell r="B200" t="str">
            <v>K224040476</v>
          </cell>
          <cell r="C200" t="str">
            <v>Lê Huỳnh Khánh Huyền</v>
          </cell>
          <cell r="D200" t="str">
            <v>K22404</v>
          </cell>
          <cell r="F200" t="str">
            <v>X</v>
          </cell>
          <cell r="G200" t="str">
            <v>X</v>
          </cell>
          <cell r="H200" t="str">
            <v/>
          </cell>
          <cell r="I200" t="str">
            <v>Tiếng Việt</v>
          </cell>
          <cell r="L200" t="str">
            <v>ThS Tô Thị Thanh Trúc</v>
          </cell>
        </row>
        <row r="201">
          <cell r="B201" t="str">
            <v>K224040507</v>
          </cell>
          <cell r="C201" t="str">
            <v>Phạm Thị Thanh Trúc</v>
          </cell>
          <cell r="D201" t="str">
            <v>K22404</v>
          </cell>
          <cell r="F201" t="str">
            <v>X</v>
          </cell>
          <cell r="G201" t="str">
            <v>X</v>
          </cell>
          <cell r="H201" t="str">
            <v/>
          </cell>
          <cell r="I201" t="str">
            <v>Tiếng Việt</v>
          </cell>
          <cell r="L201" t="str">
            <v>ThS Tô Thị Thanh Trúc</v>
          </cell>
        </row>
        <row r="202">
          <cell r="B202" t="str">
            <v>K224040511</v>
          </cell>
          <cell r="C202" t="str">
            <v>Đỗ Thanh Viên</v>
          </cell>
          <cell r="D202" t="str">
            <v>K22404</v>
          </cell>
          <cell r="F202" t="str">
            <v>X</v>
          </cell>
          <cell r="G202" t="str">
            <v>X</v>
          </cell>
          <cell r="H202" t="str">
            <v/>
          </cell>
          <cell r="I202" t="str">
            <v>Tiếng Việt</v>
          </cell>
          <cell r="L202" t="str">
            <v>ThS Tô Thị Thanh Trúc</v>
          </cell>
        </row>
        <row r="203">
          <cell r="B203" t="str">
            <v>K224040513</v>
          </cell>
          <cell r="C203" t="str">
            <v>Nguyễn Vân An</v>
          </cell>
          <cell r="D203" t="str">
            <v>K22404</v>
          </cell>
          <cell r="F203" t="str">
            <v>X</v>
          </cell>
          <cell r="G203" t="str">
            <v>X</v>
          </cell>
          <cell r="H203" t="str">
            <v/>
          </cell>
          <cell r="I203" t="str">
            <v>Tiếng Việt</v>
          </cell>
          <cell r="L203" t="str">
            <v>ThS Tô Thị Thanh Trúc</v>
          </cell>
        </row>
        <row r="204">
          <cell r="B204" t="str">
            <v>K224040515</v>
          </cell>
          <cell r="C204" t="str">
            <v>Nguyễn Phạm Ngọc Ánh</v>
          </cell>
          <cell r="D204" t="str">
            <v>K22404</v>
          </cell>
          <cell r="F204" t="str">
            <v>X</v>
          </cell>
          <cell r="G204" t="str">
            <v>X</v>
          </cell>
          <cell r="H204" t="str">
            <v/>
          </cell>
          <cell r="I204" t="str">
            <v>Tiếng Việt</v>
          </cell>
          <cell r="L204" t="str">
            <v>ThS Tô Thị Thanh Trúc</v>
          </cell>
        </row>
        <row r="205">
          <cell r="B205" t="str">
            <v>K224040516</v>
          </cell>
          <cell r="C205" t="str">
            <v>Lương Thanh Bi</v>
          </cell>
          <cell r="D205" t="str">
            <v>K22404</v>
          </cell>
          <cell r="F205" t="str">
            <v>X</v>
          </cell>
          <cell r="G205" t="str">
            <v>X</v>
          </cell>
          <cell r="H205" t="str">
            <v/>
          </cell>
          <cell r="I205" t="str">
            <v>Tiếng Việt</v>
          </cell>
          <cell r="L205" t="str">
            <v>ThS Tô Thị Thanh Trúc</v>
          </cell>
        </row>
        <row r="206">
          <cell r="B206" t="str">
            <v>K224040520</v>
          </cell>
          <cell r="C206" t="str">
            <v>Phan Thị Mỹ Hạnh</v>
          </cell>
          <cell r="D206" t="str">
            <v>K22404</v>
          </cell>
          <cell r="F206" t="str">
            <v>X</v>
          </cell>
          <cell r="G206" t="str">
            <v>X</v>
          </cell>
          <cell r="H206" t="str">
            <v/>
          </cell>
          <cell r="I206" t="str">
            <v>Tiếng Việt</v>
          </cell>
          <cell r="L206" t="str">
            <v>ThS Tô Thị Thanh Trúc</v>
          </cell>
        </row>
        <row r="207">
          <cell r="B207" t="str">
            <v>K224040526</v>
          </cell>
          <cell r="C207" t="str">
            <v>Nguyễn Công Minh Khôi</v>
          </cell>
          <cell r="D207" t="str">
            <v>K22404</v>
          </cell>
          <cell r="F207" t="str">
            <v>X</v>
          </cell>
          <cell r="G207" t="str">
            <v>X</v>
          </cell>
          <cell r="H207" t="str">
            <v/>
          </cell>
          <cell r="I207" t="str">
            <v>Tiếng Việt</v>
          </cell>
          <cell r="L207" t="str">
            <v>ThS Tô Thị Thanh Trúc</v>
          </cell>
        </row>
        <row r="208">
          <cell r="B208" t="str">
            <v>K224040529</v>
          </cell>
          <cell r="C208" t="str">
            <v>Hà Xuân Mai</v>
          </cell>
          <cell r="D208" t="str">
            <v>K22404</v>
          </cell>
          <cell r="F208" t="str">
            <v>X</v>
          </cell>
          <cell r="G208" t="str">
            <v>X</v>
          </cell>
          <cell r="H208" t="str">
            <v/>
          </cell>
          <cell r="I208" t="str">
            <v>Tiếng Việt</v>
          </cell>
          <cell r="L208" t="str">
            <v>ThS Tô Thị Thanh Trúc</v>
          </cell>
        </row>
        <row r="209">
          <cell r="B209" t="str">
            <v>K224040538</v>
          </cell>
          <cell r="C209" t="str">
            <v>Trần Nhất Phong</v>
          </cell>
          <cell r="D209" t="str">
            <v>K22404</v>
          </cell>
          <cell r="F209" t="str">
            <v>X</v>
          </cell>
          <cell r="G209" t="str">
            <v>X</v>
          </cell>
          <cell r="H209" t="str">
            <v/>
          </cell>
          <cell r="I209" t="str">
            <v>Tiếng Việt</v>
          </cell>
          <cell r="L209" t="str">
            <v>ThS Tô Thị Thanh Trúc</v>
          </cell>
        </row>
        <row r="210">
          <cell r="B210" t="str">
            <v>K224040588</v>
          </cell>
          <cell r="C210" t="str">
            <v>Trần Nguyễn Anh Thư</v>
          </cell>
          <cell r="D210" t="str">
            <v>K22404C</v>
          </cell>
          <cell r="E210" t="str">
            <v>X</v>
          </cell>
          <cell r="F210" t="str">
            <v>X</v>
          </cell>
          <cell r="H210" t="str">
            <v>PHÂN TÍCH CÁC YẾU TỐ ẢNH HƯỞNG ĐẾN NỢ XẤU TẠI CÁC NGÂN HÀNG THƯƠNG MẠI VIỆT NAM GIAI ĐOẠN 2014 - 2024</v>
          </cell>
          <cell r="I210" t="str">
            <v>Tiếng Anh</v>
          </cell>
          <cell r="J210" t="str">
            <v>Tiếng Việt</v>
          </cell>
          <cell r="K210" t="str">
            <v>https://drive.google.com/open?id=1-fSe6ljPODfmDnuw0i9YLGHJuwBMowKW</v>
          </cell>
          <cell r="L210" t="str">
            <v>PGS. TS Trần Hùng Sơn</v>
          </cell>
          <cell r="N210" t="str">
            <v>ThS Nguyễn Thị Hai Hằng</v>
          </cell>
          <cell r="O210" t="str">
            <v>TS Nguyễn Thành Đạt</v>
          </cell>
          <cell r="P210" t="str">
            <v>ThS Hồ Thị Hồng Minh</v>
          </cell>
          <cell r="Q210" t="str">
            <v>TS Nguyễn Thành Đạt</v>
          </cell>
          <cell r="R210" t="str">
            <v>10</v>
          </cell>
          <cell r="S210" t="str">
            <v>8h00 sáng thứ năm ngày 05/3/2026</v>
          </cell>
        </row>
        <row r="211">
          <cell r="B211" t="str">
            <v>K224040470</v>
          </cell>
          <cell r="C211" t="str">
            <v>Đào Hồ Trúc Giang</v>
          </cell>
          <cell r="D211" t="str">
            <v>K22404</v>
          </cell>
          <cell r="E211" t="str">
            <v>X</v>
          </cell>
          <cell r="F211" t="str">
            <v>X</v>
          </cell>
          <cell r="H211" t="str">
            <v>THE IMPACT OF CEO CHARACTERISTICS ON FINANCIAL PERFORMANCE OF VIETNAMESE COMMERCIAL BANKS</v>
          </cell>
          <cell r="I211" t="str">
            <v>Tiếng Anh</v>
          </cell>
          <cell r="J211" t="str">
            <v>Tiếng Anh</v>
          </cell>
          <cell r="K211" t="str">
            <v>https://drive.google.com/open?id=1fwESmfwDEc0rKUi6XHSCOGFwQ68ArZuZ</v>
          </cell>
          <cell r="L211" t="str">
            <v>ThS Nguyễn Thị Diễm Hiền</v>
          </cell>
          <cell r="N211" t="str">
            <v>ThS Nguyễn Thị Hai Hằng</v>
          </cell>
          <cell r="O211" t="str">
            <v>TS Nguyễn Thành Đạt</v>
          </cell>
          <cell r="P211" t="str">
            <v>ThS Hồ Thị Hồng Minh</v>
          </cell>
          <cell r="Q211" t="str">
            <v>ThS Nguyễn Thị Hai Hằng</v>
          </cell>
          <cell r="R211" t="str">
            <v>10</v>
          </cell>
          <cell r="S211" t="str">
            <v>8h00 sáng thứ năm ngày 05/3/2026</v>
          </cell>
        </row>
        <row r="212">
          <cell r="B212" t="str">
            <v>K224040532</v>
          </cell>
          <cell r="C212" t="str">
            <v>Trương Ngọc Kiều Ngân</v>
          </cell>
          <cell r="D212" t="str">
            <v>K22412</v>
          </cell>
          <cell r="E212" t="str">
            <v>X</v>
          </cell>
          <cell r="F212" t="str">
            <v>X</v>
          </cell>
          <cell r="H212" t="str">
            <v>MỐI QUAN HỆ GIỮA TỶ LỆ AN TOÀN VỐN VÀ HIỆU QUẢ HOẠT ĐỘNG CỦA CÁC NGÂN HÀNG THƯƠNG MẠI CỔ PHẦN TẠI VIỆT NAM: BẰNG CHỨNG TỪ MÔ HÌNH HỆ PHƯƠNG TRÌNH ĐỒNG THỜI (SEM)</v>
          </cell>
          <cell r="I212" t="str">
            <v>Tiếng Việt</v>
          </cell>
          <cell r="J212" t="str">
            <v>Tiếng Việt</v>
          </cell>
          <cell r="K212" t="str">
            <v>https://drive.google.com/open?id=1-BC9yK0Bm8DwW7WT3zCp3DRWi5FwBsrd</v>
          </cell>
          <cell r="L212" t="str">
            <v>ThS Nguyễn Thị Diễm Hiền</v>
          </cell>
          <cell r="M212" t="str">
            <v>Có bài báo quốc tế chủ đề không liên quan</v>
          </cell>
          <cell r="N212" t="str">
            <v>ThS Nguyễn Thị Hai Hằng</v>
          </cell>
          <cell r="O212" t="str">
            <v>TS Nguyễn Thành Đạt</v>
          </cell>
          <cell r="P212" t="str">
            <v>ThS Hồ Thị Hồng Minh</v>
          </cell>
          <cell r="Q212" t="str">
            <v>ThS Hồ Thị Hồng Minh</v>
          </cell>
          <cell r="R212" t="str">
            <v>10</v>
          </cell>
          <cell r="S212" t="str">
            <v>8h00 sáng thứ năm ngày 05/3/2026</v>
          </cell>
        </row>
        <row r="213">
          <cell r="B213" t="str">
            <v>K224040536</v>
          </cell>
          <cell r="C213" t="str">
            <v>Nguyễn Thị Yến Nhi</v>
          </cell>
          <cell r="D213" t="str">
            <v>K22404</v>
          </cell>
          <cell r="E213" t="str">
            <v>X</v>
          </cell>
          <cell r="F213" t="str">
            <v>X</v>
          </cell>
          <cell r="H213" t="str">
            <v>ĐÁNH GIÁ VÀ PHÂN TÍCH CÁC YẾU TỐ ẢNH HƯỞNG ĐẾN HIỆU QUẢ HOẠT ĐỘNG CỦA CÁC NGÂN HÀNG THƯƠNG MẠI TẠI VIỆT NAM TRONG GIAI ĐOẠN 2020-2024: CÁCH TIẾP CẬN PHƯƠNG PHÁP BAO DỮ LIỆU (DEA) VÀ HỒI QUY TOBIT</v>
          </cell>
          <cell r="I213" t="str">
            <v>Tiếng Việt</v>
          </cell>
          <cell r="J213" t="str">
            <v>Tiếng Việt</v>
          </cell>
          <cell r="K213" t="str">
            <v>https://drive.google.com/open?id=1xh6oIYeGk3U6ezY7Hri-oHKSpQd-5twl</v>
          </cell>
          <cell r="L213" t="str">
            <v>ThS Nguyễn Thị Diễm Hiền</v>
          </cell>
          <cell r="N213" t="str">
            <v>ThS Nguyễn Thị Hai Hằng</v>
          </cell>
          <cell r="O213" t="str">
            <v>TS Nguyễn Thành Đạt</v>
          </cell>
          <cell r="P213" t="str">
            <v>ThS Hồ Thị Hồng Minh</v>
          </cell>
          <cell r="Q213" t="str">
            <v>ThS Nguyễn Thị Hai Hằng</v>
          </cell>
          <cell r="R213" t="str">
            <v>10</v>
          </cell>
          <cell r="S213" t="str">
            <v>8h00 sáng thứ năm ngày 05/3/2026</v>
          </cell>
        </row>
        <row r="214">
          <cell r="B214" t="str">
            <v>K224040539</v>
          </cell>
          <cell r="C214" t="str">
            <v>Võ Trường Phúc</v>
          </cell>
          <cell r="D214" t="str">
            <v>K22404</v>
          </cell>
          <cell r="E214" t="str">
            <v>X</v>
          </cell>
          <cell r="F214" t="str">
            <v>X</v>
          </cell>
          <cell r="H214" t="str">
            <v>THE IMPACT OF BOARD CHARACTERISTICS  ON THE FINANCIAL PERFORMANCE OF LISTED  COMMERCIAL BANKS IN VIETNAM:  EVIDENCE FROM 2015-2024</v>
          </cell>
          <cell r="I214" t="str">
            <v>Tiếng Anh</v>
          </cell>
          <cell r="J214" t="str">
            <v>Tiếng Anh</v>
          </cell>
          <cell r="K214" t="str">
            <v>https://drive.google.com/open?id=15j5YHsntLpLHRKY-37OhUdxiuoKMh1Ss</v>
          </cell>
          <cell r="L214" t="str">
            <v>ThS Nguyễn Thị Diễm Hiền</v>
          </cell>
          <cell r="N214" t="str">
            <v>ThS Nguyễn Thị Hai Hằng</v>
          </cell>
          <cell r="O214" t="str">
            <v>TS Nguyễn Thành Đạt</v>
          </cell>
          <cell r="P214" t="str">
            <v>ThS Hồ Thị Hồng Minh</v>
          </cell>
          <cell r="Q214" t="str">
            <v>TS Nguyễn Thành Đạt</v>
          </cell>
          <cell r="R214" t="str">
            <v>10</v>
          </cell>
          <cell r="S214" t="str">
            <v>8h00 sáng thứ năm ngày 05/3/2026</v>
          </cell>
        </row>
        <row r="215">
          <cell r="B215" t="str">
            <v>K224040566</v>
          </cell>
          <cell r="C215" t="str">
            <v>Võ Hoàng Triệu Dương</v>
          </cell>
          <cell r="D215" t="str">
            <v>K22404C</v>
          </cell>
          <cell r="F215" t="str">
            <v>X</v>
          </cell>
          <cell r="G215" t="str">
            <v>X</v>
          </cell>
          <cell r="H215" t="str">
            <v/>
          </cell>
          <cell r="I215" t="str">
            <v>Tiếng Anh</v>
          </cell>
          <cell r="L215" t="str">
            <v>TS Nguyễn Hoàng Anh</v>
          </cell>
        </row>
        <row r="216">
          <cell r="B216" t="str">
            <v>K224040477</v>
          </cell>
          <cell r="C216" t="str">
            <v>Nguyễn Trần Vũ Hùng</v>
          </cell>
          <cell r="D216" t="str">
            <v>K22404</v>
          </cell>
          <cell r="F216" t="str">
            <v>X</v>
          </cell>
          <cell r="G216" t="str">
            <v>X</v>
          </cell>
          <cell r="H216" t="str">
            <v/>
          </cell>
          <cell r="I216" t="str">
            <v>Tiếng Việt</v>
          </cell>
          <cell r="L216" t="str">
            <v>TS Nguyễn Thành Đạt</v>
          </cell>
        </row>
        <row r="217">
          <cell r="B217" t="str">
            <v>K224040479</v>
          </cell>
          <cell r="C217" t="str">
            <v>Nguyễn Thị Hạnh Linh</v>
          </cell>
          <cell r="D217" t="str">
            <v>K22404</v>
          </cell>
          <cell r="F217" t="str">
            <v>X</v>
          </cell>
          <cell r="G217" t="str">
            <v>X</v>
          </cell>
          <cell r="H217" t="str">
            <v/>
          </cell>
          <cell r="I217" t="str">
            <v>Tiếng Việt</v>
          </cell>
          <cell r="L217" t="str">
            <v>TS Nguyễn Thành Đạt</v>
          </cell>
        </row>
        <row r="218">
          <cell r="B218" t="str">
            <v>K224040543</v>
          </cell>
          <cell r="C218" t="str">
            <v>Nguyễn Thị Minh Tâm</v>
          </cell>
          <cell r="D218" t="str">
            <v>K22404</v>
          </cell>
          <cell r="F218" t="str">
            <v>X</v>
          </cell>
          <cell r="G218" t="str">
            <v>X</v>
          </cell>
          <cell r="H218" t="str">
            <v/>
          </cell>
          <cell r="I218" t="str">
            <v>Tiếng Việt</v>
          </cell>
          <cell r="L218" t="str">
            <v>TS Nguyễn Thành Đạt</v>
          </cell>
        </row>
        <row r="219">
          <cell r="B219" t="str">
            <v>K224040544</v>
          </cell>
          <cell r="C219" t="str">
            <v>Nguyễn Tấn Thành</v>
          </cell>
          <cell r="D219" t="str">
            <v>K22404</v>
          </cell>
          <cell r="F219" t="str">
            <v>X</v>
          </cell>
          <cell r="G219" t="str">
            <v>X</v>
          </cell>
          <cell r="H219" t="str">
            <v/>
          </cell>
          <cell r="I219" t="str">
            <v>Tiếng Việt</v>
          </cell>
          <cell r="L219" t="str">
            <v>TS Nguyễn Thành Đạt</v>
          </cell>
        </row>
        <row r="220">
          <cell r="B220" t="str">
            <v>K224040546</v>
          </cell>
          <cell r="C220" t="str">
            <v>Hàng Quốc Thắng</v>
          </cell>
          <cell r="D220" t="str">
            <v>K22404</v>
          </cell>
          <cell r="F220" t="str">
            <v>X</v>
          </cell>
          <cell r="G220" t="str">
            <v>X</v>
          </cell>
          <cell r="H220" t="str">
            <v/>
          </cell>
          <cell r="I220" t="str">
            <v>Tiếng Việt</v>
          </cell>
          <cell r="L220" t="str">
            <v>TS Nguyễn Thành Đạt</v>
          </cell>
        </row>
        <row r="221">
          <cell r="B221" t="str">
            <v>K224040547</v>
          </cell>
          <cell r="C221" t="str">
            <v>Đỗ Trần Hồng Thơ</v>
          </cell>
          <cell r="D221" t="str">
            <v>K22404</v>
          </cell>
          <cell r="F221" t="str">
            <v>X</v>
          </cell>
          <cell r="G221" t="str">
            <v>X</v>
          </cell>
          <cell r="H221" t="str">
            <v/>
          </cell>
          <cell r="I221" t="str">
            <v>Tiếng Việt</v>
          </cell>
          <cell r="L221" t="str">
            <v>TS Nguyễn Thành Đạt</v>
          </cell>
        </row>
        <row r="222">
          <cell r="B222" t="str">
            <v>K224040548</v>
          </cell>
          <cell r="C222" t="str">
            <v>Lê Hoàng Như Thuỷ</v>
          </cell>
          <cell r="D222" t="str">
            <v>K22404</v>
          </cell>
          <cell r="F222" t="str">
            <v>X</v>
          </cell>
          <cell r="G222" t="str">
            <v>X</v>
          </cell>
          <cell r="H222" t="str">
            <v/>
          </cell>
          <cell r="I222" t="str">
            <v>Tiếng Việt</v>
          </cell>
          <cell r="L222" t="str">
            <v>TS Nguyễn Thành Đạt</v>
          </cell>
        </row>
        <row r="223">
          <cell r="B223" t="str">
            <v>K224040549</v>
          </cell>
          <cell r="C223" t="str">
            <v>Nguyễn Ngọc Anh Thư</v>
          </cell>
          <cell r="D223" t="str">
            <v>K22404</v>
          </cell>
          <cell r="F223" t="str">
            <v>X</v>
          </cell>
          <cell r="G223" t="str">
            <v>X</v>
          </cell>
          <cell r="H223" t="str">
            <v/>
          </cell>
          <cell r="I223" t="str">
            <v>Tiếng Việt</v>
          </cell>
          <cell r="L223" t="str">
            <v>TS Nguyễn Thành Đạt</v>
          </cell>
        </row>
        <row r="224">
          <cell r="B224" t="str">
            <v>K224040577</v>
          </cell>
          <cell r="C224" t="str">
            <v>Trần Thanh Bảo Ngọc</v>
          </cell>
          <cell r="D224" t="str">
            <v>K22404C</v>
          </cell>
          <cell r="F224" t="str">
            <v>X</v>
          </cell>
          <cell r="G224" t="str">
            <v>X</v>
          </cell>
          <cell r="H224" t="str">
            <v/>
          </cell>
          <cell r="I224" t="str">
            <v>Tiếng Anh</v>
          </cell>
          <cell r="L224" t="str">
            <v>TS Nguyễn Thanh Liêm</v>
          </cell>
        </row>
        <row r="225">
          <cell r="B225" t="str">
            <v>K224040542</v>
          </cell>
          <cell r="C225" t="str">
            <v>Phạm Thanh Tài</v>
          </cell>
          <cell r="D225" t="str">
            <v>K22404</v>
          </cell>
          <cell r="E225" t="str">
            <v>X</v>
          </cell>
          <cell r="F225" t="str">
            <v>X</v>
          </cell>
          <cell r="H225" t="str">
            <v>CÁC YẾU TỐ ẢNH HƯỞNG ĐẾN HOẠT ĐỘNG HUY ĐỘNG VỐN CỦA NGÂN HÀNG THƯƠNG MẠI VIỆT NAM</v>
          </cell>
          <cell r="I225" t="str">
            <v>Tiếng Việt</v>
          </cell>
          <cell r="J225" t="str">
            <v>Tiếng Việt</v>
          </cell>
          <cell r="K225" t="str">
            <v>https://drive.google.com/open?id=186y1iuhE4YBZhzsIvEl_WgkEWTWnFFAd</v>
          </cell>
          <cell r="L225" t="str">
            <v>ThS Nguyễn Thị Diễm Hiền</v>
          </cell>
          <cell r="N225" t="str">
            <v>ThS Nguyễn Thị Hai Hằng</v>
          </cell>
          <cell r="O225" t="str">
            <v>TS Nguyễn Thành Đạt</v>
          </cell>
          <cell r="P225" t="str">
            <v>ThS Hồ Thị Hồng Minh</v>
          </cell>
          <cell r="Q225" t="str">
            <v>ThS Hồ Thị Hồng Minh</v>
          </cell>
          <cell r="R225" t="str">
            <v>10</v>
          </cell>
          <cell r="S225" t="str">
            <v>8h00 sáng thứ năm ngày 05/3/2026</v>
          </cell>
        </row>
        <row r="226">
          <cell r="B226" t="str">
            <v>K224040480</v>
          </cell>
          <cell r="C226" t="str">
            <v>Hồ Thị Bích Ly</v>
          </cell>
          <cell r="D226" t="str">
            <v>K22404</v>
          </cell>
          <cell r="E226" t="str">
            <v>X</v>
          </cell>
          <cell r="F226" t="str">
            <v>X</v>
          </cell>
          <cell r="H226" t="str">
            <v>TÁC ĐỘNG CỦA TĂNG TRƯỞNG TÍN DỤNG ĐẾN RỦI RO THANH KHOẢN CỦA CÁC NGÂN HÀNG THƯƠNG MẠI CỔ PHẦN VIỆT NAM</v>
          </cell>
          <cell r="I226" t="str">
            <v>Tiếng Việt</v>
          </cell>
          <cell r="J226" t="str">
            <v>Tiếng Việt</v>
          </cell>
          <cell r="K226" t="str">
            <v>https://drive.google.com/open?id=1_evaqKEcYffiZxvGnqvJ85ZEqfiGE1es</v>
          </cell>
          <cell r="L226" t="str">
            <v>ThS Tô Thị Thanh Trúc</v>
          </cell>
          <cell r="N226" t="str">
            <v>ThS Nguyễn Thị Hai Hằng</v>
          </cell>
          <cell r="O226" t="str">
            <v>TS Nguyễn Thành Đạt</v>
          </cell>
          <cell r="P226" t="str">
            <v>ThS Hồ Thị Hồng Minh</v>
          </cell>
          <cell r="Q226" t="str">
            <v>TS Nguyễn Thành Đạt</v>
          </cell>
          <cell r="R226" t="str">
            <v>10</v>
          </cell>
          <cell r="S226" t="str">
            <v>8h00 sáng thứ năm ngày 05/3/2026</v>
          </cell>
        </row>
        <row r="227">
          <cell r="B227" t="str">
            <v>K224040496</v>
          </cell>
          <cell r="C227" t="str">
            <v>Mai Công Thanh</v>
          </cell>
          <cell r="D227" t="str">
            <v>K22404</v>
          </cell>
          <cell r="E227" t="str">
            <v>X</v>
          </cell>
          <cell r="F227" t="str">
            <v>X</v>
          </cell>
          <cell r="H227" t="str">
            <v>THE IMPACT OF BANK-FINTECH COOPERATION ON THE PERFORMANCE OF TRADITIONAL COMMERCIAL BANKS IN VIETNAM: THE MODERATING ROLE OF CEO CHARACTERISTICS</v>
          </cell>
          <cell r="I227" t="str">
            <v>Tiếng Anh</v>
          </cell>
          <cell r="J227" t="str">
            <v>Tiếng Anh</v>
          </cell>
          <cell r="K227" t="str">
            <v>https://drive.google.com/open?id=1w0gYi1WcKDjZDrOpTeDJPi8WuJN5DOLY</v>
          </cell>
          <cell r="L227" t="str">
            <v>ThS Tô Thị Thanh Trúc</v>
          </cell>
          <cell r="N227" t="str">
            <v>ThS Nguyễn Thị Hai Hằng</v>
          </cell>
          <cell r="O227" t="str">
            <v>TS Nguyễn Thành Đạt</v>
          </cell>
          <cell r="P227" t="str">
            <v>ThS Hồ Thị Hồng Minh</v>
          </cell>
          <cell r="Q227" t="str">
            <v>ThS Hồ Thị Hồng Minh</v>
          </cell>
          <cell r="R227" t="str">
            <v>10</v>
          </cell>
          <cell r="S227" t="str">
            <v>8h00 sáng thứ năm ngày 05/3/2026</v>
          </cell>
        </row>
        <row r="228">
          <cell r="B228" t="str">
            <v>K224040503</v>
          </cell>
          <cell r="C228" t="str">
            <v>Nguyễn Thị Huyền Trang</v>
          </cell>
          <cell r="D228" t="str">
            <v>K22404</v>
          </cell>
          <cell r="E228" t="str">
            <v>X</v>
          </cell>
          <cell r="F228" t="str">
            <v>X</v>
          </cell>
          <cell r="H228" t="str">
            <v>ẢNH HƯỞNG CỦA NỢ XẤU ĐẾN KHẢ NĂNG SINH LỜI CỦA CÁC NGÂN HÀNG THƯƠNG MẠI VIỆT NAM</v>
          </cell>
          <cell r="I228" t="str">
            <v>Tiếng Việt</v>
          </cell>
          <cell r="J228" t="str">
            <v>Tiếng Việt</v>
          </cell>
          <cell r="K228" t="str">
            <v>https://drive.google.com/open?id=1xltPUoWnClLWrv2nWIgqT_Aw1VBJxBLB</v>
          </cell>
          <cell r="L228" t="str">
            <v>ThS Tô Thị Thanh Trúc</v>
          </cell>
          <cell r="N228" t="str">
            <v>ThS Nguyễn Thị Hai Hằng</v>
          </cell>
          <cell r="O228" t="str">
            <v>TS Nguyễn Thành Đạt</v>
          </cell>
          <cell r="P228" t="str">
            <v>ThS Hồ Thị Hồng Minh</v>
          </cell>
          <cell r="Q228" t="str">
            <v>ThS Nguyễn Thị Hai Hằng</v>
          </cell>
          <cell r="R228" t="str">
            <v>10</v>
          </cell>
          <cell r="S228" t="str">
            <v>8h00 sáng thứ năm ngày 05/3/2026</v>
          </cell>
        </row>
        <row r="229">
          <cell r="B229" t="str">
            <v>K224040545</v>
          </cell>
          <cell r="C229" t="str">
            <v>Huỳnh Thị Thanh Thảo</v>
          </cell>
          <cell r="D229" t="str">
            <v>K22404</v>
          </cell>
          <cell r="E229" t="str">
            <v>X</v>
          </cell>
          <cell r="F229" t="str">
            <v>X</v>
          </cell>
          <cell r="H229" t="str">
            <v>MỐI QUAN HỆ GIỮA CAR VÀ KHẢ NĂNG SINH LỜI  CỦA CÁC NGÂN HÀNG THƯƠNG MẠI VIỆT NAM</v>
          </cell>
          <cell r="I229" t="str">
            <v>Tiếng Việt</v>
          </cell>
          <cell r="J229" t="str">
            <v>Tiếng Việt</v>
          </cell>
          <cell r="K229" t="str">
            <v>https://drive.google.com/open?id=1ywmDN0TaUUKDU3qV4cNAseMuy-f04vnK</v>
          </cell>
          <cell r="L229" t="str">
            <v>ThS Tô Thị Thanh Trúc</v>
          </cell>
          <cell r="N229" t="str">
            <v>ThS Nguyễn Thị Hai Hằng</v>
          </cell>
          <cell r="O229" t="str">
            <v>TS Nguyễn Thành Đạt</v>
          </cell>
          <cell r="P229" t="str">
            <v>ThS Hồ Thị Hồng Minh</v>
          </cell>
          <cell r="Q229" t="str">
            <v>ThS Nguyễn Thị Hai Hằng</v>
          </cell>
          <cell r="R229" t="str">
            <v>10</v>
          </cell>
          <cell r="S229" t="str">
            <v>8h00 sáng thứ năm ngày 05/3/2026</v>
          </cell>
        </row>
        <row r="230">
          <cell r="B230" t="str">
            <v>K224040598</v>
          </cell>
          <cell r="C230" t="str">
            <v>Cao Thị Phương Anh</v>
          </cell>
          <cell r="D230" t="str">
            <v>K22404CA</v>
          </cell>
          <cell r="E230" t="str">
            <v>X</v>
          </cell>
          <cell r="F230" t="str">
            <v>X</v>
          </cell>
          <cell r="H230" t="str">
            <v>THE IMPACT OF DIGITAL TRANSFORMATION ON FIRM PERFORMANCE OF LISTED COMPANIES IN THE VIETNAMESE STOCK MARKET</v>
          </cell>
          <cell r="I230" t="str">
            <v>Tiếng Anh</v>
          </cell>
          <cell r="J230" t="str">
            <v>Tiếng Anh</v>
          </cell>
          <cell r="K230" t="str">
            <v>https://drive.google.com/open?id=1LSSfc8W7cR_6pTdqatT6ksPKn0Xu4u5K</v>
          </cell>
          <cell r="L230" t="str">
            <v>TS Nguyễn Hoàng Anh</v>
          </cell>
          <cell r="N230" t="str">
            <v>PGS. TS Nguyễn Thị Ánh Như</v>
          </cell>
          <cell r="O230" t="str">
            <v>ThS Tô Thị Thanh Trúc</v>
          </cell>
          <cell r="P230" t="str">
            <v>ThS Nguyễn Thị Hai Hằng</v>
          </cell>
          <cell r="Q230" t="str">
            <v>PGS. TS Nguyễn Thị Ánh Như</v>
          </cell>
          <cell r="R230" t="str">
            <v>11</v>
          </cell>
          <cell r="S230" t="str">
            <v>8h00 sáng thứ sáu ngày 06/3/2026</v>
          </cell>
        </row>
        <row r="231">
          <cell r="B231" t="str">
            <v>K224040611</v>
          </cell>
          <cell r="C231" t="str">
            <v>Phan Đức Hiển Long</v>
          </cell>
          <cell r="D231" t="str">
            <v>K22404CA</v>
          </cell>
          <cell r="E231" t="str">
            <v>X</v>
          </cell>
          <cell r="F231" t="str">
            <v>X</v>
          </cell>
          <cell r="H231" t="str">
            <v>CORPORATE FINANCIALIZATION AND FIXED INVESTMENT RATES: EVIDENCE ON THE MODERATING EFFECTS OF FINANCIAL CONSTRAINTS AND MONETARY POLICY IN VIETNAM</v>
          </cell>
          <cell r="I231" t="str">
            <v>Tiếng Anh</v>
          </cell>
          <cell r="J231" t="str">
            <v>Tiếng Anh</v>
          </cell>
          <cell r="K231" t="str">
            <v>https://drive.google.com/open?id=14m5-s4KWxTaiN7ms3OOXgIhhEQQqp-RI</v>
          </cell>
          <cell r="L231" t="str">
            <v>TS Nguyễn Hoàng Anh</v>
          </cell>
          <cell r="N231" t="str">
            <v>PGS. TS Nguyễn Thị Ánh Như</v>
          </cell>
          <cell r="O231" t="str">
            <v>ThS Tô Thị Thanh Trúc</v>
          </cell>
          <cell r="P231" t="str">
            <v>ThS Nguyễn Thị Hai Hằng</v>
          </cell>
          <cell r="Q231" t="str">
            <v>ThS Nguyễn Thị Hai Hằng</v>
          </cell>
          <cell r="R231" t="str">
            <v>11</v>
          </cell>
          <cell r="S231" t="str">
            <v>8h00 sáng thứ sáu ngày 06/3/2026</v>
          </cell>
        </row>
        <row r="232">
          <cell r="B232" t="str">
            <v>K224040618</v>
          </cell>
          <cell r="C232" t="str">
            <v>Phạm Lê Thảo Nhi</v>
          </cell>
          <cell r="D232" t="str">
            <v>K22404CA</v>
          </cell>
          <cell r="E232" t="str">
            <v>X</v>
          </cell>
          <cell r="F232" t="str">
            <v>X</v>
          </cell>
          <cell r="H232" t="str">
            <v>THE IMPACT OF RELATED-PARTY TRANSACTIONS ON CORPORATE BOND HOLDINGS AND BANK RISK: EVIDENCE FROM VIETNAMESE COMMERCIAL BANKS</v>
          </cell>
          <cell r="I232" t="str">
            <v>Tiếng Anh</v>
          </cell>
          <cell r="J232" t="str">
            <v>Tiếng Anh</v>
          </cell>
          <cell r="K232" t="str">
            <v>https://drive.google.com/open?id=1dAcp_qet9NlmZ1oSiy4Mb5aV3aQpLkL5</v>
          </cell>
          <cell r="L232" t="str">
            <v>TS Nguyễn Hoàng Anh</v>
          </cell>
          <cell r="N232" t="str">
            <v>PGS. TS Nguyễn Thị Ánh Như</v>
          </cell>
          <cell r="O232" t="str">
            <v>ThS Tô Thị Thanh Trúc</v>
          </cell>
          <cell r="P232" t="str">
            <v>ThS Nguyễn Thị Hai Hằng</v>
          </cell>
          <cell r="Q232" t="str">
            <v>ThS Tô Thị Thanh Trúc</v>
          </cell>
          <cell r="R232" t="str">
            <v>11</v>
          </cell>
          <cell r="S232" t="str">
            <v>8h00 sáng thứ sáu ngày 06/3/2026</v>
          </cell>
        </row>
        <row r="233">
          <cell r="B233" t="str">
            <v>K224040619</v>
          </cell>
          <cell r="C233" t="str">
            <v>Võ Hoàng Uyên Nhy</v>
          </cell>
          <cell r="D233" t="str">
            <v>K22404CA</v>
          </cell>
          <cell r="E233" t="str">
            <v>X</v>
          </cell>
          <cell r="F233" t="str">
            <v>X</v>
          </cell>
          <cell r="H233" t="str">
            <v>THE IMPACT OF AGENCY COST ON OVERINVESTMENT AND THE MODERATING ROLE OF FREE CASH FLOW: ENVIDENCE IN VIETNAM NON – FINANCIAL LISTED COMPANIES</v>
          </cell>
          <cell r="I233" t="str">
            <v>Tiếng Anh</v>
          </cell>
          <cell r="J233" t="str">
            <v>Tiếng Anh</v>
          </cell>
          <cell r="K233" t="str">
            <v>https://drive.google.com/open?id=1xc1S3NP0gsaIfShFPwo3to4w7dqrOOBh&amp;usp=drive_fs</v>
          </cell>
          <cell r="L233" t="str">
            <v>TS Nguyễn Hoàng Anh</v>
          </cell>
          <cell r="N233" t="str">
            <v>PGS. TS Nguyễn Thị Ánh Như</v>
          </cell>
          <cell r="O233" t="str">
            <v>ThS Tô Thị Thanh Trúc</v>
          </cell>
          <cell r="P233" t="str">
            <v>ThS Nguyễn Thị Hai Hằng</v>
          </cell>
          <cell r="Q233" t="str">
            <v>ThS Nguyễn Thị Hai Hằng</v>
          </cell>
          <cell r="R233" t="str">
            <v>11</v>
          </cell>
          <cell r="S233" t="str">
            <v>8h00 sáng thứ sáu ngày 06/3/2026</v>
          </cell>
        </row>
        <row r="234">
          <cell r="B234" t="str">
            <v>K224141721</v>
          </cell>
          <cell r="C234" t="str">
            <v>Nguyễn Thị Đức Hạnh</v>
          </cell>
          <cell r="D234" t="str">
            <v>K22414C</v>
          </cell>
          <cell r="F234" t="str">
            <v>X</v>
          </cell>
          <cell r="H234" t="str">
            <v/>
          </cell>
          <cell r="I234" t="str">
            <v>Tiếng Việt</v>
          </cell>
          <cell r="L234" t="str">
            <v>TS Nguyễn Thôn Dã</v>
          </cell>
        </row>
        <row r="235">
          <cell r="B235" t="str">
            <v>K224040615</v>
          </cell>
          <cell r="C235" t="str">
            <v>Lê Hoàng Nam</v>
          </cell>
          <cell r="D235" t="str">
            <v>K22404CA</v>
          </cell>
          <cell r="E235" t="str">
            <v>X</v>
          </cell>
          <cell r="F235" t="str">
            <v>X</v>
          </cell>
          <cell r="H235" t="str">
            <v xml:space="preserve">PHẢN ỨNG CỦA THỊ TRƯỜNG CHỨNG KHOÁN VIỆT NAM TRƯỚC CÁC GÓI HỖ TRỢ KINH TẾ  </v>
          </cell>
          <cell r="I235" t="str">
            <v>Tiếng Anh</v>
          </cell>
          <cell r="J235" t="str">
            <v>Tiếng Việt</v>
          </cell>
          <cell r="K235" t="str">
            <v>https://docs.google.com/document/d/1VnRNrn1l3S8ALUdL7ddjV3l72zcw98Se?rtpof=true&amp;usp=drive_fs</v>
          </cell>
          <cell r="L235" t="str">
            <v>TS Nguyễn Tiến Trung</v>
          </cell>
          <cell r="N235" t="str">
            <v>PGS. TS Nguyễn Thị Ánh Như</v>
          </cell>
          <cell r="O235" t="str">
            <v>ThS Tô Thị Thanh Trúc</v>
          </cell>
          <cell r="P235" t="str">
            <v>ThS Nguyễn Thị Hai Hằng</v>
          </cell>
          <cell r="Q235" t="str">
            <v>PGS. TS Nguyễn Thị Ánh Như</v>
          </cell>
          <cell r="R235" t="str">
            <v>11</v>
          </cell>
          <cell r="S235" t="str">
            <v>8h00 sáng thứ sáu ngày 06/3/2026</v>
          </cell>
        </row>
        <row r="236">
          <cell r="B236" t="str">
            <v>K224040626</v>
          </cell>
          <cell r="C236" t="str">
            <v>Nguyễn Minh Trí</v>
          </cell>
          <cell r="D236" t="str">
            <v>K22404CA</v>
          </cell>
          <cell r="E236" t="str">
            <v>X</v>
          </cell>
          <cell r="F236" t="str">
            <v>X</v>
          </cell>
          <cell r="H236" t="str">
            <v>CASH-FLOW VOLATILITY AND FIRM LEVERAGE: MULTI-MEASURE EVIDENCE FROM VIETNAM’S LISTED NON-FINANCIAL FIRMS</v>
          </cell>
          <cell r="I236" t="str">
            <v>Tiếng Anh</v>
          </cell>
          <cell r="J236" t="str">
            <v>Tiếng Anh</v>
          </cell>
          <cell r="K236" t="str">
            <v>https://drive.google.com/open?id=1gj0XTcKScoi3VbTJQb61Kdfhp66i-Kbn</v>
          </cell>
          <cell r="L236" t="str">
            <v>TS Nguyễn Tiến Trung</v>
          </cell>
          <cell r="N236" t="str">
            <v>PGS. TS Nguyễn Thị Ánh Như</v>
          </cell>
          <cell r="O236" t="str">
            <v>ThS Tô Thị Thanh Trúc</v>
          </cell>
          <cell r="P236" t="str">
            <v>ThS Nguyễn Thị Hai Hằng</v>
          </cell>
          <cell r="Q236" t="str">
            <v>PGS. TS Nguyễn Thị Ánh Như</v>
          </cell>
          <cell r="R236" t="str">
            <v>11</v>
          </cell>
          <cell r="S236" t="str">
            <v>8h00 sáng thứ sáu ngày 06/3/2026</v>
          </cell>
        </row>
        <row r="237">
          <cell r="B237" t="str">
            <v>K224040627</v>
          </cell>
          <cell r="C237" t="str">
            <v>Nguyễn Thị Lan Uyên</v>
          </cell>
          <cell r="D237" t="str">
            <v>K22404CA</v>
          </cell>
          <cell r="E237" t="str">
            <v>X</v>
          </cell>
          <cell r="F237" t="str">
            <v>X</v>
          </cell>
          <cell r="H237" t="str">
            <v>THE IMPACT OF ESG INFORMATION DISCLOSURE ON THE LIQUIDITY RISK OF COMMERCIAL BANKS IN VIETNAM</v>
          </cell>
          <cell r="I237" t="str">
            <v>Tiếng Anh</v>
          </cell>
          <cell r="J237" t="str">
            <v>Tiếng Anh</v>
          </cell>
          <cell r="K237" t="str">
            <v>https://drive.google.com/open?id=1UpXYj3H39zDtCwq-P6wIyVFpU2fPcQo2</v>
          </cell>
          <cell r="L237" t="str">
            <v>TS Nguyễn Tiến Trung</v>
          </cell>
          <cell r="M237" t="str">
            <v>Có bài kỷ yếu (tiếng Việt) gần chủ đề</v>
          </cell>
          <cell r="N237" t="str">
            <v>PGS. TS Nguyễn Thị Ánh Như</v>
          </cell>
          <cell r="O237" t="str">
            <v>ThS Tô Thị Thanh Trúc</v>
          </cell>
          <cell r="P237" t="str">
            <v>ThS Nguyễn Thị Hai Hằng</v>
          </cell>
          <cell r="Q237" t="str">
            <v>ThS Tô Thị Thanh Trúc</v>
          </cell>
          <cell r="R237" t="str">
            <v>11</v>
          </cell>
          <cell r="S237" t="str">
            <v>8h00 sáng thứ sáu ngày 06/3/2026</v>
          </cell>
        </row>
        <row r="238">
          <cell r="B238" t="str">
            <v>K224040603</v>
          </cell>
          <cell r="C238" t="str">
            <v>Đoàn Ngọc Quỳnh Giao</v>
          </cell>
          <cell r="D238" t="str">
            <v>K22404CA</v>
          </cell>
          <cell r="E238" t="str">
            <v>X</v>
          </cell>
          <cell r="F238" t="str">
            <v>X</v>
          </cell>
          <cell r="H238" t="str">
            <v>THE IMPACT OF ESG DISCLOSURE ON THE COST OF DEBT- THE MODERATING EFFECT OF AGENCY COSTS: EVIDENCE FROM VNX50 FIRMS IN VIETNAM</v>
          </cell>
          <cell r="I238" t="str">
            <v>Tiếng Anh</v>
          </cell>
          <cell r="J238" t="str">
            <v>Tiếng Anh</v>
          </cell>
          <cell r="K238" t="str">
            <v>https://drive.google.com/open?id=1FtRwF6YaiwM030qsAMkx-ETnQDK9dG9o</v>
          </cell>
          <cell r="L238" t="str">
            <v>TS Nguyễn Trung Hiếu</v>
          </cell>
          <cell r="N238" t="str">
            <v>PGS. TS Nguyễn Thị Ánh Như</v>
          </cell>
          <cell r="O238" t="str">
            <v>ThS Tô Thị Thanh Trúc</v>
          </cell>
          <cell r="P238" t="str">
            <v>ThS Nguyễn Thị Hai Hằng</v>
          </cell>
          <cell r="Q238" t="str">
            <v>ThS Nguyễn Thị Hai Hằng</v>
          </cell>
          <cell r="R238" t="str">
            <v>11</v>
          </cell>
          <cell r="S238" t="str">
            <v>8h00 sáng thứ sáu ngày 06/3/2026</v>
          </cell>
        </row>
        <row r="239">
          <cell r="B239" t="str">
            <v>K224040607</v>
          </cell>
          <cell r="C239" t="str">
            <v>Nguyễn Đắc Tùng Lâm</v>
          </cell>
          <cell r="D239" t="str">
            <v>K22404CA</v>
          </cell>
          <cell r="E239" t="str">
            <v>X</v>
          </cell>
          <cell r="F239" t="str">
            <v>X</v>
          </cell>
          <cell r="H239" t="str">
            <v xml:space="preserve"> FACTORS AFFECTING THE STOCK PRICES OF JOINT STOCKS COMPANIES LISTED ON THE VIET NAM STOCK EXCHANGE DURING THE PERIOD 2020-2025</v>
          </cell>
          <cell r="I239" t="str">
            <v>Tiếng Anh</v>
          </cell>
          <cell r="J239" t="str">
            <v>Tiếng Anh</v>
          </cell>
          <cell r="K239" t="str">
            <v>https://drive.google.com/open?id=1HBJOu4rsEiR22lM6WP1M8Wmzc1JOz5lp</v>
          </cell>
          <cell r="L239" t="str">
            <v>TS Nguyễn Trung Hiếu</v>
          </cell>
          <cell r="N239" t="str">
            <v>PGS. TS Nguyễn Thị Ánh Như</v>
          </cell>
          <cell r="O239" t="str">
            <v>ThS Tô Thị Thanh Trúc</v>
          </cell>
          <cell r="P239" t="str">
            <v>ThS Nguyễn Thị Hai Hằng</v>
          </cell>
          <cell r="Q239" t="str">
            <v>PGS. TS Nguyễn Thị Ánh Như</v>
          </cell>
          <cell r="R239" t="str">
            <v>11</v>
          </cell>
          <cell r="S239" t="str">
            <v>8h00 sáng thứ sáu ngày 06/3/2026</v>
          </cell>
        </row>
        <row r="240">
          <cell r="B240" t="str">
            <v>K224040628</v>
          </cell>
          <cell r="C240" t="str">
            <v>Nguyễn Ngọc Hải Vân</v>
          </cell>
          <cell r="D240" t="str">
            <v>K22404CA</v>
          </cell>
          <cell r="E240" t="str">
            <v>X</v>
          </cell>
          <cell r="F240" t="str">
            <v>X</v>
          </cell>
          <cell r="H240" t="str">
            <v>THE IMPACT OF FUNDING AND INCOME DIVERSIFICATION ON NON-PERFORMING LOANS: AN EMPIRICAL STUDY FROM VIETNAMESE COMMERCIAL BANKS</v>
          </cell>
          <cell r="I240" t="str">
            <v>Tiếng Anh</v>
          </cell>
          <cell r="J240" t="str">
            <v>Tiếng Anh</v>
          </cell>
          <cell r="K240" t="str">
            <v>https://drive.google.com/open?id=19Z1qKr8byoYCqKrUUuMaaD8yuC6Gudgo</v>
          </cell>
          <cell r="L240" t="str">
            <v>TS Nguyễn Trung Hiếu</v>
          </cell>
          <cell r="M240" t="str">
            <v>Có bài kỷ yếu (tiếng Việt) gần chủ đề</v>
          </cell>
          <cell r="N240" t="str">
            <v>PGS. TS Nguyễn Thị Ánh Như</v>
          </cell>
          <cell r="O240" t="str">
            <v>ThS Tô Thị Thanh Trúc</v>
          </cell>
          <cell r="P240" t="str">
            <v>ThS Nguyễn Thị Hai Hằng</v>
          </cell>
          <cell r="Q240" t="str">
            <v>ThS Nguyễn Thị Hai Hằng</v>
          </cell>
          <cell r="R240" t="str">
            <v>11</v>
          </cell>
          <cell r="S240" t="str">
            <v>8h00 sáng thứ sáu ngày 06/3/2026</v>
          </cell>
        </row>
        <row r="241">
          <cell r="B241" t="str">
            <v>K224040597</v>
          </cell>
          <cell r="C241" t="str">
            <v>Trần Quốc Văn</v>
          </cell>
          <cell r="D241" t="str">
            <v>K22404C</v>
          </cell>
          <cell r="F241" t="str">
            <v>X</v>
          </cell>
          <cell r="G241" t="str">
            <v>X</v>
          </cell>
          <cell r="H241" t="str">
            <v/>
          </cell>
          <cell r="I241" t="str">
            <v>Tiếng Việt</v>
          </cell>
          <cell r="L241" t="str">
            <v>TS Nguyễn Tiến Trung</v>
          </cell>
        </row>
        <row r="242">
          <cell r="B242" t="str">
            <v>K224040601</v>
          </cell>
          <cell r="C242" t="str">
            <v>Phan Đức Dân</v>
          </cell>
          <cell r="D242" t="str">
            <v>K22404CA</v>
          </cell>
          <cell r="E242" t="str">
            <v>X</v>
          </cell>
          <cell r="F242" t="str">
            <v>X</v>
          </cell>
          <cell r="H242" t="str">
            <v>THE MODERATING ROLE OF FINANCIAL STABILITY IN THE RELATIONSHIP BETWEEN PROFITABILITY AND FIRM VALUE: EVIDENCE FROM VIETNAMESE REAL ESTATE FIRMS</v>
          </cell>
          <cell r="I242" t="str">
            <v>Tiếng Anh</v>
          </cell>
          <cell r="J242" t="str">
            <v>Tiếng Anh</v>
          </cell>
          <cell r="K242" t="str">
            <v>https://drive.google.com/open?id=1G-5ZRtKZlGLeemvGCiEAebM-ps_L6waY</v>
          </cell>
          <cell r="L242" t="str">
            <v>TS Võ Thị Ngọc Trinh</v>
          </cell>
          <cell r="N242" t="str">
            <v>PGS. TS Nguyễn Thị Ánh Như</v>
          </cell>
          <cell r="O242" t="str">
            <v>ThS Tô Thị Thanh Trúc</v>
          </cell>
          <cell r="P242" t="str">
            <v>ThS Nguyễn Thị Hai Hằng</v>
          </cell>
          <cell r="Q242" t="str">
            <v>ThS Tô Thị Thanh Trúc</v>
          </cell>
          <cell r="R242" t="str">
            <v>11</v>
          </cell>
          <cell r="S242" t="str">
            <v>8h00 sáng thứ sáu ngày 06/3/2026</v>
          </cell>
        </row>
        <row r="243">
          <cell r="B243" t="str">
            <v>K224040608</v>
          </cell>
          <cell r="C243" t="str">
            <v>Âu Dương Ngọc Linh</v>
          </cell>
          <cell r="D243" t="str">
            <v>K22404CA</v>
          </cell>
          <cell r="E243" t="str">
            <v>X</v>
          </cell>
          <cell r="F243" t="str">
            <v>X</v>
          </cell>
          <cell r="H243" t="str">
            <v>THE IMPACT OF THE AI DISCLOSURE INDEX ON THE MARKET VALUE OF VIETNAM LISTED COMPANIES</v>
          </cell>
          <cell r="I243" t="str">
            <v>Tiếng Anh</v>
          </cell>
          <cell r="J243" t="str">
            <v>Tiếng Anh</v>
          </cell>
          <cell r="K243" t="str">
            <v>https://drive.google.com/open?id=1m9l7Y5aDeTrqHvocJz8oOOPWFDYhMIO5</v>
          </cell>
          <cell r="L243" t="str">
            <v>TS Võ Thị Ngọc Trinh</v>
          </cell>
          <cell r="N243" t="str">
            <v>PGS. TS Nguyễn Thị Ánh Như</v>
          </cell>
          <cell r="O243" t="str">
            <v>ThS Tô Thị Thanh Trúc</v>
          </cell>
          <cell r="P243" t="str">
            <v>ThS Nguyễn Thị Hai Hằng</v>
          </cell>
          <cell r="Q243" t="str">
            <v>ThS Tô Thị Thanh Trúc</v>
          </cell>
          <cell r="R243" t="str">
            <v>11</v>
          </cell>
          <cell r="S243" t="str">
            <v>8h00 sáng thứ sáu ngày 06/3/2026</v>
          </cell>
        </row>
        <row r="244">
          <cell r="B244" t="str">
            <v>K224040602</v>
          </cell>
          <cell r="C244" t="str">
            <v>Trần Nhật Duật</v>
          </cell>
          <cell r="D244" t="str">
            <v>K22404CA</v>
          </cell>
          <cell r="E244" t="str">
            <v>X</v>
          </cell>
          <cell r="F244" t="str">
            <v>X</v>
          </cell>
          <cell r="H244" t="str">
            <v>METHODS OF VALUING LISTED ENTERPRISES: THE CASE OF BINH MINH PLASTIC JOINT STOCK COMPANY</v>
          </cell>
          <cell r="I244" t="str">
            <v>Tiếng Anh</v>
          </cell>
          <cell r="J244" t="str">
            <v>Tiếng Anh</v>
          </cell>
          <cell r="K244" t="str">
            <v>https://drive.google.com/open?id=1GHkdn3sqgcwT1dyaKtr2HHdGYl5sGDfg</v>
          </cell>
          <cell r="L244" t="str">
            <v>PGS. TS Nguyễn Thị Ánh Như</v>
          </cell>
          <cell r="N244" t="str">
            <v>TS Nguyễn Hoàng Anh</v>
          </cell>
          <cell r="O244" t="str">
            <v>TS Nguyễn Tiến Trung</v>
          </cell>
          <cell r="P244" t="str">
            <v>ThS Nguyễn Thị Diễm Hiền</v>
          </cell>
          <cell r="Q244" t="str">
            <v>TS Nguyễn Tiến Trung</v>
          </cell>
          <cell r="R244" t="str">
            <v>12</v>
          </cell>
          <cell r="S244" t="str">
            <v>8h00 sáng thứ sáu ngày 06/3/2026</v>
          </cell>
        </row>
        <row r="245">
          <cell r="B245" t="str">
            <v>K224040614</v>
          </cell>
          <cell r="C245" t="str">
            <v>Võ Thị Hoàng My</v>
          </cell>
          <cell r="D245" t="str">
            <v>K22404CA</v>
          </cell>
          <cell r="E245" t="str">
            <v>X</v>
          </cell>
          <cell r="F245" t="str">
            <v>X</v>
          </cell>
          <cell r="H245" t="str">
            <v>ANALYSIS OF CREDIT RISK MANAGEMENT AT JOINT STOCK COMMERCIAL BANK FOR FOREIGN TRADE OF VIETNAM (VIETCOMBANK)</v>
          </cell>
          <cell r="I245" t="str">
            <v>Tiếng Anh</v>
          </cell>
          <cell r="J245" t="str">
            <v>Tiếng Anh</v>
          </cell>
          <cell r="K245" t="str">
            <v>https://drive.google.com/open?id=1EEugIlYOg-f6zlbA_qI6CGXYr0wxG79G</v>
          </cell>
          <cell r="L245" t="str">
            <v>PGS. TS Nguyễn Thị Ánh Như</v>
          </cell>
          <cell r="N245" t="str">
            <v>TS Nguyễn Hoàng Anh</v>
          </cell>
          <cell r="O245" t="str">
            <v>TS Nguyễn Tiến Trung</v>
          </cell>
          <cell r="P245" t="str">
            <v>ThS Nguyễn Thị Diễm Hiền</v>
          </cell>
          <cell r="Q245" t="str">
            <v>TS Nguyễn Hoàng Anh</v>
          </cell>
          <cell r="R245" t="str">
            <v>12</v>
          </cell>
          <cell r="S245" t="str">
            <v>8h00 sáng thứ sáu ngày 06/3/2026</v>
          </cell>
        </row>
        <row r="246">
          <cell r="B246" t="str">
            <v>K224040617</v>
          </cell>
          <cell r="C246" t="str">
            <v>Nguyễn Thị Yến Nhi</v>
          </cell>
          <cell r="D246" t="str">
            <v>K22404CA</v>
          </cell>
          <cell r="E246" t="str">
            <v>X</v>
          </cell>
          <cell r="F246" t="str">
            <v>X</v>
          </cell>
          <cell r="H246" t="str">
            <v>FINANCIAL DETERMINANTS OF CORPORATE CASH HOLDINGS: EVIDENCE FROM NON-FINANCIAL LISTED COMPANIES IN VIETNAM</v>
          </cell>
          <cell r="I246" t="str">
            <v>Tiếng Anh</v>
          </cell>
          <cell r="J246" t="str">
            <v>Tiếng Anh</v>
          </cell>
          <cell r="K246" t="str">
            <v>https://drive.google.com/open?id=1Rwo5UibdDKr23FYYs5uFNi0kccDucLfJ</v>
          </cell>
          <cell r="L246" t="str">
            <v>PGS. TS Nguyễn Thị Ánh Như</v>
          </cell>
          <cell r="N246" t="str">
            <v>TS Nguyễn Hoàng Anh</v>
          </cell>
          <cell r="O246" t="str">
            <v>TS Nguyễn Tiến Trung</v>
          </cell>
          <cell r="P246" t="str">
            <v>ThS Nguyễn Thị Diễm Hiền</v>
          </cell>
          <cell r="Q246" t="str">
            <v>ThS Nguyễn Thị Diễm Hiền</v>
          </cell>
          <cell r="R246" t="str">
            <v>12</v>
          </cell>
          <cell r="S246" t="str">
            <v>8h00 sáng thứ sáu ngày 06/3/2026</v>
          </cell>
        </row>
        <row r="247">
          <cell r="B247" t="str">
            <v>K224040600</v>
          </cell>
          <cell r="C247" t="str">
            <v>Nguyễn Phúc Bảo Châu</v>
          </cell>
          <cell r="D247" t="str">
            <v>K22404CA</v>
          </cell>
          <cell r="E247" t="str">
            <v>X</v>
          </cell>
          <cell r="F247" t="str">
            <v>X</v>
          </cell>
          <cell r="H247" t="str">
            <v>THE IMPACT OF BOARD GENDER DIVERSITY ON THE FIRM VALUE OF LISTED FIRMS IN VIETNAM</v>
          </cell>
          <cell r="I247" t="str">
            <v>Tiếng Anh</v>
          </cell>
          <cell r="J247" t="str">
            <v>Tiếng Anh</v>
          </cell>
          <cell r="K247" t="str">
            <v>https://drive.google.com/open?id=1Wv57NATsyfsfOJ3Wqu4_xw5aLiFUfFqQ</v>
          </cell>
          <cell r="L247" t="str">
            <v>ThS Hồ Thị Hồng Minh</v>
          </cell>
          <cell r="N247" t="str">
            <v>TS Nguyễn Hoàng Anh</v>
          </cell>
          <cell r="O247" t="str">
            <v>TS Nguyễn Tiến Trung</v>
          </cell>
          <cell r="P247" t="str">
            <v>ThS Nguyễn Thị Diễm Hiền</v>
          </cell>
          <cell r="Q247" t="str">
            <v>TS Nguyễn Hoàng Anh</v>
          </cell>
          <cell r="R247" t="str">
            <v>12</v>
          </cell>
          <cell r="S247" t="str">
            <v>8h00 sáng thứ sáu ngày 06/3/2026</v>
          </cell>
        </row>
        <row r="248">
          <cell r="B248" t="str">
            <v>K224040620</v>
          </cell>
          <cell r="C248" t="str">
            <v>Đặng Việt Quang</v>
          </cell>
          <cell r="D248" t="str">
            <v>K22404CA</v>
          </cell>
          <cell r="E248" t="str">
            <v>X</v>
          </cell>
          <cell r="F248" t="str">
            <v>X</v>
          </cell>
          <cell r="H248" t="str">
            <v>INVESTMENT EFFICIENCY AND FIRM-LEVEL DETERMINANTS OF  INVESTMENT DEVIATION: EVIDENCE FROM VIETNAMESE NON-FINANCIAL FIRMS</v>
          </cell>
          <cell r="I248" t="str">
            <v>Tiếng Anh</v>
          </cell>
          <cell r="J248" t="str">
            <v>Tiếng Anh</v>
          </cell>
          <cell r="K248" t="str">
            <v>https://drive.google.com/open?id=1MOnapvIgYdr1i72IMc5zK9k5TVMNhl_D</v>
          </cell>
          <cell r="L248" t="str">
            <v>ThS Hồ Thị Hồng Minh</v>
          </cell>
          <cell r="N248" t="str">
            <v>TS Nguyễn Hoàng Anh</v>
          </cell>
          <cell r="O248" t="str">
            <v>TS Nguyễn Tiến Trung</v>
          </cell>
          <cell r="P248" t="str">
            <v>ThS Nguyễn Thị Diễm Hiền</v>
          </cell>
          <cell r="Q248" t="str">
            <v>TS Nguyễn Hoàng Anh</v>
          </cell>
          <cell r="R248" t="str">
            <v>12</v>
          </cell>
          <cell r="S248" t="str">
            <v>8h00 sáng thứ sáu ngày 06/3/2026</v>
          </cell>
        </row>
        <row r="249">
          <cell r="B249" t="str">
            <v>K204151943</v>
          </cell>
          <cell r="C249" t="str">
            <v>Lê Anh Đức</v>
          </cell>
          <cell r="D249" t="str">
            <v>K20404C</v>
          </cell>
          <cell r="F249" t="str">
            <v>X</v>
          </cell>
          <cell r="H249" t="str">
            <v/>
          </cell>
          <cell r="I249" t="str">
            <v>Tiếng Việt</v>
          </cell>
          <cell r="L249" t="str">
            <v xml:space="preserve">TS Nguyễn Trung Hiếu </v>
          </cell>
        </row>
        <row r="250">
          <cell r="B250" t="str">
            <v>K224040622</v>
          </cell>
          <cell r="C250" t="str">
            <v>Lê Hoài Trúc Quỳnh</v>
          </cell>
          <cell r="D250" t="str">
            <v>K22404CA</v>
          </cell>
          <cell r="E250" t="str">
            <v>X</v>
          </cell>
          <cell r="F250" t="str">
            <v>X</v>
          </cell>
          <cell r="H250" t="str">
            <v xml:space="preserve">FACTORS IMPACT ON FINANCIAL SUSTAINABILITY IN  VIETNAMESE JOINT STOCK COMMERCIAL BANKS  DURING THE PERIOD: A QUANTILE-BASED APPROACH </v>
          </cell>
          <cell r="I250" t="str">
            <v>Tiếng Anh</v>
          </cell>
          <cell r="J250" t="str">
            <v>Tiếng Anh</v>
          </cell>
          <cell r="K250" t="str">
            <v>https://drive.google.com/open?id=1rE1KUM2gCZLbUrOD1CaHIhcJ24SpDQwL</v>
          </cell>
          <cell r="L250" t="str">
            <v>ThS Phạm Chí Khoa</v>
          </cell>
          <cell r="N250" t="str">
            <v>TS Nguyễn Hoàng Anh</v>
          </cell>
          <cell r="O250" t="str">
            <v>TS Nguyễn Tiến Trung</v>
          </cell>
          <cell r="P250" t="str">
            <v>ThS Nguyễn Thị Diễm Hiền</v>
          </cell>
          <cell r="Q250" t="str">
            <v>ThS Nguyễn Thị Diễm Hiền</v>
          </cell>
          <cell r="R250" t="str">
            <v>12</v>
          </cell>
          <cell r="S250" t="str">
            <v>8h00 sáng thứ sáu ngày 06/3/2026</v>
          </cell>
        </row>
        <row r="251">
          <cell r="B251" t="str">
            <v>K224040624</v>
          </cell>
          <cell r="C251" t="str">
            <v>Ngô Quang Tiến</v>
          </cell>
          <cell r="D251" t="str">
            <v>K22404CA</v>
          </cell>
          <cell r="E251" t="str">
            <v>X</v>
          </cell>
          <cell r="F251" t="str">
            <v>X</v>
          </cell>
          <cell r="H251" t="str">
            <v xml:space="preserve">ANALYSIS OF FINANCIAL MANAGEMENT EFFICIENCY OF HO CHI MINH CITY DEVELOPMENT JOINT STOCK COMMECIAL BANK (HDBANK) USING THE CAMELS FRAMEWORK DURING THE PERIOD 2019 – 2023 </v>
          </cell>
          <cell r="I251" t="str">
            <v>Tiếng Anh</v>
          </cell>
          <cell r="J251" t="str">
            <v>Tiếng Anh</v>
          </cell>
          <cell r="K251" t="str">
            <v>https://drive.google.com/open?id=1IZUczFmSsSUx3cFTANtXrp3D_qMwm_9P</v>
          </cell>
          <cell r="L251" t="str">
            <v>ThS Phạm Chí Khoa</v>
          </cell>
          <cell r="N251" t="str">
            <v>TS Nguyễn Hoàng Anh</v>
          </cell>
          <cell r="O251" t="str">
            <v>TS Nguyễn Tiến Trung</v>
          </cell>
          <cell r="P251" t="str">
            <v>ThS Nguyễn Thị Diễm Hiền</v>
          </cell>
          <cell r="Q251" t="str">
            <v>TS Nguyễn Tiến Trung</v>
          </cell>
          <cell r="R251" t="str">
            <v>12</v>
          </cell>
          <cell r="S251" t="str">
            <v>8h00 sáng thứ sáu ngày 06/3/2026</v>
          </cell>
        </row>
        <row r="252">
          <cell r="B252" t="str">
            <v>K224040625</v>
          </cell>
          <cell r="C252" t="str">
            <v>Phạm Thu Trang</v>
          </cell>
          <cell r="D252" t="str">
            <v>K22404CA</v>
          </cell>
          <cell r="E252" t="str">
            <v>X</v>
          </cell>
          <cell r="F252" t="str">
            <v>X</v>
          </cell>
          <cell r="H252" t="str">
            <v>THE IMPACT OF FINANCIAL LEVERAGE ON FIRM VALUE OF HOSE-LISTED MANUFACTURING COMPANIES (2016–2024)</v>
          </cell>
          <cell r="I252" t="str">
            <v>Tiếng Anh</v>
          </cell>
          <cell r="J252" t="str">
            <v>Tiếng Anh</v>
          </cell>
          <cell r="K252" t="str">
            <v>https://drive.google.com/open?id=1Vz5BNY90QzJDn0TAS3F6VG7YZJ-njYP4</v>
          </cell>
          <cell r="L252" t="str">
            <v>ThS Phạm Chí Khoa</v>
          </cell>
          <cell r="N252" t="str">
            <v>TS Nguyễn Hoàng Anh</v>
          </cell>
          <cell r="O252" t="str">
            <v>TS Nguyễn Tiến Trung</v>
          </cell>
          <cell r="P252" t="str">
            <v>ThS Nguyễn Thị Diễm Hiền</v>
          </cell>
          <cell r="Q252" t="str">
            <v>ThS Nguyễn Thị Diễm Hiền</v>
          </cell>
          <cell r="R252" t="str">
            <v>12</v>
          </cell>
          <cell r="S252" t="str">
            <v>8h00 sáng thứ sáu ngày 06/3/2026</v>
          </cell>
        </row>
        <row r="253">
          <cell r="B253" t="str">
            <v>K224040613</v>
          </cell>
          <cell r="C253" t="str">
            <v>Lâm Huỳnh Ái My</v>
          </cell>
          <cell r="D253" t="str">
            <v>K22404CA</v>
          </cell>
          <cell r="E253" t="str">
            <v>X</v>
          </cell>
          <cell r="F253" t="str">
            <v>X</v>
          </cell>
          <cell r="H253" t="str">
            <v>FACTORS AFFECTING THE FINANCIAL PERFORMANCE OF COMMERCIAL BANKS IN VIETNAM</v>
          </cell>
          <cell r="I253" t="str">
            <v>Tiếng Anh</v>
          </cell>
          <cell r="J253" t="str">
            <v>Tiếng Anh</v>
          </cell>
          <cell r="K253" t="str">
            <v>https://drive.google.com/open?id=1mbOmRU9UhnMj1e3Ac0UBN7MiyAPrul9H</v>
          </cell>
          <cell r="L253" t="str">
            <v>TS Nguyễn Thanh Liêm</v>
          </cell>
          <cell r="N253" t="str">
            <v>TS Nguyễn Hoàng Anh</v>
          </cell>
          <cell r="O253" t="str">
            <v>TS Nguyễn Tiến Trung</v>
          </cell>
          <cell r="P253" t="str">
            <v>ThS Nguyễn Thị Diễm Hiền</v>
          </cell>
          <cell r="Q253" t="str">
            <v>ThS Nguyễn Thị Diễm Hiền</v>
          </cell>
          <cell r="R253" t="str">
            <v>12</v>
          </cell>
          <cell r="S253" t="str">
            <v>8h00 sáng thứ sáu ngày 06/3/2026</v>
          </cell>
        </row>
        <row r="254">
          <cell r="B254" t="str">
            <v>K224040616</v>
          </cell>
          <cell r="C254" t="str">
            <v>Nguyễn Huỳnh Bách Ngọc</v>
          </cell>
          <cell r="D254" t="str">
            <v>K22404CA</v>
          </cell>
          <cell r="E254" t="str">
            <v>X</v>
          </cell>
          <cell r="F254" t="str">
            <v>X</v>
          </cell>
          <cell r="H254" t="str">
            <v>THE IMPACT OF ESG AND INSTITUTIONAL QUALITY ON BANK PERFORMANCE AND STABILITY: PANEL EVIDENCE FROM ASEAN COUNTRIES</v>
          </cell>
          <cell r="I254" t="str">
            <v>Tiếng Anh</v>
          </cell>
          <cell r="J254" t="str">
            <v>Tiếng Anh</v>
          </cell>
          <cell r="K254" t="str">
            <v>https://drive.google.com/open?id=1HDFZ27W2ti4R7JiNZX60LbPV6QPoNJXW</v>
          </cell>
          <cell r="L254" t="str">
            <v>TS Nguyễn Thanh Liêm</v>
          </cell>
          <cell r="N254" t="str">
            <v>TS Nguyễn Hoàng Anh</v>
          </cell>
          <cell r="O254" t="str">
            <v>TS Nguyễn Tiến Trung</v>
          </cell>
          <cell r="P254" t="str">
            <v>ThS Nguyễn Thị Diễm Hiền</v>
          </cell>
          <cell r="Q254" t="str">
            <v>TS Nguyễn Tiến Trung</v>
          </cell>
          <cell r="R254" t="str">
            <v>12</v>
          </cell>
          <cell r="S254" t="str">
            <v>8h00 sáng thứ sáu ngày 06/3/2026</v>
          </cell>
        </row>
        <row r="255">
          <cell r="B255" t="str">
            <v>K224040621</v>
          </cell>
          <cell r="C255" t="str">
            <v>Phan Trọng Quí</v>
          </cell>
          <cell r="D255" t="str">
            <v>K22404CA</v>
          </cell>
          <cell r="E255" t="str">
            <v>X</v>
          </cell>
          <cell r="F255" t="str">
            <v>X</v>
          </cell>
          <cell r="H255" t="str">
            <v>THE IMPACT OF BANK GUARANTEE ACTIVITIES ON RISK AND PERFORMANCE OF VIETNAMESE COMMERCIAL BANKS</v>
          </cell>
          <cell r="I255" t="str">
            <v>Tiếng Việt</v>
          </cell>
          <cell r="J255" t="str">
            <v>Tiếng Anh</v>
          </cell>
          <cell r="K255" t="str">
            <v>https://drive.google.com/open?id=1zV0AxzFWbckwNf0kiz2DTMLGHOlco-wW</v>
          </cell>
          <cell r="L255" t="str">
            <v>TS Nguyễn Thanh Liêm</v>
          </cell>
          <cell r="N255" t="str">
            <v>TS Nguyễn Hoàng Anh</v>
          </cell>
          <cell r="O255" t="str">
            <v>TS Nguyễn Tiến Trung</v>
          </cell>
          <cell r="P255" t="str">
            <v>ThS Nguyễn Thị Diễm Hiền</v>
          </cell>
          <cell r="Q255" t="str">
            <v>TS Nguyễn Tiến Trung</v>
          </cell>
          <cell r="R255" t="str">
            <v>12</v>
          </cell>
          <cell r="S255" t="str">
            <v>8h00 sáng thứ sáu ngày 06/3/2026</v>
          </cell>
        </row>
        <row r="256">
          <cell r="B256" t="str">
            <v>K224040623</v>
          </cell>
          <cell r="C256" t="str">
            <v>Huỳnh Thị Thanh Thảo</v>
          </cell>
          <cell r="D256" t="str">
            <v>K22404CA</v>
          </cell>
          <cell r="E256" t="str">
            <v>X</v>
          </cell>
          <cell r="F256" t="str">
            <v>X</v>
          </cell>
          <cell r="H256" t="str">
            <v>ECONOMIC POLICY UNCERTAINTY AND CORPORATE CASH HOLDINGS: EVIDENCE FROM VIETNAMESE NON-FINANCIAL LISTED FIRM</v>
          </cell>
          <cell r="I256" t="str">
            <v>Tiếng Anh</v>
          </cell>
          <cell r="J256" t="str">
            <v>Tiếng Anh</v>
          </cell>
          <cell r="K256" t="str">
            <v>https://drive.google.com/open?id=1GCzdV9VoSgQuVtz80IXTmJgiOSezGoF0</v>
          </cell>
          <cell r="L256" t="str">
            <v>TS Nguyễn Thanh Liêm</v>
          </cell>
          <cell r="N256" t="str">
            <v>TS Nguyễn Hoàng Anh</v>
          </cell>
          <cell r="O256" t="str">
            <v>TS Nguyễn Tiến Trung</v>
          </cell>
          <cell r="P256" t="str">
            <v>ThS Nguyễn Thị Diễm Hiền</v>
          </cell>
          <cell r="Q256" t="str">
            <v>TS Nguyễn Hoàng Anh</v>
          </cell>
          <cell r="R256" t="str">
            <v>12</v>
          </cell>
          <cell r="S256" t="str">
            <v>8h00 sáng thứ sáu ngày 06/3/2026</v>
          </cell>
        </row>
      </sheetData>
      <sheetData sheetId="1"/>
      <sheetData sheetId="2"/>
      <sheetData sheetId="3"/>
      <sheetData sheetId="4"/>
      <sheetData sheetId="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1" Type="http://schemas.openxmlformats.org/officeDocument/2006/relationships/hyperlink" Target="https://drive.google.com/open?id=1dwtSoFMFtYCuFLdFEC0j-Z-2XlyuOnkZ" TargetMode="External"/><Relationship Id="rId170" Type="http://schemas.openxmlformats.org/officeDocument/2006/relationships/hyperlink" Target="https://drive.google.com/open?id=1CjJ7anYeNT3mVc21i3jpMEiPjSg48fbN" TargetMode="External"/><Relationship Id="rId268" Type="http://schemas.openxmlformats.org/officeDocument/2006/relationships/hyperlink" Target="https://drive.google.com/open?id=1JZvCg6OUjVE21_Xu6a6S3o5E_uHTdU-z" TargetMode="External"/><Relationship Id="rId475" Type="http://schemas.openxmlformats.org/officeDocument/2006/relationships/hyperlink" Target="https://drive.google.com/open?id=1XMnQDn5kp4i7xZPaNh-FSBIVvG80Vws9" TargetMode="External"/><Relationship Id="rId682" Type="http://schemas.openxmlformats.org/officeDocument/2006/relationships/hyperlink" Target="https://drive.google.com/open?id=1dubNeYfNPfWmXqEmM31y0gq_n6rNaw2b" TargetMode="External"/><Relationship Id="rId128" Type="http://schemas.openxmlformats.org/officeDocument/2006/relationships/hyperlink" Target="https://drive.google.com/open?id=175ah4OS1dH1vEEh3973W2Sod54tg2N_M" TargetMode="External"/><Relationship Id="rId335" Type="http://schemas.openxmlformats.org/officeDocument/2006/relationships/hyperlink" Target="https://drive.google.com/open?id=1Fdip9shDOGotAU6dYud5DuVjXhAE7J2V" TargetMode="External"/><Relationship Id="rId542" Type="http://schemas.openxmlformats.org/officeDocument/2006/relationships/hyperlink" Target="https://drive.google.com/open?id=1xltPUoWnClLWrv2nWIgqT_Aw1VBJxBLB" TargetMode="External"/><Relationship Id="rId987" Type="http://schemas.openxmlformats.org/officeDocument/2006/relationships/hyperlink" Target="https://drive.google.com/open?id=147hMUBO1QwgInt8wGO1akv-7fT6QoB1Y" TargetMode="External"/><Relationship Id="rId1172" Type="http://schemas.openxmlformats.org/officeDocument/2006/relationships/hyperlink" Target="https://drive.google.com/open?id=1VSEhyZeQBnWPxARPdvK6qcMVWTvv0QBA" TargetMode="External"/><Relationship Id="rId402" Type="http://schemas.openxmlformats.org/officeDocument/2006/relationships/hyperlink" Target="https://drive.google.com/open?id=1WQEE_M4lO3fVKOltWKhBSQkyUDSI5vtR" TargetMode="External"/><Relationship Id="rId847" Type="http://schemas.openxmlformats.org/officeDocument/2006/relationships/hyperlink" Target="https://drive.google.com/open?id=1U5K_-h0dv_c1uIKCkahKmWmzVeaTolni" TargetMode="External"/><Relationship Id="rId1032" Type="http://schemas.openxmlformats.org/officeDocument/2006/relationships/hyperlink" Target="https://drive.google.com/open?id=1ZcA59yLRLmajw-M78tXX9DdYgMYfGvSP" TargetMode="External"/><Relationship Id="rId707" Type="http://schemas.openxmlformats.org/officeDocument/2006/relationships/hyperlink" Target="https://drive.google.com/open?id=1eM4ZCxfCpPwE1MAtKlcGcnMAnYdCxBQG" TargetMode="External"/><Relationship Id="rId914" Type="http://schemas.openxmlformats.org/officeDocument/2006/relationships/hyperlink" Target="https://drive.google.com/open?id=1amLsz-wU0LMF5afG77Mk-lX-n_VEL1up" TargetMode="External"/><Relationship Id="rId43" Type="http://schemas.openxmlformats.org/officeDocument/2006/relationships/hyperlink" Target="https://drive.google.com/open?id=1BKye8uTXhr4UsHEWN-wvYnf0pM2-TFSf" TargetMode="External"/><Relationship Id="rId192" Type="http://schemas.openxmlformats.org/officeDocument/2006/relationships/hyperlink" Target="https://drive.google.com/open?id=1-bTl9M8dRlvV1k4yv6lh_LTa9zNnv27i" TargetMode="External"/><Relationship Id="rId497" Type="http://schemas.openxmlformats.org/officeDocument/2006/relationships/hyperlink" Target="https://drive.google.com/open?id=1WN9FMXcEch3XtjPFCAulZI0JXYDLivcs" TargetMode="External"/><Relationship Id="rId357" Type="http://schemas.openxmlformats.org/officeDocument/2006/relationships/hyperlink" Target="https://drive.google.com/open?id=1C9PPQymOOu9FxcPWy1KNGIASBoUJ1k_j" TargetMode="External"/><Relationship Id="rId1194" Type="http://schemas.openxmlformats.org/officeDocument/2006/relationships/hyperlink" Target="https://drive.google.com/open?id=1RoUxwKWBhS44BzODwBc3Xko8QxCfpViD" TargetMode="External"/><Relationship Id="rId217" Type="http://schemas.openxmlformats.org/officeDocument/2006/relationships/hyperlink" Target="https://drive.google.com/open?id=1mwX5Plfl0X6wz-Wcg82cz1cMNja9AuzS" TargetMode="External"/><Relationship Id="rId564" Type="http://schemas.openxmlformats.org/officeDocument/2006/relationships/hyperlink" Target="https://drive.google.com/open?id=1H9pMCTQ3YQ0IoaI6G8LvRqpqB4VajsU0" TargetMode="External"/><Relationship Id="rId771" Type="http://schemas.openxmlformats.org/officeDocument/2006/relationships/hyperlink" Target="https://drive.google.com/open?id=10n-qMVaBqZABx-ADbdBDzP4CZCv7AGGP" TargetMode="External"/><Relationship Id="rId869" Type="http://schemas.openxmlformats.org/officeDocument/2006/relationships/hyperlink" Target="https://drive.google.com/open?id=1Tr-aUWXmBWmU-4ofiuZrYxs1ifQ9hcIx" TargetMode="External"/><Relationship Id="rId424" Type="http://schemas.openxmlformats.org/officeDocument/2006/relationships/hyperlink" Target="https://drive.google.com/open?id=1QWyfMe9-2Yw_d5k0e_trAyCbBhF0St6W" TargetMode="External"/><Relationship Id="rId631" Type="http://schemas.openxmlformats.org/officeDocument/2006/relationships/hyperlink" Target="https://drive.google.com/open?id=12tui8HUKjdP38BQeDSoSsFkEE4NEeqGN" TargetMode="External"/><Relationship Id="rId729" Type="http://schemas.openxmlformats.org/officeDocument/2006/relationships/hyperlink" Target="https://drive.google.com/open?id=11gG4rxqqXc6_IQi_RWhcHkueciXv3vrP" TargetMode="External"/><Relationship Id="rId1054" Type="http://schemas.openxmlformats.org/officeDocument/2006/relationships/hyperlink" Target="https://drive.google.com/open?id=1hyTaSHWks8WJ21m7ROfMBdwZO0GO177B" TargetMode="External"/><Relationship Id="rId936" Type="http://schemas.openxmlformats.org/officeDocument/2006/relationships/hyperlink" Target="https://drive.google.com/open?id=1dHA-zRIVx5LjjjrBWuEFli1GJSrQkXpr" TargetMode="External"/><Relationship Id="rId1121" Type="http://schemas.openxmlformats.org/officeDocument/2006/relationships/hyperlink" Target="https://drive.google.com/open?id=1Kw_0iTyU-tqfnnz3KwmPZLlGeWXQrEhl" TargetMode="External"/><Relationship Id="rId1219" Type="http://schemas.openxmlformats.org/officeDocument/2006/relationships/hyperlink" Target="https://drive.google.com/open?id=1wkUqcJxU7fh_H_7de6-ZyHsfpo7Iqn_A" TargetMode="External"/><Relationship Id="rId65" Type="http://schemas.openxmlformats.org/officeDocument/2006/relationships/hyperlink" Target="https://drive.google.com/open?id=1Gp22yM9A4kYW7lvvsbq0uKGSHxtrx8mO" TargetMode="External"/><Relationship Id="rId281" Type="http://schemas.openxmlformats.org/officeDocument/2006/relationships/hyperlink" Target="https://drive.google.com/open?id=1EVQ6GiYHb-REG5kccE3b5LibSgsMS5sC" TargetMode="External"/><Relationship Id="rId141" Type="http://schemas.openxmlformats.org/officeDocument/2006/relationships/hyperlink" Target="https://drive.google.com/open?id=1t99aM9J-xZZlOrLhBpQueiuG88d7I2AF" TargetMode="External"/><Relationship Id="rId379" Type="http://schemas.openxmlformats.org/officeDocument/2006/relationships/hyperlink" Target="https://drive.google.com/open?id=1YMA-p1cH3cRS7DoNnLfM-gS3zWxQa93_" TargetMode="External"/><Relationship Id="rId586" Type="http://schemas.openxmlformats.org/officeDocument/2006/relationships/hyperlink" Target="https://drive.google.com/open?id=1JvUxqipLGRDzkgSeYKYh9142XUxwR3mz" TargetMode="External"/><Relationship Id="rId793" Type="http://schemas.openxmlformats.org/officeDocument/2006/relationships/hyperlink" Target="https://drive.google.com/open?id=1Zt3d2tQWoEksEjCQPYlZTMlOO3qvLmqo" TargetMode="External"/><Relationship Id="rId7" Type="http://schemas.openxmlformats.org/officeDocument/2006/relationships/hyperlink" Target="https://drive.google.com/open?id=1Sm0bJ34ecuYGoZsf4UMF1BS4cNCbCdWA" TargetMode="External"/><Relationship Id="rId239" Type="http://schemas.openxmlformats.org/officeDocument/2006/relationships/hyperlink" Target="https://drive.google.com/open?id=1j5j5rBxASdnVMP1_lg9RTsQoJ7pI3laB" TargetMode="External"/><Relationship Id="rId446" Type="http://schemas.openxmlformats.org/officeDocument/2006/relationships/hyperlink" Target="https://drive.google.com/open?id=16-xOibueHCR2LpvsiZthEqQ36ugyVZuM" TargetMode="External"/><Relationship Id="rId653" Type="http://schemas.openxmlformats.org/officeDocument/2006/relationships/hyperlink" Target="https://drive.google.com/open?id=1Pf2ZQ6KZKQrQt08dsb2iOJkgYf3_W2J3" TargetMode="External"/><Relationship Id="rId1076" Type="http://schemas.openxmlformats.org/officeDocument/2006/relationships/hyperlink" Target="https://drive.google.com/open?id=1cVuMCc37BKNJjgpJX8x8E4R6xS7ny8G9" TargetMode="External"/><Relationship Id="rId306" Type="http://schemas.openxmlformats.org/officeDocument/2006/relationships/hyperlink" Target="https://drive.google.com/open?id=1LpOXVN9Ye9IAHjOeK63Sr5JRlxOeyG4Y" TargetMode="External"/><Relationship Id="rId860" Type="http://schemas.openxmlformats.org/officeDocument/2006/relationships/hyperlink" Target="https://drive.google.com/open?id=19cSXqoAzuh-GmVZ9lbsd1KmaUprdwCrM" TargetMode="External"/><Relationship Id="rId958" Type="http://schemas.openxmlformats.org/officeDocument/2006/relationships/hyperlink" Target="https://drive.google.com/open?id=1ILzC1FUpzMZu68jgDb5upU6J6YpV1yJq" TargetMode="External"/><Relationship Id="rId1143" Type="http://schemas.openxmlformats.org/officeDocument/2006/relationships/hyperlink" Target="https://drive.google.com/open?id=1kmu_HKEj2SYTBF-Xm6WjfwKFKFd_tf0m" TargetMode="External"/><Relationship Id="rId87" Type="http://schemas.openxmlformats.org/officeDocument/2006/relationships/hyperlink" Target="https://drive.google.com/open?id=1XKRWrkUslPAzp84JS_H99K7ZuPaagZYZ" TargetMode="External"/><Relationship Id="rId513" Type="http://schemas.openxmlformats.org/officeDocument/2006/relationships/hyperlink" Target="https://drive.google.com/open?id=12WZbrcWvJeN7Dda77548IP-RmCj7OcXq" TargetMode="External"/><Relationship Id="rId720" Type="http://schemas.openxmlformats.org/officeDocument/2006/relationships/hyperlink" Target="https://drive.google.com/open?id=1m5FU35p93TuLe9zWALJhV_TU14_0oMhx" TargetMode="External"/><Relationship Id="rId818" Type="http://schemas.openxmlformats.org/officeDocument/2006/relationships/hyperlink" Target="https://drive.google.com/open?id=12UTeuqZBY_b0mbIapJTWrYL6dTNJlk8G" TargetMode="External"/><Relationship Id="rId1003" Type="http://schemas.openxmlformats.org/officeDocument/2006/relationships/hyperlink" Target="https://drive.google.com/open?id=1w8fv5e9QgxKb9zWs6s1MUGv67xKpz3Hq" TargetMode="External"/><Relationship Id="rId1210" Type="http://schemas.openxmlformats.org/officeDocument/2006/relationships/hyperlink" Target="https://drive.google.com/open?id=1Q_PR-p7xCscJ9GJ63-JwnYT7He7rcxDX" TargetMode="External"/><Relationship Id="rId14" Type="http://schemas.openxmlformats.org/officeDocument/2006/relationships/hyperlink" Target="https://drive.google.com/open?id=1IcVHLLKUxeuCDygohZCut6KkkQl__HN8" TargetMode="External"/><Relationship Id="rId163" Type="http://schemas.openxmlformats.org/officeDocument/2006/relationships/hyperlink" Target="https://drive.google.com/open?id=1l37yL0FdopI2WNkm53kmNvNvDB1YGrs1" TargetMode="External"/><Relationship Id="rId370" Type="http://schemas.openxmlformats.org/officeDocument/2006/relationships/hyperlink" Target="https://drive.google.com/open?id=1RvKcqo8SySvvbr_jmQ3b5GjRG1FCT5Ac" TargetMode="External"/><Relationship Id="rId230" Type="http://schemas.openxmlformats.org/officeDocument/2006/relationships/hyperlink" Target="https://drive.google.com/open?id=1KigMMAlwde4wGmBoNnh6pADQ0EL_IIhd" TargetMode="External"/><Relationship Id="rId468" Type="http://schemas.openxmlformats.org/officeDocument/2006/relationships/hyperlink" Target="https://drive.google.com/open?id=1pcDE6Ohuz8ad8CSwW9CBVypj8semxzKK" TargetMode="External"/><Relationship Id="rId675" Type="http://schemas.openxmlformats.org/officeDocument/2006/relationships/hyperlink" Target="https://drive.google.com/open?id=1giTfKwo2-75wiVlC4CsgP_841YRSZMRR" TargetMode="External"/><Relationship Id="rId882" Type="http://schemas.openxmlformats.org/officeDocument/2006/relationships/hyperlink" Target="https://drive.google.com/open?id=1-99E1ujeXHdm-Sx8zrjkOHC08PyLGE7y" TargetMode="External"/><Relationship Id="rId1098" Type="http://schemas.openxmlformats.org/officeDocument/2006/relationships/hyperlink" Target="https://drive.google.com/open?id=1ZlnihGONGo8rKaJ7pL7VzlHJGWYJ0Kcy" TargetMode="External"/><Relationship Id="rId328" Type="http://schemas.openxmlformats.org/officeDocument/2006/relationships/hyperlink" Target="https://drive.google.com/open?id=174qWnzIUwu3xhiZfD8biTJ16pOHlnNdQ" TargetMode="External"/><Relationship Id="rId535" Type="http://schemas.openxmlformats.org/officeDocument/2006/relationships/hyperlink" Target="https://drive.google.com/open?id=1lGSvce6eokP8gde93QUuRwi_6C08vTCI" TargetMode="External"/><Relationship Id="rId742" Type="http://schemas.openxmlformats.org/officeDocument/2006/relationships/hyperlink" Target="https://drive.google.com/open?id=1TOd57GzFlrYn8YVdtUrywKvmR7Q5dWtg" TargetMode="External"/><Relationship Id="rId1165" Type="http://schemas.openxmlformats.org/officeDocument/2006/relationships/hyperlink" Target="https://drive.google.com/open?id=1OD_vysfhOqUTpjA7yS-JhDZGy2DPbtRx" TargetMode="External"/><Relationship Id="rId602" Type="http://schemas.openxmlformats.org/officeDocument/2006/relationships/hyperlink" Target="https://drive.google.com/open?id=1C11FbRgWuRhvRLn0A-GJP71ivs78Nuln" TargetMode="External"/><Relationship Id="rId1025" Type="http://schemas.openxmlformats.org/officeDocument/2006/relationships/hyperlink" Target="https://drive.google.com/open?id=10qZ2lirt1Avr5FZ4Usmk8gv3DuPa_r0m" TargetMode="External"/><Relationship Id="rId1232" Type="http://schemas.openxmlformats.org/officeDocument/2006/relationships/hyperlink" Target="https://drive.google.com/open?id=1rHm4vkya5UHLNDrUtl0F2ssMhgryueuk" TargetMode="External"/><Relationship Id="rId907" Type="http://schemas.openxmlformats.org/officeDocument/2006/relationships/hyperlink" Target="https://drive.google.com/open?id=1Uqd_oQ4I7GQQ5zI5aB2sP5xGjDNsqRGw" TargetMode="External"/><Relationship Id="rId36" Type="http://schemas.openxmlformats.org/officeDocument/2006/relationships/hyperlink" Target="https://drive.google.com/open?id=1y-JsJvuead8YKe8H7TrJyu7Icte0-op2" TargetMode="External"/><Relationship Id="rId185" Type="http://schemas.openxmlformats.org/officeDocument/2006/relationships/hyperlink" Target="https://drive.google.com/open?id=1mH5hPf3lfKfPvnga5jCmoS_4dT6k5ywr" TargetMode="External"/><Relationship Id="rId392" Type="http://schemas.openxmlformats.org/officeDocument/2006/relationships/hyperlink" Target="https://drive.google.com/open?id=11b_GyBPkt4aVlZCigPrVOxSvf481_Qzi" TargetMode="External"/><Relationship Id="rId697" Type="http://schemas.openxmlformats.org/officeDocument/2006/relationships/hyperlink" Target="https://drive.google.com/open?id=1UHxrkB5Ato37VqPjBk_oZUlEKyEQUIh8" TargetMode="External"/><Relationship Id="rId252" Type="http://schemas.openxmlformats.org/officeDocument/2006/relationships/hyperlink" Target="https://drive.google.com/open?id=1RzQZxaa3bwA6xgfBKocS277ZGwgkneUL" TargetMode="External"/><Relationship Id="rId1187" Type="http://schemas.openxmlformats.org/officeDocument/2006/relationships/hyperlink" Target="https://drive.google.com/open?id=1Y1omWwEte0_-Bo5eVfaV1blqX1b6A2jt" TargetMode="External"/><Relationship Id="rId112" Type="http://schemas.openxmlformats.org/officeDocument/2006/relationships/hyperlink" Target="https://drive.google.com/open?id=1ZjEzNOc72Vi9y1xODpDLdB28Ms03oThT" TargetMode="External"/><Relationship Id="rId557" Type="http://schemas.openxmlformats.org/officeDocument/2006/relationships/hyperlink" Target="https://drive.google.com/open?id=1oE3_zoS4AASoCgR4CmnkuyUvMot1MB2g" TargetMode="External"/><Relationship Id="rId764" Type="http://schemas.openxmlformats.org/officeDocument/2006/relationships/hyperlink" Target="https://drive.google.com/open?id=1FzpoahBkF4Deej6KtnDgIjwwIXWZSbg7" TargetMode="External"/><Relationship Id="rId971" Type="http://schemas.openxmlformats.org/officeDocument/2006/relationships/hyperlink" Target="https://drive.google.com/open?id=1mph1EwYGe_wE8wCFv4hGoZMskerYgYG2" TargetMode="External"/><Relationship Id="rId417" Type="http://schemas.openxmlformats.org/officeDocument/2006/relationships/hyperlink" Target="https://drive.google.com/open?id=1hRqSbp4lbhnsBOStTvimXuQVxZ3P9kPE" TargetMode="External"/><Relationship Id="rId624" Type="http://schemas.openxmlformats.org/officeDocument/2006/relationships/hyperlink" Target="https://drive.google.com/open?id=1rgW6qbdPhUwlnND7SzI9iUioHz0sQLSm" TargetMode="External"/><Relationship Id="rId831" Type="http://schemas.openxmlformats.org/officeDocument/2006/relationships/hyperlink" Target="https://drive.google.com/open?id=1ZPsapHm8I7ZdwphjsZSnW46-tPKfCIYB" TargetMode="External"/><Relationship Id="rId1047" Type="http://schemas.openxmlformats.org/officeDocument/2006/relationships/hyperlink" Target="https://drive.google.com/open?id=1YNhr7QXliiB_BV_BQQLlF9W23ZIxNeng" TargetMode="External"/><Relationship Id="rId1254" Type="http://schemas.openxmlformats.org/officeDocument/2006/relationships/hyperlink" Target="https://drive.google.com/open?id=1S8iPCDmgLZ2I83-GRUkd8_A6_Zq29xeA" TargetMode="External"/><Relationship Id="rId929" Type="http://schemas.openxmlformats.org/officeDocument/2006/relationships/hyperlink" Target="https://drive.google.com/open?id=1itvLpUc-MKdbIOd_nlMeikZhE_RwtpqC" TargetMode="External"/><Relationship Id="rId1114" Type="http://schemas.openxmlformats.org/officeDocument/2006/relationships/hyperlink" Target="https://drive.google.com/open?id=1Yz2t3KJrHPMks26Pz0W2hSFngUQVar6O" TargetMode="External"/><Relationship Id="rId58" Type="http://schemas.openxmlformats.org/officeDocument/2006/relationships/hyperlink" Target="https://drive.google.com/open?id=1SYEtyGYYytdzElspvxaYpzCY-ZSpYxVH" TargetMode="External"/><Relationship Id="rId274" Type="http://schemas.openxmlformats.org/officeDocument/2006/relationships/hyperlink" Target="https://drive.google.com/open?id=1Bu_Eo-wabDiAA6RCAAIzYECjdVZWSBRF" TargetMode="External"/><Relationship Id="rId481" Type="http://schemas.openxmlformats.org/officeDocument/2006/relationships/hyperlink" Target="https://drive.google.com/open?id=1W8MQWV4sanwhYD4NafoB-J7swZrvDuWW" TargetMode="External"/><Relationship Id="rId134" Type="http://schemas.openxmlformats.org/officeDocument/2006/relationships/hyperlink" Target="https://drive.google.com/open?id=1jmU7oJnnElXloGnlw-7dDc69tyF-ae0I" TargetMode="External"/><Relationship Id="rId579" Type="http://schemas.openxmlformats.org/officeDocument/2006/relationships/hyperlink" Target="https://drive.google.com/open?id=1GrHgtiuGMFVeBOLpCK6CmQIfigbDe2oZ" TargetMode="External"/><Relationship Id="rId786" Type="http://schemas.openxmlformats.org/officeDocument/2006/relationships/hyperlink" Target="https://drive.google.com/open?id=1xh6oIYeGk3U6ezY7Hri-oHKSpQd-5twl" TargetMode="External"/><Relationship Id="rId993" Type="http://schemas.openxmlformats.org/officeDocument/2006/relationships/hyperlink" Target="https://drive.google.com/open?id=1vMN-Dy3p3gtHW09Yyt68CdfmiPVtbMvB" TargetMode="External"/><Relationship Id="rId341" Type="http://schemas.openxmlformats.org/officeDocument/2006/relationships/hyperlink" Target="https://drive.google.com/open?id=1oyu1JSRH08enJQtF7rSrZdieCyAIKxow" TargetMode="External"/><Relationship Id="rId439" Type="http://schemas.openxmlformats.org/officeDocument/2006/relationships/hyperlink" Target="https://drive.google.com/open?id=1KdDjoilKw-DA-egkuNSE2L59MZDKAjBA" TargetMode="External"/><Relationship Id="rId646" Type="http://schemas.openxmlformats.org/officeDocument/2006/relationships/hyperlink" Target="https://drive.google.com/open?id=1fGWpO8klza-k8mrSA1mvjYhQO_F6W6pG" TargetMode="External"/><Relationship Id="rId1069" Type="http://schemas.openxmlformats.org/officeDocument/2006/relationships/hyperlink" Target="https://drive.google.com/open?id=120ePY5sO7VEtXFrD841XMtefYeHAYPJE" TargetMode="External"/><Relationship Id="rId201" Type="http://schemas.openxmlformats.org/officeDocument/2006/relationships/hyperlink" Target="https://drive.google.com/open?id=1k44-Gx5UK4TiIxeWJco35Fsm85dKVfl-" TargetMode="External"/><Relationship Id="rId506" Type="http://schemas.openxmlformats.org/officeDocument/2006/relationships/hyperlink" Target="https://drive.google.com/open?id=1hTiZVmtz1BIzOjXP90AS0HPLW9K2ezdT" TargetMode="External"/><Relationship Id="rId853" Type="http://schemas.openxmlformats.org/officeDocument/2006/relationships/hyperlink" Target="https://drive.google.com/open?id=1GlFu7cdbFdhe2SDOqcxyehX5wVivpGSO" TargetMode="External"/><Relationship Id="rId1136" Type="http://schemas.openxmlformats.org/officeDocument/2006/relationships/hyperlink" Target="https://drive.google.com/open?id=1r9JHeHzS-p2bHJjGWrRRCH-HvZpP9PJC" TargetMode="External"/><Relationship Id="rId713" Type="http://schemas.openxmlformats.org/officeDocument/2006/relationships/hyperlink" Target="https://drive.google.com/open?id=1dJq_RVgjBeEYnc_ImqAGy9-JBEjabtLd" TargetMode="External"/><Relationship Id="rId920" Type="http://schemas.openxmlformats.org/officeDocument/2006/relationships/hyperlink" Target="https://drive.google.com/open?id=1Chxfwa4KIr49Z8PxbGqkrfxzUTN_ciAO" TargetMode="External"/><Relationship Id="rId1203" Type="http://schemas.openxmlformats.org/officeDocument/2006/relationships/hyperlink" Target="https://drive.google.com/open?id=1JJ1v9YNHR_5wy1WsxnPX93iiMZ2CQGc-" TargetMode="External"/><Relationship Id="rId296" Type="http://schemas.openxmlformats.org/officeDocument/2006/relationships/hyperlink" Target="https://drive.google.com/open?id=1ezcXn8Cf6Wm4Ug-923MS8OsXvX62Btoq" TargetMode="External"/><Relationship Id="rId156" Type="http://schemas.openxmlformats.org/officeDocument/2006/relationships/hyperlink" Target="https://drive.google.com/open?id=14f_YNkYe_LsLaJyBmC2tu94dRi_oPArI" TargetMode="External"/><Relationship Id="rId363" Type="http://schemas.openxmlformats.org/officeDocument/2006/relationships/hyperlink" Target="https://drive.google.com/open?id=13m23uLAStHyxZqDD5PTUP137-UARmYlm" TargetMode="External"/><Relationship Id="rId570" Type="http://schemas.openxmlformats.org/officeDocument/2006/relationships/hyperlink" Target="https://drive.google.com/open?id=1SjYXA8vBAtqhSoQB5vBlHx1Ut35nOy6o" TargetMode="External"/><Relationship Id="rId223" Type="http://schemas.openxmlformats.org/officeDocument/2006/relationships/hyperlink" Target="https://drive.google.com/open?id=1whTvza9uJDF0iQaw3_1tHubdv4LzUPKB" TargetMode="External"/><Relationship Id="rId430" Type="http://schemas.openxmlformats.org/officeDocument/2006/relationships/hyperlink" Target="https://drive.google.com/open?id=1Kjdhvdv_31tSlcoELmrZbCIw1JqoZ5L8" TargetMode="External"/><Relationship Id="rId668" Type="http://schemas.openxmlformats.org/officeDocument/2006/relationships/hyperlink" Target="https://drive.google.com/open?id=17MBVAy1wa0SR8yaFeYAn0mla9HWQHGnn" TargetMode="External"/><Relationship Id="rId875" Type="http://schemas.openxmlformats.org/officeDocument/2006/relationships/hyperlink" Target="https://drive.google.com/open?id=1PtT5e0m0JfaHGy-9pPBRyAnTQBa9QIBM" TargetMode="External"/><Relationship Id="rId1060" Type="http://schemas.openxmlformats.org/officeDocument/2006/relationships/hyperlink" Target="https://drive.google.com/open?id=1X3qDDm_p6Sho5tpr5AVih-piAd5XtjxN" TargetMode="External"/><Relationship Id="rId528" Type="http://schemas.openxmlformats.org/officeDocument/2006/relationships/hyperlink" Target="https://drive.google.com/open?id=1jc7fXPv1wf52g4ApMQpNbwU67t9CZQbi" TargetMode="External"/><Relationship Id="rId735" Type="http://schemas.openxmlformats.org/officeDocument/2006/relationships/hyperlink" Target="https://drive.google.com/open?id=15bnEA1hV4JtjlNHFlAg5s01eNuFvZk3D" TargetMode="External"/><Relationship Id="rId942" Type="http://schemas.openxmlformats.org/officeDocument/2006/relationships/hyperlink" Target="https://drive.google.com/open?id=1iwpn0J5bv3F0RmsaRFONpbK3BZ_VLeUB" TargetMode="External"/><Relationship Id="rId1158" Type="http://schemas.openxmlformats.org/officeDocument/2006/relationships/hyperlink" Target="https://drive.google.com/open?id=1b9ighdzNJh61n7UCtWhi0LirT6fP7W_o" TargetMode="External"/><Relationship Id="rId1018" Type="http://schemas.openxmlformats.org/officeDocument/2006/relationships/hyperlink" Target="https://drive.google.com/open?id=1t60Z5-AwE1CypFIwOze2BnvcUZatrF56" TargetMode="External"/><Relationship Id="rId1225" Type="http://schemas.openxmlformats.org/officeDocument/2006/relationships/hyperlink" Target="https://drive.google.com/open?id=1O53iEN6SUMV9VJVy2E0f--e_c01bAhYz" TargetMode="External"/><Relationship Id="rId71" Type="http://schemas.openxmlformats.org/officeDocument/2006/relationships/hyperlink" Target="https://drive.google.com/open?id=1B7_tsPSvNuaq1eSU9JVjd5Hhs7iofp_h" TargetMode="External"/><Relationship Id="rId802" Type="http://schemas.openxmlformats.org/officeDocument/2006/relationships/hyperlink" Target="https://drive.google.com/open?id=1GABFRLcLVo-rJuEDOu_N0ZABzWu382OC" TargetMode="External"/><Relationship Id="rId29" Type="http://schemas.openxmlformats.org/officeDocument/2006/relationships/hyperlink" Target="https://drive.google.com/open?id=1BVeSmiY_DZdNm4bq2PI7OkOZ6MxZ7Pm1" TargetMode="External"/><Relationship Id="rId178" Type="http://schemas.openxmlformats.org/officeDocument/2006/relationships/hyperlink" Target="https://drive.google.com/open?id=1VwgVuKhYCCzOe0dYrugm7mryKWSInPG2" TargetMode="External"/><Relationship Id="rId385" Type="http://schemas.openxmlformats.org/officeDocument/2006/relationships/hyperlink" Target="https://drive.google.com/open?id=1FoCgeNRKbjFBZPtmu64Kn7oA-ZlEd7eR" TargetMode="External"/><Relationship Id="rId592" Type="http://schemas.openxmlformats.org/officeDocument/2006/relationships/hyperlink" Target="https://drive.google.com/open?id=1FA9m-ZC85a101ZrFUkIi2_XLadbFGbB2" TargetMode="External"/><Relationship Id="rId245" Type="http://schemas.openxmlformats.org/officeDocument/2006/relationships/hyperlink" Target="https://drive.google.com/open?id=1sPXCxjyMc_3XrEvNonswpWZ70upQRCBM" TargetMode="External"/><Relationship Id="rId452" Type="http://schemas.openxmlformats.org/officeDocument/2006/relationships/hyperlink" Target="https://drive.google.com/open?id=16TAzlpGz82euNV0RFnQDkq_DFMXwNUlH" TargetMode="External"/><Relationship Id="rId897" Type="http://schemas.openxmlformats.org/officeDocument/2006/relationships/hyperlink" Target="https://drive.google.com/open?id=1iWg81IHqE_9Pb8CNsoiOOLq2BTWGcCCf" TargetMode="External"/><Relationship Id="rId1082" Type="http://schemas.openxmlformats.org/officeDocument/2006/relationships/hyperlink" Target="https://drive.google.com/open?id=177WnZ9ll-yDmv0Pndp6H5pIlZHxR2Otq" TargetMode="External"/><Relationship Id="rId105" Type="http://schemas.openxmlformats.org/officeDocument/2006/relationships/hyperlink" Target="https://drive.google.com/open?id=1QN0jqppCjBFEeszUL_yJvgnwHDHHN7t4" TargetMode="External"/><Relationship Id="rId312" Type="http://schemas.openxmlformats.org/officeDocument/2006/relationships/hyperlink" Target="https://drive.google.com/open?id=1xpBCQY8ivn792AhVl9I2Or-HAr_8j1RF" TargetMode="External"/><Relationship Id="rId757" Type="http://schemas.openxmlformats.org/officeDocument/2006/relationships/hyperlink" Target="https://drive.google.com/open?id=1GFMobQ4zPPvkmJwkhIhhxI-qLnGP69dZ" TargetMode="External"/><Relationship Id="rId964" Type="http://schemas.openxmlformats.org/officeDocument/2006/relationships/hyperlink" Target="https://drive.google.com/open?id=1aSZGf9dqR90YqMETPIgjqYGfmuKivvaV" TargetMode="External"/><Relationship Id="rId93" Type="http://schemas.openxmlformats.org/officeDocument/2006/relationships/hyperlink" Target="https://drive.google.com/open?id=1U1O0x228H96DBi_DVadzzj4axw4IlUj-" TargetMode="External"/><Relationship Id="rId617" Type="http://schemas.openxmlformats.org/officeDocument/2006/relationships/hyperlink" Target="https://drive.google.com/open?id=1jwCIfiRG1PaFpXBOlfzCB-idxThmtQoY" TargetMode="External"/><Relationship Id="rId824" Type="http://schemas.openxmlformats.org/officeDocument/2006/relationships/hyperlink" Target="https://drive.google.com/open?id=1s7IsjWwiv2YcmtVOY84AywO0mUQsL9eB" TargetMode="External"/><Relationship Id="rId1247" Type="http://schemas.openxmlformats.org/officeDocument/2006/relationships/hyperlink" Target="https://drive.google.com/open?id=1Jiq7TDP6gIiWOmvIMsF-YjJOfZdHi8Ta" TargetMode="External"/><Relationship Id="rId1107" Type="http://schemas.openxmlformats.org/officeDocument/2006/relationships/hyperlink" Target="https://drive.google.com/open?id=14KHr1oKnpdzF5_09SOuwK-O0zfLjJslG" TargetMode="External"/><Relationship Id="rId116" Type="http://schemas.openxmlformats.org/officeDocument/2006/relationships/hyperlink" Target="https://drive.google.com/open?id=1Zo4WUiHXwYZETzYwHs1nyNuF2CEWKTHF" TargetMode="External"/><Relationship Id="rId323" Type="http://schemas.openxmlformats.org/officeDocument/2006/relationships/hyperlink" Target="https://drive.google.com/open?id=1Ta2xVGTXikDcxe_CdeQjfiyR77meMr2p" TargetMode="External"/><Relationship Id="rId530" Type="http://schemas.openxmlformats.org/officeDocument/2006/relationships/hyperlink" Target="https://drive.google.com/open?id=1FJgp55cUD7GB_Zh0Hj2CLxe9d54wRIvf" TargetMode="External"/><Relationship Id="rId768" Type="http://schemas.openxmlformats.org/officeDocument/2006/relationships/hyperlink" Target="https://drive.google.com/open?id=1h_mZeupS44TgPflfSEpuY_s05KHp6vlX" TargetMode="External"/><Relationship Id="rId975" Type="http://schemas.openxmlformats.org/officeDocument/2006/relationships/hyperlink" Target="https://drive.google.com/open?id=107LMUKirH3tOLJR9HhdQvnsWBRFQd3VZ" TargetMode="External"/><Relationship Id="rId1160" Type="http://schemas.openxmlformats.org/officeDocument/2006/relationships/hyperlink" Target="https://drive.google.com/open?id=1G8r3SkAEO47amZGTqewYa4f5BrvpH-k6" TargetMode="External"/><Relationship Id="rId20" Type="http://schemas.openxmlformats.org/officeDocument/2006/relationships/hyperlink" Target="https://drive.google.com/open?id=1XLr3L5U77iY2vkkKxLq8C7_JM40Y1dnG" TargetMode="External"/><Relationship Id="rId628" Type="http://schemas.openxmlformats.org/officeDocument/2006/relationships/hyperlink" Target="https://drive.google.com/open?id=1wDVBpFNNtbwga3K9WnHT7TMKS4eEWTRk" TargetMode="External"/><Relationship Id="rId835" Type="http://schemas.openxmlformats.org/officeDocument/2006/relationships/hyperlink" Target="https://drive.google.com/open?id=1Z_npW6z9YO3oyLQeVmlK9gMq8C7dnkHF" TargetMode="External"/><Relationship Id="rId267" Type="http://schemas.openxmlformats.org/officeDocument/2006/relationships/hyperlink" Target="https://drive.google.com/open?id=1FclAhAv7d_PWMuQMlCVEtccysVJZmI9b" TargetMode="External"/><Relationship Id="rId474" Type="http://schemas.openxmlformats.org/officeDocument/2006/relationships/hyperlink" Target="https://drive.google.com/open?id=1kuch92MH67O90sGFYLWAJS1ayM9kxLQa" TargetMode="External"/><Relationship Id="rId1020" Type="http://schemas.openxmlformats.org/officeDocument/2006/relationships/hyperlink" Target="https://drive.google.com/open?id=1QaPyPGF3CTWvkTpQ77arzgcG1bsS_V8l" TargetMode="External"/><Relationship Id="rId1118" Type="http://schemas.openxmlformats.org/officeDocument/2006/relationships/hyperlink" Target="https://drive.google.com/open?id=1csXzh3lKOI4Jd2jS07JM8_oVkZ6Obp4g" TargetMode="External"/><Relationship Id="rId127" Type="http://schemas.openxmlformats.org/officeDocument/2006/relationships/hyperlink" Target="https://drive.google.com/open?id=1JX96BlzyjUrS8o0iXzC143_ZSof5jmcc" TargetMode="External"/><Relationship Id="rId681" Type="http://schemas.openxmlformats.org/officeDocument/2006/relationships/hyperlink" Target="https://drive.google.com/open?id=1YBh8L9twfJOwRl8bJspMxWepbJyeUgSx" TargetMode="External"/><Relationship Id="rId779" Type="http://schemas.openxmlformats.org/officeDocument/2006/relationships/hyperlink" Target="https://drive.google.com/open?id=1Jc-UMnspQBNZr0Nbb25qrUlnyEfUSwVu" TargetMode="External"/><Relationship Id="rId902" Type="http://schemas.openxmlformats.org/officeDocument/2006/relationships/hyperlink" Target="https://drive.google.com/open?id=1N3lcfAsakig5w7KQk8bS-G6dankkAlwF" TargetMode="External"/><Relationship Id="rId986" Type="http://schemas.openxmlformats.org/officeDocument/2006/relationships/hyperlink" Target="https://drive.google.com/open?id=1tIRYPTZfNjx3ruuBFLdoniQ7p77OClKX" TargetMode="External"/><Relationship Id="rId31" Type="http://schemas.openxmlformats.org/officeDocument/2006/relationships/hyperlink" Target="https://drive.google.com/open?id=1FGElvJ2-BJ-baRGIkbgo9-QbvIpGYql2" TargetMode="External"/><Relationship Id="rId334" Type="http://schemas.openxmlformats.org/officeDocument/2006/relationships/hyperlink" Target="https://drive.google.com/open?id=1cmsLf-6_xmxl1dlYyznFpzsWa9yjYVzp" TargetMode="External"/><Relationship Id="rId541" Type="http://schemas.openxmlformats.org/officeDocument/2006/relationships/hyperlink" Target="https://drive.google.com/open?id=1hPd-y0QRyP7xAS-Ua-vkhwZN1TUpFtAI" TargetMode="External"/><Relationship Id="rId639" Type="http://schemas.openxmlformats.org/officeDocument/2006/relationships/hyperlink" Target="https://drive.google.com/open?id=14rWPLJmTJKqMD8KSlWNXGrSZ3njUmrwh" TargetMode="External"/><Relationship Id="rId1171" Type="http://schemas.openxmlformats.org/officeDocument/2006/relationships/hyperlink" Target="https://drive.google.com/open?id=1_6NdeQ7TbfzlugYH8GCl1LJa3VLiskYQ" TargetMode="External"/><Relationship Id="rId180" Type="http://schemas.openxmlformats.org/officeDocument/2006/relationships/hyperlink" Target="https://drive.google.com/open?id=1oaMLvCcQm3xu7RNp4wulPzXpsuCe6-X1" TargetMode="External"/><Relationship Id="rId278" Type="http://schemas.openxmlformats.org/officeDocument/2006/relationships/hyperlink" Target="https://drive.google.com/open?id=1aRrHXLvMuL1UwsIWu887T_nnXx2XCkRz" TargetMode="External"/><Relationship Id="rId401" Type="http://schemas.openxmlformats.org/officeDocument/2006/relationships/hyperlink" Target="https://drive.google.com/open?id=1ot7SVp75D0zQFPpknUPDnWIUkpRw5Ihx" TargetMode="External"/><Relationship Id="rId846" Type="http://schemas.openxmlformats.org/officeDocument/2006/relationships/hyperlink" Target="https://drive.google.com/open?id=1pHqHxcdAuxRmI4vRP7CNKoa1hDltCeJz" TargetMode="External"/><Relationship Id="rId1031" Type="http://schemas.openxmlformats.org/officeDocument/2006/relationships/hyperlink" Target="https://drive.google.com/open?id=1gkgx2r5f7gunBgRkXutoGX1hshjzHwgh" TargetMode="External"/><Relationship Id="rId1129" Type="http://schemas.openxmlformats.org/officeDocument/2006/relationships/hyperlink" Target="https://drive.google.com/open?id=1QCUNdJbwn59jqVLuFfpB6VVr8qDVNz4-" TargetMode="External"/><Relationship Id="rId485" Type="http://schemas.openxmlformats.org/officeDocument/2006/relationships/hyperlink" Target="https://drive.google.com/open?id=1ne0wMLKGInRhVCnAJGYszBCSJsWdaGtM" TargetMode="External"/><Relationship Id="rId692" Type="http://schemas.openxmlformats.org/officeDocument/2006/relationships/hyperlink" Target="https://drive.google.com/open?id=1Wv57NATsyfsfOJ3Wqu4_xw5aLiFUfFqQ" TargetMode="External"/><Relationship Id="rId706" Type="http://schemas.openxmlformats.org/officeDocument/2006/relationships/hyperlink" Target="https://drive.google.com/open?id=1j0SOYbvN-zT3wki1_Soaju3X2FjgX1mG" TargetMode="External"/><Relationship Id="rId913" Type="http://schemas.openxmlformats.org/officeDocument/2006/relationships/hyperlink" Target="https://drive.google.com/open?id=12-5yMVCZ6Zdz29UUS-RfY60T4YdulR1I" TargetMode="External"/><Relationship Id="rId42" Type="http://schemas.openxmlformats.org/officeDocument/2006/relationships/hyperlink" Target="https://drive.google.com/open?id=1JNliL4ujxwOAKYjnW5wKtqBINm1EqJYe" TargetMode="External"/><Relationship Id="rId138" Type="http://schemas.openxmlformats.org/officeDocument/2006/relationships/hyperlink" Target="https://drive.google.com/open?id=1mM__55Wnqq1ZI4dIz_KFcRbeHbyHs5fd" TargetMode="External"/><Relationship Id="rId345" Type="http://schemas.openxmlformats.org/officeDocument/2006/relationships/hyperlink" Target="https://drive.google.com/open?id=1v3jlv1Z8oGRnQintXpBv6AJNrvdrZ326" TargetMode="External"/><Relationship Id="rId552" Type="http://schemas.openxmlformats.org/officeDocument/2006/relationships/hyperlink" Target="https://drive.google.com/open?id=1jX-4KaRAtsygnkcFdI_zbYTxjI4hAoHV" TargetMode="External"/><Relationship Id="rId997" Type="http://schemas.openxmlformats.org/officeDocument/2006/relationships/hyperlink" Target="https://drive.google.com/open?id=1iD9guPwQcJ0-Y1lGPNJIi8_PEgofy_Uz" TargetMode="External"/><Relationship Id="rId1182" Type="http://schemas.openxmlformats.org/officeDocument/2006/relationships/hyperlink" Target="https://drive.google.com/open?id=1BPUYM6YcvcrHSh7JpW273eG_5OPMl4R3" TargetMode="External"/><Relationship Id="rId191" Type="http://schemas.openxmlformats.org/officeDocument/2006/relationships/hyperlink" Target="https://drive.google.com/open?id=1vWtNWh1JBUfFb2hPwpkeo8btmYwPc0tS" TargetMode="External"/><Relationship Id="rId205" Type="http://schemas.openxmlformats.org/officeDocument/2006/relationships/hyperlink" Target="https://drive.google.com/open?id=1GMKi27W402pNU3CrBEnSCQLu_p0ji-pR" TargetMode="External"/><Relationship Id="rId412" Type="http://schemas.openxmlformats.org/officeDocument/2006/relationships/hyperlink" Target="https://drive.google.com/open?id=1XPWiFBJutctu0r8FMIsx5W7QveZshjwj" TargetMode="External"/><Relationship Id="rId857" Type="http://schemas.openxmlformats.org/officeDocument/2006/relationships/hyperlink" Target="https://drive.google.com/open?id=1leHDLjai5-yN7UbhomO6T9WKFpL5E5iT" TargetMode="External"/><Relationship Id="rId1042" Type="http://schemas.openxmlformats.org/officeDocument/2006/relationships/hyperlink" Target="https://drive.google.com/open?id=1rU4WTYfKhVeRswpLhKSTJQPyceIUteal" TargetMode="External"/><Relationship Id="rId289" Type="http://schemas.openxmlformats.org/officeDocument/2006/relationships/hyperlink" Target="https://drive.google.com/open?id=1Mq4-VKEia6FH24De7Yezq43w93wRxo4V" TargetMode="External"/><Relationship Id="rId496" Type="http://schemas.openxmlformats.org/officeDocument/2006/relationships/hyperlink" Target="https://drive.google.com/open?id=1vkWRD-FF5tvoYjw78YgKJqhEArop8JJM" TargetMode="External"/><Relationship Id="rId717" Type="http://schemas.openxmlformats.org/officeDocument/2006/relationships/hyperlink" Target="https://drive.google.com/open?id=12emzH5_O0nlSpkas2Vd2aLoyT8jgYEj7" TargetMode="External"/><Relationship Id="rId924" Type="http://schemas.openxmlformats.org/officeDocument/2006/relationships/hyperlink" Target="https://drive.google.com/open?id=1Ga1qGwhjIAYi1wDs2A2SLVbdXSml7UDX" TargetMode="External"/><Relationship Id="rId53" Type="http://schemas.openxmlformats.org/officeDocument/2006/relationships/hyperlink" Target="https://drive.google.com/open?id=1N52108VTIhjHlbnRbY2RpdApZbj04yyV" TargetMode="External"/><Relationship Id="rId149" Type="http://schemas.openxmlformats.org/officeDocument/2006/relationships/hyperlink" Target="https://drive.google.com/open?id=1NEsWCVb3UcMENpqWqNjzqNRSXNjmHlK8" TargetMode="External"/><Relationship Id="rId356" Type="http://schemas.openxmlformats.org/officeDocument/2006/relationships/hyperlink" Target="https://drive.google.com/open?id=1kya26-NPUvOma88JNHpEfC91nIi5w3p2" TargetMode="External"/><Relationship Id="rId563" Type="http://schemas.openxmlformats.org/officeDocument/2006/relationships/hyperlink" Target="https://drive.google.com/open?id=1RUsP3lf_PIf8K92_Sf-uef0JrX0FzhPk" TargetMode="External"/><Relationship Id="rId770" Type="http://schemas.openxmlformats.org/officeDocument/2006/relationships/hyperlink" Target="https://drive.google.com/open?id=1c3y001dotHmDz5gWrjouvWohD7NBzr4T" TargetMode="External"/><Relationship Id="rId1193" Type="http://schemas.openxmlformats.org/officeDocument/2006/relationships/hyperlink" Target="https://drive.google.com/open?id=1HUdU1gTzxnJpZbVVFBwj79eoJ7V1pcmS" TargetMode="External"/><Relationship Id="rId1207" Type="http://schemas.openxmlformats.org/officeDocument/2006/relationships/hyperlink" Target="https://drive.google.com/open?id=1Od__fKWQ1DJ6yajgPk9dUFm1f6YYuz3c" TargetMode="External"/><Relationship Id="rId216" Type="http://schemas.openxmlformats.org/officeDocument/2006/relationships/hyperlink" Target="https://drive.google.com/open?id=1VeKQ857RLf7ODcDvgTW9Pj8lE97TjDxW" TargetMode="External"/><Relationship Id="rId423" Type="http://schemas.openxmlformats.org/officeDocument/2006/relationships/hyperlink" Target="https://drive.google.com/open?id=1KUbWWRi5HdYIXs3hF_WPRqGxfK97CUW7" TargetMode="External"/><Relationship Id="rId868" Type="http://schemas.openxmlformats.org/officeDocument/2006/relationships/hyperlink" Target="https://drive.google.com/open?id=14vosYyJQwP4iRF_ZNUXTsHLj6CkvRN5V" TargetMode="External"/><Relationship Id="rId1053" Type="http://schemas.openxmlformats.org/officeDocument/2006/relationships/hyperlink" Target="https://drive.google.com/open?id=1dAcp_qet9NlmZ1oSiy4Mb5aV3aQpLkL5" TargetMode="External"/><Relationship Id="rId630" Type="http://schemas.openxmlformats.org/officeDocument/2006/relationships/hyperlink" Target="https://drive.google.com/open?id=11yGhiDuEpewyFuPpEFaX4AjR2P_isdQG" TargetMode="External"/><Relationship Id="rId728" Type="http://schemas.openxmlformats.org/officeDocument/2006/relationships/hyperlink" Target="https://drive.google.com/open?id=1jRqCqqYaAjCvb9YKNPrLZjMIeR_njvXB" TargetMode="External"/><Relationship Id="rId935" Type="http://schemas.openxmlformats.org/officeDocument/2006/relationships/hyperlink" Target="https://drive.google.com/open?id=1bxZS_cUelyJcmWQG_03Wtp4f7AQT9ex0" TargetMode="External"/><Relationship Id="rId64" Type="http://schemas.openxmlformats.org/officeDocument/2006/relationships/hyperlink" Target="https://drive.google.com/open?id=1o9CAYJ7IP2TlijSGOAJOM45v_8V6izVg" TargetMode="External"/><Relationship Id="rId367" Type="http://schemas.openxmlformats.org/officeDocument/2006/relationships/hyperlink" Target="https://drive.google.com/open?id=1UlLjmX6BriGlw_iurNNlMJ8lyZhZlwQp" TargetMode="External"/><Relationship Id="rId574" Type="http://schemas.openxmlformats.org/officeDocument/2006/relationships/hyperlink" Target="https://drive.google.com/open?id=1w0gYi1WcKDjZDrOpTeDJPi8WuJN5DOLY" TargetMode="External"/><Relationship Id="rId1120" Type="http://schemas.openxmlformats.org/officeDocument/2006/relationships/hyperlink" Target="https://drive.google.com/open?id=1HDFZ27W2ti4R7JiNZX60LbPV6QPoNJXW" TargetMode="External"/><Relationship Id="rId1218" Type="http://schemas.openxmlformats.org/officeDocument/2006/relationships/hyperlink" Target="https://drive.google.com/open?id=1pwmU8wNL9l5V90y_EjtnhaNqcUbnEt6U" TargetMode="External"/><Relationship Id="rId227" Type="http://schemas.openxmlformats.org/officeDocument/2006/relationships/hyperlink" Target="https://drive.google.com/open?id=1d36qJBv7FCLFzPc8ZT9r2q2OqoJTNxFT" TargetMode="External"/><Relationship Id="rId781" Type="http://schemas.openxmlformats.org/officeDocument/2006/relationships/hyperlink" Target="https://drive.google.com/open?id=1dK-OFCESsl7U8R2YblzEL7L09lkpfLlV" TargetMode="External"/><Relationship Id="rId879" Type="http://schemas.openxmlformats.org/officeDocument/2006/relationships/hyperlink" Target="https://drive.google.com/open?id=1ErZ7kHLPUxDPR7Ym9dYgao0On9FEmlyz" TargetMode="External"/><Relationship Id="rId434" Type="http://schemas.openxmlformats.org/officeDocument/2006/relationships/hyperlink" Target="https://drive.google.com/open?id=1eO0nM4Ow5C1_Vb6v2-DApEUygeBJrq8r" TargetMode="External"/><Relationship Id="rId641" Type="http://schemas.openxmlformats.org/officeDocument/2006/relationships/hyperlink" Target="https://drive.google.com/open?id=1Kmx1ZJDTqCrFG_WqUqUovGe-OhQPKMSP" TargetMode="External"/><Relationship Id="rId739" Type="http://schemas.openxmlformats.org/officeDocument/2006/relationships/hyperlink" Target="https://drive.google.com/open?id=1XRIwkn6-MF9y1Yz3kz-km-fcexVu9kH6" TargetMode="External"/><Relationship Id="rId1064" Type="http://schemas.openxmlformats.org/officeDocument/2006/relationships/hyperlink" Target="https://drive.google.com/open?id=1uA_kDYk7es1a92_7bIzDsqWe9Q-QqJUN" TargetMode="External"/><Relationship Id="rId280" Type="http://schemas.openxmlformats.org/officeDocument/2006/relationships/hyperlink" Target="https://drive.google.com/open?id=1zvt-NJ9yTzaAcNwzbB-Tnh-OvzmI55yt" TargetMode="External"/><Relationship Id="rId501" Type="http://schemas.openxmlformats.org/officeDocument/2006/relationships/hyperlink" Target="https://drive.google.com/open?id=10lpHY1hjMRfvFeUJEwOX4In0mDiuXT3J" TargetMode="External"/><Relationship Id="rId946" Type="http://schemas.openxmlformats.org/officeDocument/2006/relationships/hyperlink" Target="https://drive.google.com/open?id=1go0o92OlcI3SdTEDYOnuqqRxwlTlr93z" TargetMode="External"/><Relationship Id="rId1131" Type="http://schemas.openxmlformats.org/officeDocument/2006/relationships/hyperlink" Target="https://drive.google.com/open?id=1FmSMx_ObV2g1pYpRF2CRLxHy871wEZE8" TargetMode="External"/><Relationship Id="rId1229" Type="http://schemas.openxmlformats.org/officeDocument/2006/relationships/hyperlink" Target="https://drive.google.com/open?id=1dQcCyu4o5pL1lGcWlQebtZ2tPhZxkWRJ" TargetMode="External"/><Relationship Id="rId75" Type="http://schemas.openxmlformats.org/officeDocument/2006/relationships/hyperlink" Target="https://drive.google.com/open?id=1ZgbjVCh4SBcrQR84hgrbhQfOdI1WB6fe" TargetMode="External"/><Relationship Id="rId140" Type="http://schemas.openxmlformats.org/officeDocument/2006/relationships/hyperlink" Target="https://drive.google.com/open?id=1Se8NluBSh4Jx5-kDFRrc8Y_rTaheX-I-" TargetMode="External"/><Relationship Id="rId378" Type="http://schemas.openxmlformats.org/officeDocument/2006/relationships/hyperlink" Target="https://drive.google.com/open?id=10JEcyG5CApihiJNYJ3SjlXq_aenQQdqA" TargetMode="External"/><Relationship Id="rId585" Type="http://schemas.openxmlformats.org/officeDocument/2006/relationships/hyperlink" Target="https://drive.google.com/open?id=1MhUnV9MtNjlLmgXuyUrIMZLZnfRH5TvG" TargetMode="External"/><Relationship Id="rId792" Type="http://schemas.openxmlformats.org/officeDocument/2006/relationships/hyperlink" Target="https://drive.google.com/open?id=12K77f0CuMXL2NkY_DrMXwHHLVwKjFBnb" TargetMode="External"/><Relationship Id="rId806" Type="http://schemas.openxmlformats.org/officeDocument/2006/relationships/hyperlink" Target="https://drive.google.com/open?id=18QfMm1Jj2t20BOVXKpXpIhlVpP8jeB7H" TargetMode="External"/><Relationship Id="rId6" Type="http://schemas.openxmlformats.org/officeDocument/2006/relationships/hyperlink" Target="https://drive.google.com/open?id=1_lCAoLSpgcpsod6exHtYDXomFSr2aW_d" TargetMode="External"/><Relationship Id="rId238" Type="http://schemas.openxmlformats.org/officeDocument/2006/relationships/hyperlink" Target="https://drive.google.com/open?id=1wUMi_Px4VbVHSRiMgIjCtFyqZqOdtTh_" TargetMode="External"/><Relationship Id="rId445" Type="http://schemas.openxmlformats.org/officeDocument/2006/relationships/hyperlink" Target="https://drive.google.com/open?id=1fU4FeL8ShvpbnSTnUPWQwJFRUvB3IHd3" TargetMode="External"/><Relationship Id="rId652" Type="http://schemas.openxmlformats.org/officeDocument/2006/relationships/hyperlink" Target="https://drive.google.com/open?id=1zEZFt3QIFXlg6RqJors6v931eZGjTeG8" TargetMode="External"/><Relationship Id="rId1075" Type="http://schemas.openxmlformats.org/officeDocument/2006/relationships/hyperlink" Target="https://drive.google.com/open?id=1YdQ4jsVWyebFn2anMSj1sv7RrqlTfdNh" TargetMode="External"/><Relationship Id="rId291" Type="http://schemas.openxmlformats.org/officeDocument/2006/relationships/hyperlink" Target="https://drive.google.com/open?id=1r68QJQ1mMD8Av1cnVNZOkZTnqc0Y0TW5" TargetMode="External"/><Relationship Id="rId305" Type="http://schemas.openxmlformats.org/officeDocument/2006/relationships/hyperlink" Target="https://drive.google.com/open?id=1TXkbNt5M-Pk7MDtugny0dJ6szafeBiA1" TargetMode="External"/><Relationship Id="rId512" Type="http://schemas.openxmlformats.org/officeDocument/2006/relationships/hyperlink" Target="https://drive.google.com/open?id=1qP2kBahmzpZEXRrgJJTWQLRQLAe0IPrA" TargetMode="External"/><Relationship Id="rId957" Type="http://schemas.openxmlformats.org/officeDocument/2006/relationships/hyperlink" Target="https://drive.google.com/open?id=10ccUuIHIKALbNewM-GML29nKAHGzNxN5" TargetMode="External"/><Relationship Id="rId1142" Type="http://schemas.openxmlformats.org/officeDocument/2006/relationships/hyperlink" Target="https://drive.google.com/open?id=1ivRiijEy87mO7hxzJ67WA9f64noBj6x5" TargetMode="External"/><Relationship Id="rId86" Type="http://schemas.openxmlformats.org/officeDocument/2006/relationships/hyperlink" Target="https://drive.google.com/open?id=1LxblHohlOMP5MUnoKAETQG59Qn5QmidS" TargetMode="External"/><Relationship Id="rId151" Type="http://schemas.openxmlformats.org/officeDocument/2006/relationships/hyperlink" Target="https://drive.google.com/open?id=1JL_2OfpLxnI03CVCjIVrp_rWj5dCf4Ti" TargetMode="External"/><Relationship Id="rId389" Type="http://schemas.openxmlformats.org/officeDocument/2006/relationships/hyperlink" Target="https://drive.google.com/open?id=1h38jvDJtjSI6oGyoUyeBOOi8wxdoMcuy" TargetMode="External"/><Relationship Id="rId596" Type="http://schemas.openxmlformats.org/officeDocument/2006/relationships/hyperlink" Target="https://drive.google.com/open?id=1rNRpMNXiZIcH7bXRVDrbgTdfDrFu198F" TargetMode="External"/><Relationship Id="rId817" Type="http://schemas.openxmlformats.org/officeDocument/2006/relationships/hyperlink" Target="https://drive.google.com/open?id=1WBNYxjjh04sAk2w19Sv5lnjQTlxOfRZa" TargetMode="External"/><Relationship Id="rId1002" Type="http://schemas.openxmlformats.org/officeDocument/2006/relationships/hyperlink" Target="https://drive.google.com/open?id=1SWzxcYXDtX3R6BiDl65fQXGEU1UxXZk4" TargetMode="External"/><Relationship Id="rId249" Type="http://schemas.openxmlformats.org/officeDocument/2006/relationships/hyperlink" Target="https://drive.google.com/open?id=1dwdEaDEYgPDSWPLH7dLu76JOLbiac9bk" TargetMode="External"/><Relationship Id="rId456" Type="http://schemas.openxmlformats.org/officeDocument/2006/relationships/hyperlink" Target="https://drive.google.com/open?id=1EPNhUl4O4yR8oI9faa2k4qzYIpY7uFVJ" TargetMode="External"/><Relationship Id="rId663" Type="http://schemas.openxmlformats.org/officeDocument/2006/relationships/hyperlink" Target="https://drive.google.com/open?id=1gRiNih6IgUwZ6jl0IDQVlAnTwNKsxWuH" TargetMode="External"/><Relationship Id="rId870" Type="http://schemas.openxmlformats.org/officeDocument/2006/relationships/hyperlink" Target="https://drive.google.com/open?id=1-4mQbWgXX69uaLIhfBz1f-dCMzG1sGKc" TargetMode="External"/><Relationship Id="rId1086" Type="http://schemas.openxmlformats.org/officeDocument/2006/relationships/hyperlink" Target="https://drive.google.com/open?id=1roGwRX1qQWVB3DYsV7C8leHhhPo-3mOn" TargetMode="External"/><Relationship Id="rId13" Type="http://schemas.openxmlformats.org/officeDocument/2006/relationships/hyperlink" Target="https://drive.google.com/open?id=1F1ZqGXopONy6CtTPeVtZ68vufJxrLHyY" TargetMode="External"/><Relationship Id="rId109" Type="http://schemas.openxmlformats.org/officeDocument/2006/relationships/hyperlink" Target="https://drive.google.com/open?id=16qNImVkIhKZ8CbwP0EaugwosIn26HPss" TargetMode="External"/><Relationship Id="rId316" Type="http://schemas.openxmlformats.org/officeDocument/2006/relationships/hyperlink" Target="https://drive.google.com/open?id=13cI9fRwQi8A2iTFIsx8RE2Yg0ZxO05BS" TargetMode="External"/><Relationship Id="rId523" Type="http://schemas.openxmlformats.org/officeDocument/2006/relationships/hyperlink" Target="https://drive.google.com/open?id=1w_th_o_oe1e9BQ4ktSyCKPPYP1bB4l8j" TargetMode="External"/><Relationship Id="rId968" Type="http://schemas.openxmlformats.org/officeDocument/2006/relationships/hyperlink" Target="https://drive.google.com/open?id=1omqDfy-K9hAmywtYCmkEO4t96f8cltQh" TargetMode="External"/><Relationship Id="rId1153" Type="http://schemas.openxmlformats.org/officeDocument/2006/relationships/hyperlink" Target="https://drive.google.com/open?id=1xzLJgbV9LwWrKAMI5Kh8tHXpt3IWa_yN" TargetMode="External"/><Relationship Id="rId97" Type="http://schemas.openxmlformats.org/officeDocument/2006/relationships/hyperlink" Target="https://drive.google.com/open?id=1XId2p5RABfAl4d5kILuHjezKPFI2P_s7" TargetMode="External"/><Relationship Id="rId730" Type="http://schemas.openxmlformats.org/officeDocument/2006/relationships/hyperlink" Target="https://drive.google.com/open?id=1nvsnIHslClP_EeZefysovQtFQ7qXPWY8" TargetMode="External"/><Relationship Id="rId828" Type="http://schemas.openxmlformats.org/officeDocument/2006/relationships/hyperlink" Target="https://drive.google.com/open?id=1vzuRHxrRa8d7dDZP-wTtUaC-sQ_oGiNW" TargetMode="External"/><Relationship Id="rId1013" Type="http://schemas.openxmlformats.org/officeDocument/2006/relationships/hyperlink" Target="https://drive.google.com/open?id=1SrcObEEDm5NIwGT7cojBLCtPD_HQt8v_" TargetMode="External"/><Relationship Id="rId162" Type="http://schemas.openxmlformats.org/officeDocument/2006/relationships/hyperlink" Target="https://drive.google.com/open?id=1pNA9tbCw-yxcSFeIfOBz3dnPFvOtnNYd" TargetMode="External"/><Relationship Id="rId467" Type="http://schemas.openxmlformats.org/officeDocument/2006/relationships/hyperlink" Target="https://drive.google.com/open?id=1wgnNPwwir_WOuP4_yGlPuyEJpI854wIZ" TargetMode="External"/><Relationship Id="rId1097" Type="http://schemas.openxmlformats.org/officeDocument/2006/relationships/hyperlink" Target="https://drive.google.com/open?id=1UhIyPgca2qWYKhkTRd9tcM9K2J9Bzim0" TargetMode="External"/><Relationship Id="rId1220" Type="http://schemas.openxmlformats.org/officeDocument/2006/relationships/hyperlink" Target="https://drive.google.com/open?id=1BL5-zvJ35HIEg-jX9h1pxY5Qytg_kul_" TargetMode="External"/><Relationship Id="rId674" Type="http://schemas.openxmlformats.org/officeDocument/2006/relationships/hyperlink" Target="https://drive.google.com/open?id=1EfaSiPWkaQB0rwT_c_uHKoSApnbB03Uk" TargetMode="External"/><Relationship Id="rId881" Type="http://schemas.openxmlformats.org/officeDocument/2006/relationships/hyperlink" Target="https://drive.google.com/open?id=192cNv33ABUm8Z5LICz_76AKJv5OesCV5" TargetMode="External"/><Relationship Id="rId979" Type="http://schemas.openxmlformats.org/officeDocument/2006/relationships/hyperlink" Target="https://drive.google.com/open?id=1U3kKui09pw1QR4irVBhCux4h_yTqr-S-" TargetMode="External"/><Relationship Id="rId24" Type="http://schemas.openxmlformats.org/officeDocument/2006/relationships/hyperlink" Target="https://drive.google.com/open?id=1BInodur7Z5z0B9Lw5TfPgMKVfBZdqE9Y" TargetMode="External"/><Relationship Id="rId327" Type="http://schemas.openxmlformats.org/officeDocument/2006/relationships/hyperlink" Target="https://drive.google.com/open?id=17LOd93CnW4oauoPX5OpPGKbNuIMslXQf" TargetMode="External"/><Relationship Id="rId534" Type="http://schemas.openxmlformats.org/officeDocument/2006/relationships/hyperlink" Target="https://drive.google.com/open?id=1yXwxtcn2TSosQTcyGwWeRRE0_lCau0SJ" TargetMode="External"/><Relationship Id="rId741" Type="http://schemas.openxmlformats.org/officeDocument/2006/relationships/hyperlink" Target="https://drive.google.com/open?id=1JIEXEas3CPItZeqlCwFxIQCr5a4SOfKH" TargetMode="External"/><Relationship Id="rId839" Type="http://schemas.openxmlformats.org/officeDocument/2006/relationships/hyperlink" Target="https://drive.google.com/open?id=1tzea4vgZgf-x4KqI778KPqEqQXP9Kykd" TargetMode="External"/><Relationship Id="rId1164" Type="http://schemas.openxmlformats.org/officeDocument/2006/relationships/hyperlink" Target="https://drive.google.com/open?id=1Ubh1mUqJY2A6_EsyvehCWhcMffNdo_3P" TargetMode="External"/><Relationship Id="rId173" Type="http://schemas.openxmlformats.org/officeDocument/2006/relationships/hyperlink" Target="https://drive.google.com/open?id=1BblQeoochk0mB3GRaNzf87PAk6D9j2Bc" TargetMode="External"/><Relationship Id="rId380" Type="http://schemas.openxmlformats.org/officeDocument/2006/relationships/hyperlink" Target="https://drive.google.com/open?id=1IBA-s2nyAvO29ZqaCpVOZGS780cVF996" TargetMode="External"/><Relationship Id="rId601" Type="http://schemas.openxmlformats.org/officeDocument/2006/relationships/hyperlink" Target="https://drive.google.com/open?id=13dM8Jgv_WKqJWF6vFfUqOB9izDPx4iT8" TargetMode="External"/><Relationship Id="rId1024" Type="http://schemas.openxmlformats.org/officeDocument/2006/relationships/hyperlink" Target="https://drive.google.com/open?id=1bocZQAaER4ucqLIlPpXZdZNELormVrqq" TargetMode="External"/><Relationship Id="rId1231" Type="http://schemas.openxmlformats.org/officeDocument/2006/relationships/hyperlink" Target="https://drive.google.com/open?id=11x-DR8ds24LKuGgtRXvQVQ6hh_F3Q43g" TargetMode="External"/><Relationship Id="rId240" Type="http://schemas.openxmlformats.org/officeDocument/2006/relationships/hyperlink" Target="https://drive.google.com/open?id=1LmbJOeQIK0sbCvszEzZe8sRPWm-jDVLi" TargetMode="External"/><Relationship Id="rId478" Type="http://schemas.openxmlformats.org/officeDocument/2006/relationships/hyperlink" Target="https://drive.google.com/open?id=1UZ0UgdUXIs6dQodb-RCcT9dkdSXnZo8_" TargetMode="External"/><Relationship Id="rId685" Type="http://schemas.openxmlformats.org/officeDocument/2006/relationships/hyperlink" Target="https://drive.google.com/open?id=1TAM1UI94ZpbJT2dn4apzTYwpPmqKkRIH" TargetMode="External"/><Relationship Id="rId892" Type="http://schemas.openxmlformats.org/officeDocument/2006/relationships/hyperlink" Target="https://drive.google.com/open?id=1By-7MqGtshF6mr-FpkDLKL_28lJFeu8m" TargetMode="External"/><Relationship Id="rId906" Type="http://schemas.openxmlformats.org/officeDocument/2006/relationships/hyperlink" Target="https://drive.google.com/open?id=1SjPJT5KLJGLBT0EBwHRfD7k91_jaQXWX" TargetMode="External"/><Relationship Id="rId35" Type="http://schemas.openxmlformats.org/officeDocument/2006/relationships/hyperlink" Target="https://drive.google.com/open?id=1tr2wMa5YJt4VCShrY0uHebO-IP3XidpP" TargetMode="External"/><Relationship Id="rId100" Type="http://schemas.openxmlformats.org/officeDocument/2006/relationships/hyperlink" Target="https://drive.google.com/open?id=195bu8jGuXJkMIqjMtC4W8uPUFl7PyBrf" TargetMode="External"/><Relationship Id="rId338" Type="http://schemas.openxmlformats.org/officeDocument/2006/relationships/hyperlink" Target="https://drive.google.com/open?id=1XvwWo1Up79UlVSR0gkFNjLdaBtyXAztC" TargetMode="External"/><Relationship Id="rId545" Type="http://schemas.openxmlformats.org/officeDocument/2006/relationships/hyperlink" Target="https://drive.google.com/open?id=1bRmRcOoyot2eNBXY4xcJjG9itcztWplK" TargetMode="External"/><Relationship Id="rId752" Type="http://schemas.openxmlformats.org/officeDocument/2006/relationships/hyperlink" Target="https://drive.google.com/open?id=1VBBLfbCwCGJt1sIBVOn40ewU4femhmOl" TargetMode="External"/><Relationship Id="rId1175" Type="http://schemas.openxmlformats.org/officeDocument/2006/relationships/hyperlink" Target="https://drive.google.com/open?id=1Zgmqmhbpsp0sYEdpvqxIj1drPydeRoXx" TargetMode="External"/><Relationship Id="rId184" Type="http://schemas.openxmlformats.org/officeDocument/2006/relationships/hyperlink" Target="https://drive.google.com/open?id=1iB0zo7NjpB0GO-IG8F9E4Kz6tw1D_GYO" TargetMode="External"/><Relationship Id="rId391" Type="http://schemas.openxmlformats.org/officeDocument/2006/relationships/hyperlink" Target="https://drive.google.com/open?id=1l6pfdefEagvukaL1D_gKLZenwFghcIS1" TargetMode="External"/><Relationship Id="rId405" Type="http://schemas.openxmlformats.org/officeDocument/2006/relationships/hyperlink" Target="https://drive.google.com/open?id=1Pje4K0AmVeqIdRU8lNubhg3UtqpTskUX" TargetMode="External"/><Relationship Id="rId612" Type="http://schemas.openxmlformats.org/officeDocument/2006/relationships/hyperlink" Target="https://drive.google.com/open?id=1mbOmRU9UhnMj1e3Ac0UBN7MiyAPrul9H" TargetMode="External"/><Relationship Id="rId1035" Type="http://schemas.openxmlformats.org/officeDocument/2006/relationships/hyperlink" Target="https://drive.google.com/open?id=1IHVQgptCrqasjC2MtWHRxoLSqS2vYlGj" TargetMode="External"/><Relationship Id="rId1242" Type="http://schemas.openxmlformats.org/officeDocument/2006/relationships/hyperlink" Target="https://drive.google.com/open?id=1EEugIlYOg-f6zlbA_qI6CGXYr0wxG79G" TargetMode="External"/><Relationship Id="rId251" Type="http://schemas.openxmlformats.org/officeDocument/2006/relationships/hyperlink" Target="https://drive.google.com/open?id=18YABECxIIVf4ZhToxUTtCfAumeIRvHyI" TargetMode="External"/><Relationship Id="rId489" Type="http://schemas.openxmlformats.org/officeDocument/2006/relationships/hyperlink" Target="https://drive.google.com/open?id=1Q5gyEZfKzPBc5ZpfxbJO8DLThEJcbhWY" TargetMode="External"/><Relationship Id="rId696" Type="http://schemas.openxmlformats.org/officeDocument/2006/relationships/hyperlink" Target="https://drive.google.com/open?id=1TM1vT46hVPIrlLXY41qnHHodBkLhjL-q" TargetMode="External"/><Relationship Id="rId917" Type="http://schemas.openxmlformats.org/officeDocument/2006/relationships/hyperlink" Target="https://drive.google.com/open?id=1V0spmarOOkCwTwk2zmkwXOksdHP_TnLF" TargetMode="External"/><Relationship Id="rId1102" Type="http://schemas.openxmlformats.org/officeDocument/2006/relationships/hyperlink" Target="https://drive.google.com/open?id=13a6xT-anbNLEW_1cU9CxpbQGh4c1-R-8" TargetMode="External"/><Relationship Id="rId46" Type="http://schemas.openxmlformats.org/officeDocument/2006/relationships/hyperlink" Target="https://drive.google.com/open?id=1NfJYUhD6vu9nHpH_RKdwLn5Viip3ZwP5" TargetMode="External"/><Relationship Id="rId349" Type="http://schemas.openxmlformats.org/officeDocument/2006/relationships/hyperlink" Target="https://drive.google.com/open?id=1teVeQvKnkxgPoK2cZ4BZQLcDbAMe9Lxv" TargetMode="External"/><Relationship Id="rId556" Type="http://schemas.openxmlformats.org/officeDocument/2006/relationships/hyperlink" Target="https://drive.google.com/open?id=1-mXPqR0BOmaZwqXMfMy1MvUJ7ZoJp7VF" TargetMode="External"/><Relationship Id="rId763" Type="http://schemas.openxmlformats.org/officeDocument/2006/relationships/hyperlink" Target="https://drive.google.com/open?id=1-Ciet1dyr5mlTQUrTE734hejb_EwOLMq" TargetMode="External"/><Relationship Id="rId1186" Type="http://schemas.openxmlformats.org/officeDocument/2006/relationships/hyperlink" Target="https://drive.google.com/open?id=1x6q3CgeCfCNwUZclyHBddI26fJN6ZZjg" TargetMode="External"/><Relationship Id="rId111" Type="http://schemas.openxmlformats.org/officeDocument/2006/relationships/hyperlink" Target="https://drive.google.com/open?id=1VjFyiKdCiVqPzTnnl1Qv7yCfhWKIqAaK" TargetMode="External"/><Relationship Id="rId195" Type="http://schemas.openxmlformats.org/officeDocument/2006/relationships/hyperlink" Target="https://drive.google.com/open?id=1jLASRRonxh69lszOjDeikVavOpYGVWAA" TargetMode="External"/><Relationship Id="rId209" Type="http://schemas.openxmlformats.org/officeDocument/2006/relationships/hyperlink" Target="https://drive.google.com/open?id=1xB25eZbaj9Vaiw8nveptDisOGPbc3JXd" TargetMode="External"/><Relationship Id="rId416" Type="http://schemas.openxmlformats.org/officeDocument/2006/relationships/hyperlink" Target="https://drive.google.com/open?id=1xD4GnQ_DwxqjLUaJxYF8fFY8w7cJ7T4M" TargetMode="External"/><Relationship Id="rId970" Type="http://schemas.openxmlformats.org/officeDocument/2006/relationships/hyperlink" Target="https://drive.google.com/open?id=17H9612c1oa8J6JlQ5v2_5MFrt3uyhOfr" TargetMode="External"/><Relationship Id="rId1046" Type="http://schemas.openxmlformats.org/officeDocument/2006/relationships/hyperlink" Target="https://drive.google.com/open?id=1-BC9yK0Bm8DwW7WT3zCp3DRWi5FwBsrd" TargetMode="External"/><Relationship Id="rId1253" Type="http://schemas.openxmlformats.org/officeDocument/2006/relationships/hyperlink" Target="https://drive.google.com/open?id=1rqFQ-63kJazg9Uyg0Jym7j80nZnUglPy" TargetMode="External"/><Relationship Id="rId623" Type="http://schemas.openxmlformats.org/officeDocument/2006/relationships/hyperlink" Target="https://drive.google.com/open?id=1K2NfBDFrHh4cN-5QuF7hJUIYRpARfO73" TargetMode="External"/><Relationship Id="rId830" Type="http://schemas.openxmlformats.org/officeDocument/2006/relationships/hyperlink" Target="https://drive.google.com/open?id=1sBKtmKmyKUTtQ9THxd3hY0c4C-QqVEHH" TargetMode="External"/><Relationship Id="rId928" Type="http://schemas.openxmlformats.org/officeDocument/2006/relationships/hyperlink" Target="https://drive.google.com/open?id=1etDF0Jg6IWqVnyUn_1aqS78rcM8onOLP" TargetMode="External"/><Relationship Id="rId57" Type="http://schemas.openxmlformats.org/officeDocument/2006/relationships/hyperlink" Target="https://drive.google.com/open?id=1XXmyiUhR_oFSYottEIMoOJsKxwXx4jlI" TargetMode="External"/><Relationship Id="rId262" Type="http://schemas.openxmlformats.org/officeDocument/2006/relationships/hyperlink" Target="https://drive.google.com/open?id=1CQisGryiw7FxdrIuNrRgDsJr1CXJSuQt" TargetMode="External"/><Relationship Id="rId567" Type="http://schemas.openxmlformats.org/officeDocument/2006/relationships/hyperlink" Target="https://drive.google.com/open?id=14BueM2JPAWozHYKykmq84vh7X6-tNJFU" TargetMode="External"/><Relationship Id="rId1113" Type="http://schemas.openxmlformats.org/officeDocument/2006/relationships/hyperlink" Target="https://drive.google.com/open?id=1bm7GSIXpzAZpqC1ATkUbutqdzq8eJory" TargetMode="External"/><Relationship Id="rId1197" Type="http://schemas.openxmlformats.org/officeDocument/2006/relationships/hyperlink" Target="https://drive.google.com/open?id=1FLjJXLnRdpa9I8MBM6ZQdF7SrKAwW6Bk" TargetMode="External"/><Relationship Id="rId122" Type="http://schemas.openxmlformats.org/officeDocument/2006/relationships/hyperlink" Target="https://drive.google.com/open?id=1XJtGAYi4gV_tUjGqCb4qaJgZrocDfhK7" TargetMode="External"/><Relationship Id="rId774" Type="http://schemas.openxmlformats.org/officeDocument/2006/relationships/hyperlink" Target="https://drive.google.com/open?id=1pkb0v1lzbrfJg5vCyuYi6WouE3QTzLR8" TargetMode="External"/><Relationship Id="rId981" Type="http://schemas.openxmlformats.org/officeDocument/2006/relationships/hyperlink" Target="https://drive.google.com/open?id=1WhpufWxeZDSW-VlUsugnTqWG2-_U8cV1" TargetMode="External"/><Relationship Id="rId1057" Type="http://schemas.openxmlformats.org/officeDocument/2006/relationships/hyperlink" Target="https://drive.google.com/open?id=1WFVBDO4pIZncRN9NwFQzCox3yRE57eIN" TargetMode="External"/><Relationship Id="rId427" Type="http://schemas.openxmlformats.org/officeDocument/2006/relationships/hyperlink" Target="https://drive.google.com/open?id=10ZzFlVTxL7Y8SOcNk8CGbkjtQMLBoVyi" TargetMode="External"/><Relationship Id="rId634" Type="http://schemas.openxmlformats.org/officeDocument/2006/relationships/hyperlink" Target="https://drive.google.com/open?id=1L8r8ppUS8S5-DrYEa5168cWLieUMaWuq" TargetMode="External"/><Relationship Id="rId841" Type="http://schemas.openxmlformats.org/officeDocument/2006/relationships/hyperlink" Target="https://drive.google.com/open?id=1cfwjNq8I0TmiuW-qScwF4__gQZbF8Moh" TargetMode="External"/><Relationship Id="rId273" Type="http://schemas.openxmlformats.org/officeDocument/2006/relationships/hyperlink" Target="https://drive.google.com/open?id=1PJBsplG6Hnd4sWTbiDGAlTIs4qBXOgGJ" TargetMode="External"/><Relationship Id="rId480" Type="http://schemas.openxmlformats.org/officeDocument/2006/relationships/hyperlink" Target="https://drive.google.com/open?id=1pV3dCYZAj-pE5bgCdYuZjTNK9r2yHBLF" TargetMode="External"/><Relationship Id="rId701" Type="http://schemas.openxmlformats.org/officeDocument/2006/relationships/hyperlink" Target="https://drive.google.com/open?id=1-hb-A2JShzXGc0FIJFiIy6FG6qh1eqGk" TargetMode="External"/><Relationship Id="rId939" Type="http://schemas.openxmlformats.org/officeDocument/2006/relationships/hyperlink" Target="https://drive.google.com/open?id=1i-hHqujFgTa7XcnC4VkcWos2AzaivvAI" TargetMode="External"/><Relationship Id="rId1124" Type="http://schemas.openxmlformats.org/officeDocument/2006/relationships/hyperlink" Target="https://drive.google.com/open?id=1Kmxj2-g-HXDL-EFtrC9jd81azp08yS6C" TargetMode="External"/><Relationship Id="rId68" Type="http://schemas.openxmlformats.org/officeDocument/2006/relationships/hyperlink" Target="https://drive.google.com/open?id=1bTPNgAlNUc0SAVKyLYK6-o9csORCRq9E" TargetMode="External"/><Relationship Id="rId133" Type="http://schemas.openxmlformats.org/officeDocument/2006/relationships/hyperlink" Target="https://drive.google.com/open?id=1nmo86xxLFnP7BolDDcSIBSjsYr23dU6C" TargetMode="External"/><Relationship Id="rId340" Type="http://schemas.openxmlformats.org/officeDocument/2006/relationships/hyperlink" Target="https://drive.google.com/open?id=1aVJPNkyxt72OWW4oZI0YmF6HPgd6Zy1_" TargetMode="External"/><Relationship Id="rId578" Type="http://schemas.openxmlformats.org/officeDocument/2006/relationships/hyperlink" Target="https://drive.google.com/open?id=1MFZGl7XMlI44-QYpHzglpCtoExUefhQd" TargetMode="External"/><Relationship Id="rId785" Type="http://schemas.openxmlformats.org/officeDocument/2006/relationships/hyperlink" Target="https://drive.google.com/open?id=1tuS1_J4QOOa3Hiq6sgoTzPfHHUPDqRYw" TargetMode="External"/><Relationship Id="rId992" Type="http://schemas.openxmlformats.org/officeDocument/2006/relationships/hyperlink" Target="https://drive.google.com/open?id=1_6HbNfFmT2pxaJ4g23RuvpqXLoeK_Fb1" TargetMode="External"/><Relationship Id="rId200" Type="http://schemas.openxmlformats.org/officeDocument/2006/relationships/hyperlink" Target="https://drive.google.com/open?id=1bZGCiT0RJPsOHLgyfOu2vecfRze4hWHz" TargetMode="External"/><Relationship Id="rId438" Type="http://schemas.openxmlformats.org/officeDocument/2006/relationships/hyperlink" Target="https://drive.google.com/open?id=1FOBj-CJS_SFfIrg2n6_UXowvXyYthhtQ" TargetMode="External"/><Relationship Id="rId645" Type="http://schemas.openxmlformats.org/officeDocument/2006/relationships/hyperlink" Target="https://drive.google.com/open?id=1_dzaRlymbqO_J7lNRGkF7Ga1qICe0WQq" TargetMode="External"/><Relationship Id="rId852" Type="http://schemas.openxmlformats.org/officeDocument/2006/relationships/hyperlink" Target="https://drive.google.com/open?id=1GzrYUBwZKFdPE8ndDFzSLjBjawdjvL6H" TargetMode="External"/><Relationship Id="rId1068" Type="http://schemas.openxmlformats.org/officeDocument/2006/relationships/hyperlink" Target="https://drive.google.com/open?id=1fXsmoPwESAxZ_td0lMmIDrFFFyRpNQIO" TargetMode="External"/><Relationship Id="rId284" Type="http://schemas.openxmlformats.org/officeDocument/2006/relationships/hyperlink" Target="https://drive.google.com/open?id=19ceLu-U4vGjH724C5RDV7tR8hr2Ot5Z7" TargetMode="External"/><Relationship Id="rId491" Type="http://schemas.openxmlformats.org/officeDocument/2006/relationships/hyperlink" Target="https://drive.google.com/open?id=1mKvYKRkaD_6LgFXFWfElOye2zeFeAf8F" TargetMode="External"/><Relationship Id="rId505" Type="http://schemas.openxmlformats.org/officeDocument/2006/relationships/hyperlink" Target="https://drive.google.com/open?id=1MRFIvT2a7MbpVW9iWmNZPjjKo6Z_NFHo" TargetMode="External"/><Relationship Id="rId712" Type="http://schemas.openxmlformats.org/officeDocument/2006/relationships/hyperlink" Target="https://drive.google.com/open?id=1nUtr12VhlmX2Vw8DpDOjSI8Ba7_xUwm8" TargetMode="External"/><Relationship Id="rId1135" Type="http://schemas.openxmlformats.org/officeDocument/2006/relationships/hyperlink" Target="https://drive.google.com/open?id=1_PWyWMWPd2aS2hAmr0U49jVLwc0-Bo_D" TargetMode="External"/><Relationship Id="rId79" Type="http://schemas.openxmlformats.org/officeDocument/2006/relationships/hyperlink" Target="https://drive.google.com/open?id=1LnzcJsL1CVvU69Pt5nrqQ7DLXsmDdQ6O" TargetMode="External"/><Relationship Id="rId144" Type="http://schemas.openxmlformats.org/officeDocument/2006/relationships/hyperlink" Target="https://drive.google.com/open?id=1og9vzEHpVyUdPZHHPhxiXipcZpj3WeYL" TargetMode="External"/><Relationship Id="rId589" Type="http://schemas.openxmlformats.org/officeDocument/2006/relationships/hyperlink" Target="https://drive.google.com/open?id=1MfWRRsZzZqRjRiU5J6Akt859NdTVSw06" TargetMode="External"/><Relationship Id="rId796" Type="http://schemas.openxmlformats.org/officeDocument/2006/relationships/hyperlink" Target="https://drive.google.com/open?id=1uDhlPfERS-B4D8ck7ALNQgO35pbEA3bF" TargetMode="External"/><Relationship Id="rId1202" Type="http://schemas.openxmlformats.org/officeDocument/2006/relationships/hyperlink" Target="https://drive.google.com/open?id=1zKdWFcB_fXqwHxmsOH4rSnVagjKun9Pw" TargetMode="External"/><Relationship Id="rId351" Type="http://schemas.openxmlformats.org/officeDocument/2006/relationships/hyperlink" Target="https://drive.google.com/open?id=1vM7CE9t45D1zVKTv_nN1Sl8NgF0nvaKN" TargetMode="External"/><Relationship Id="rId449" Type="http://schemas.openxmlformats.org/officeDocument/2006/relationships/hyperlink" Target="https://drive.google.com/open?id=1sBH4U539CsU4R91SLQV138bzQ890RZ9B" TargetMode="External"/><Relationship Id="rId656" Type="http://schemas.openxmlformats.org/officeDocument/2006/relationships/hyperlink" Target="https://drive.google.com/open?id=1mMSNihYsEb94hD2XLPqXJubWyhBTMpra" TargetMode="External"/><Relationship Id="rId863" Type="http://schemas.openxmlformats.org/officeDocument/2006/relationships/hyperlink" Target="https://drive.google.com/open?id=1lwCNcXeUzPe_H883-CdWrdoPcBoPMizK" TargetMode="External"/><Relationship Id="rId1079" Type="http://schemas.openxmlformats.org/officeDocument/2006/relationships/hyperlink" Target="https://drive.google.com/open?id=1h6qJ3Oy4aG4OLKKQ5bvCgj2hopNsJrSd" TargetMode="External"/><Relationship Id="rId211" Type="http://schemas.openxmlformats.org/officeDocument/2006/relationships/hyperlink" Target="https://drive.google.com/open?id=1_G6hWX8unQ9Igl9lGAqaEA_I8IedYI3z" TargetMode="External"/><Relationship Id="rId295" Type="http://schemas.openxmlformats.org/officeDocument/2006/relationships/hyperlink" Target="https://drive.google.com/open?id=1rnzoHGD_-HxQKIMIKdTp8olBmZspIXw5" TargetMode="External"/><Relationship Id="rId309" Type="http://schemas.openxmlformats.org/officeDocument/2006/relationships/hyperlink" Target="https://drive.google.com/open?id=1jevEfvHDUB3Ta6ZINIULoZAqvfXwcjtI" TargetMode="External"/><Relationship Id="rId516" Type="http://schemas.openxmlformats.org/officeDocument/2006/relationships/hyperlink" Target="https://drive.google.com/open?id=1LNI6b4ktxsZzBTtpoqDqjV8xkCHdXJYL" TargetMode="External"/><Relationship Id="rId1146" Type="http://schemas.openxmlformats.org/officeDocument/2006/relationships/hyperlink" Target="https://drive.google.com/open?id=182wNB88HNx7aX61dxgw7Xp81DBrQBszw" TargetMode="External"/><Relationship Id="rId723" Type="http://schemas.openxmlformats.org/officeDocument/2006/relationships/hyperlink" Target="https://drive.google.com/open?id=1blOknRrS5Jgrv53GNIVeepDW2gmCe--N" TargetMode="External"/><Relationship Id="rId930" Type="http://schemas.openxmlformats.org/officeDocument/2006/relationships/hyperlink" Target="https://drive.google.com/open?id=1QEYGheP69wUhy8zOrLWBBFheLxmLc9pu" TargetMode="External"/><Relationship Id="rId1006" Type="http://schemas.openxmlformats.org/officeDocument/2006/relationships/hyperlink" Target="https://drive.google.com/open?id=1-FyJ6BgTE0QQTnz-mXYscIaZWa6Hy9Rh" TargetMode="External"/><Relationship Id="rId155" Type="http://schemas.openxmlformats.org/officeDocument/2006/relationships/hyperlink" Target="https://drive.google.com/open?id=1VfZAZdDyFDbrn6cntHB16dFr7un62f0K" TargetMode="External"/><Relationship Id="rId362" Type="http://schemas.openxmlformats.org/officeDocument/2006/relationships/hyperlink" Target="https://drive.google.com/open?id=1UYaDws5tqwrllIoPgSPpPTzSsxJfHOm7" TargetMode="External"/><Relationship Id="rId1213" Type="http://schemas.openxmlformats.org/officeDocument/2006/relationships/hyperlink" Target="https://drive.google.com/open?id=13v6lhNqT73TZyJZ6muu8ttmfwQnztK7e" TargetMode="External"/><Relationship Id="rId222" Type="http://schemas.openxmlformats.org/officeDocument/2006/relationships/hyperlink" Target="https://drive.google.com/open?id=1Twp5KMaybRTAQPI1iaKuoE1QXLkAeG1R" TargetMode="External"/><Relationship Id="rId667" Type="http://schemas.openxmlformats.org/officeDocument/2006/relationships/hyperlink" Target="https://drive.google.com/open?id=18RQ8wQwDoWSQW4sBKWj3RihVCcsy4yjZ" TargetMode="External"/><Relationship Id="rId874" Type="http://schemas.openxmlformats.org/officeDocument/2006/relationships/hyperlink" Target="https://drive.google.com/open?id=17R1d5-5pxA0Ba0AC7kKHNbZKHZrnAYss" TargetMode="External"/><Relationship Id="rId17" Type="http://schemas.openxmlformats.org/officeDocument/2006/relationships/hyperlink" Target="https://drive.google.com/open?id=1gPBTU0tr5RF3KELuMnzeS8PiuQi7LJux" TargetMode="External"/><Relationship Id="rId527" Type="http://schemas.openxmlformats.org/officeDocument/2006/relationships/hyperlink" Target="https://drive.google.com/open?id=1cwc9foRx38U2OOaSqjE9TTQJpJUR4djW" TargetMode="External"/><Relationship Id="rId734" Type="http://schemas.openxmlformats.org/officeDocument/2006/relationships/hyperlink" Target="https://drive.google.com/open?id=1CoYdJf0d_DYGOl6usVw774BLv1xbgnRe" TargetMode="External"/><Relationship Id="rId941" Type="http://schemas.openxmlformats.org/officeDocument/2006/relationships/hyperlink" Target="https://drive.google.com/open?id=1X0YPsRlue74T5cMrdnGEtgP6VBdrt0km" TargetMode="External"/><Relationship Id="rId1157" Type="http://schemas.openxmlformats.org/officeDocument/2006/relationships/hyperlink" Target="https://drive.google.com/open?id=1_utwnZlRvbexiB8MVjfx55ExZzZbksm_" TargetMode="External"/><Relationship Id="rId70" Type="http://schemas.openxmlformats.org/officeDocument/2006/relationships/hyperlink" Target="https://drive.google.com/open?id=1C0Ya-YgK9PvZCw4SdHr98Vec1eqDvA8M" TargetMode="External"/><Relationship Id="rId166" Type="http://schemas.openxmlformats.org/officeDocument/2006/relationships/hyperlink" Target="https://drive.google.com/open?id=1iZ6pdTYgqLQGN4RZIoKXYPnHqeRntFzX" TargetMode="External"/><Relationship Id="rId373" Type="http://schemas.openxmlformats.org/officeDocument/2006/relationships/hyperlink" Target="https://drive.google.com/open?id=1aE41IHUfgLFXxUzcxHF8y7ZaWU-6dMRZ" TargetMode="External"/><Relationship Id="rId580" Type="http://schemas.openxmlformats.org/officeDocument/2006/relationships/hyperlink" Target="https://drive.google.com/open?id=1h_TO-sTgcFptcf50OXTslG2EfVTnWSB4" TargetMode="External"/><Relationship Id="rId801" Type="http://schemas.openxmlformats.org/officeDocument/2006/relationships/hyperlink" Target="https://drive.google.com/open?id=14vERjTsgx7f8IqqqZ5rlXtRUTbmVU1y7" TargetMode="External"/><Relationship Id="rId1017" Type="http://schemas.openxmlformats.org/officeDocument/2006/relationships/hyperlink" Target="https://drive.google.com/open?id=1GYXHrYwW_yShDcGtzw3MQiMPDG6GfnAx" TargetMode="External"/><Relationship Id="rId1224" Type="http://schemas.openxmlformats.org/officeDocument/2006/relationships/hyperlink" Target="https://drive.google.com/open?id=1m0eTfXxBQ4KuiBGBiq3flTMFzLjVC3Z9" TargetMode="External"/><Relationship Id="rId1" Type="http://schemas.openxmlformats.org/officeDocument/2006/relationships/hyperlink" Target="https://drive.google.com/open?id=1bPpj-Szm61CClB5Hoyogs-_fX2Zwfb5E" TargetMode="External"/><Relationship Id="rId233" Type="http://schemas.openxmlformats.org/officeDocument/2006/relationships/hyperlink" Target="https://drive.google.com/open?id=1rKRBkLXC-0n61mI_Dj7YGwgNphfDFM4l" TargetMode="External"/><Relationship Id="rId440" Type="http://schemas.openxmlformats.org/officeDocument/2006/relationships/hyperlink" Target="https://drive.google.com/open?id=1x6N9A5xvj3l1952kvKryUl6h8W4FJ96l" TargetMode="External"/><Relationship Id="rId678" Type="http://schemas.openxmlformats.org/officeDocument/2006/relationships/hyperlink" Target="https://drive.google.com/open?id=1SFyMzggOYrOCej4FkZcKyxcOLQXBrPOj" TargetMode="External"/><Relationship Id="rId885" Type="http://schemas.openxmlformats.org/officeDocument/2006/relationships/hyperlink" Target="https://drive.google.com/open?id=1fibKQFgCEvTbZ1PAhh3KKKRUslJQ3stT" TargetMode="External"/><Relationship Id="rId1070" Type="http://schemas.openxmlformats.org/officeDocument/2006/relationships/hyperlink" Target="https://drive.google.com/open?id=1pmQbUCTbCx8IQ3FbAXxrpQON9VStsxN-" TargetMode="External"/><Relationship Id="rId28" Type="http://schemas.openxmlformats.org/officeDocument/2006/relationships/hyperlink" Target="https://drive.google.com/open?id=1c5rIJfwjjMXXtfsZUrh5kpXNqHxjjBZD" TargetMode="External"/><Relationship Id="rId300" Type="http://schemas.openxmlformats.org/officeDocument/2006/relationships/hyperlink" Target="https://drive.google.com/open?id=1RUdqhymomyF5kXLNTAN3RzCIQvNfYwRB" TargetMode="External"/><Relationship Id="rId538" Type="http://schemas.openxmlformats.org/officeDocument/2006/relationships/hyperlink" Target="https://drive.google.com/open?id=19usFsYWjPQJXbuF8xQcnqahwXwxLIFDW" TargetMode="External"/><Relationship Id="rId745" Type="http://schemas.openxmlformats.org/officeDocument/2006/relationships/hyperlink" Target="https://drive.google.com/open?id=1AQw3mMNXiY6hqSOAnhKM1S3rytoMGdec" TargetMode="External"/><Relationship Id="rId952" Type="http://schemas.openxmlformats.org/officeDocument/2006/relationships/hyperlink" Target="https://drive.google.com/open?id=1iTEAtvZfBercHJesinF_8Lc_Gx6uBYzD" TargetMode="External"/><Relationship Id="rId1168" Type="http://schemas.openxmlformats.org/officeDocument/2006/relationships/hyperlink" Target="https://drive.google.com/open?id=1kfIoJ2kNB57znE_IUX8uFPbEov-BslJO" TargetMode="External"/><Relationship Id="rId81" Type="http://schemas.openxmlformats.org/officeDocument/2006/relationships/hyperlink" Target="https://drive.google.com/open?id=1T2MhnNKDTSCvujyca8UYAxNjsKxAQroF" TargetMode="External"/><Relationship Id="rId177" Type="http://schemas.openxmlformats.org/officeDocument/2006/relationships/hyperlink" Target="https://drive.google.com/open?id=1PabGAOdkTYkN24bISK9lcl7A6aHD0j15" TargetMode="External"/><Relationship Id="rId384" Type="http://schemas.openxmlformats.org/officeDocument/2006/relationships/hyperlink" Target="https://drive.google.com/open?id=1yZ-6xLd0DeHWozgsnfMgai7HDBRm0xLW" TargetMode="External"/><Relationship Id="rId591" Type="http://schemas.openxmlformats.org/officeDocument/2006/relationships/hyperlink" Target="https://drive.google.com/open?id=1uRkJoL8a427wRXKLculD4eqPuSKEKN7S" TargetMode="External"/><Relationship Id="rId605" Type="http://schemas.openxmlformats.org/officeDocument/2006/relationships/hyperlink" Target="https://drive.google.com/open?id=1ik8rS8-FKwXAote9J5tcBc2yA80_AfRp" TargetMode="External"/><Relationship Id="rId812" Type="http://schemas.openxmlformats.org/officeDocument/2006/relationships/hyperlink" Target="https://drive.google.com/open?id=1nRtNkdF7ZtK9u82WBi0DKKNPJugxBgQD" TargetMode="External"/><Relationship Id="rId1028" Type="http://schemas.openxmlformats.org/officeDocument/2006/relationships/hyperlink" Target="https://drive.google.com/open?id=1YhGLTeTefbvnTodbHBxPRPsZ2BQyTamj" TargetMode="External"/><Relationship Id="rId1235" Type="http://schemas.openxmlformats.org/officeDocument/2006/relationships/hyperlink" Target="https://drive.google.com/open?id=1tG0abyWyzm65mrLp7vJR6_JrmqIZrJhF" TargetMode="External"/><Relationship Id="rId244" Type="http://schemas.openxmlformats.org/officeDocument/2006/relationships/hyperlink" Target="https://drive.google.com/open?id=10kQLw3Amm8oSsc8MiGZp-QXAeIGZXnNM" TargetMode="External"/><Relationship Id="rId689" Type="http://schemas.openxmlformats.org/officeDocument/2006/relationships/hyperlink" Target="https://drive.google.com/open?id=13AA37OJ-cQdYIXlY4AJ_SVAvfB1Hvx2r" TargetMode="External"/><Relationship Id="rId896" Type="http://schemas.openxmlformats.org/officeDocument/2006/relationships/hyperlink" Target="https://drive.google.com/open?id=1T9l5BJbwuoN25dSCRA6PvW-Yz5zZZlSP" TargetMode="External"/><Relationship Id="rId1081" Type="http://schemas.openxmlformats.org/officeDocument/2006/relationships/hyperlink" Target="https://drive.google.com/open?id=1a18jV5TiN5o0qhqw-dHcnzzJ31lrAwLy" TargetMode="External"/><Relationship Id="rId39" Type="http://schemas.openxmlformats.org/officeDocument/2006/relationships/hyperlink" Target="https://drive.google.com/open?id=1HgQguP2dpHt_7f15LJZfjlF-GZIYHAB-" TargetMode="External"/><Relationship Id="rId451" Type="http://schemas.openxmlformats.org/officeDocument/2006/relationships/hyperlink" Target="https://drive.google.com/open?id=1856Q8WWFFxfP8g7-tsfxljOcDqBUrYSo" TargetMode="External"/><Relationship Id="rId549" Type="http://schemas.openxmlformats.org/officeDocument/2006/relationships/hyperlink" Target="https://drive.google.com/open?id=10UiWBXmtXE6rN1vZae6BNOE4nnwOV4P9" TargetMode="External"/><Relationship Id="rId756" Type="http://schemas.openxmlformats.org/officeDocument/2006/relationships/hyperlink" Target="https://drive.google.com/open?id=1qwc-5Jx6Sfw07PuLGUpAzN-osuragFiu" TargetMode="External"/><Relationship Id="rId1179" Type="http://schemas.openxmlformats.org/officeDocument/2006/relationships/hyperlink" Target="https://drive.google.com/open?id=19yGy5jBgV5PdQHS1PXx2-a_1uJ2rb5Sp" TargetMode="External"/><Relationship Id="rId104" Type="http://schemas.openxmlformats.org/officeDocument/2006/relationships/hyperlink" Target="https://drive.google.com/open?id=1ACHJsQI_mg8ZcZQbpJLygN_Ys9b-sJ83" TargetMode="External"/><Relationship Id="rId188" Type="http://schemas.openxmlformats.org/officeDocument/2006/relationships/hyperlink" Target="https://drive.google.com/open?id=1qAgTbM7pMW7CSyCZdOsNX5mgKsZS8v53" TargetMode="External"/><Relationship Id="rId311" Type="http://schemas.openxmlformats.org/officeDocument/2006/relationships/hyperlink" Target="https://drive.google.com/open?id=1sLiGrDnV7IG4h0Znjc3mMTXX-KThElYX" TargetMode="External"/><Relationship Id="rId395" Type="http://schemas.openxmlformats.org/officeDocument/2006/relationships/hyperlink" Target="https://drive.google.com/open?id=1_U7KBemuZk5WZCbdiVQS2XWQVE3Czd46" TargetMode="External"/><Relationship Id="rId409" Type="http://schemas.openxmlformats.org/officeDocument/2006/relationships/hyperlink" Target="https://drive.google.com/open?id=1ITJV2AkhvbptLlbSPuoZvJm_vMqP_1jQ" TargetMode="External"/><Relationship Id="rId963" Type="http://schemas.openxmlformats.org/officeDocument/2006/relationships/hyperlink" Target="https://drive.google.com/open?id=1NF5oj00wXUu_QP7ptnhNpaVkym-MYmnJ" TargetMode="External"/><Relationship Id="rId1039" Type="http://schemas.openxmlformats.org/officeDocument/2006/relationships/hyperlink" Target="https://drive.google.com/open?id=1B9shDA-nQdLqcoyfNUMlvEMFzkwOFw5T" TargetMode="External"/><Relationship Id="rId1246" Type="http://schemas.openxmlformats.org/officeDocument/2006/relationships/hyperlink" Target="https://drive.google.com/open?id=1miIJGN1c0lGzv9Siln_-YZH9Gv5_uQJj" TargetMode="External"/><Relationship Id="rId92" Type="http://schemas.openxmlformats.org/officeDocument/2006/relationships/hyperlink" Target="https://drive.google.com/open?id=1F-IPTAkj-EQcqLzqNObho9l6DdrXGI26" TargetMode="External"/><Relationship Id="rId616" Type="http://schemas.openxmlformats.org/officeDocument/2006/relationships/hyperlink" Target="https://drive.google.com/open?id=1XgeKvYKiEQ9qDnQwQNJB1o5QAjTOlzW7" TargetMode="External"/><Relationship Id="rId823" Type="http://schemas.openxmlformats.org/officeDocument/2006/relationships/hyperlink" Target="https://drive.google.com/open?id=12bQT5GdaKFB-d-YNzazPVw_OC6G22VoA" TargetMode="External"/><Relationship Id="rId255" Type="http://schemas.openxmlformats.org/officeDocument/2006/relationships/hyperlink" Target="https://drive.google.com/open?id=1A4vwMFf4UDBqegwxjmFOTtgtUEMIED7K" TargetMode="External"/><Relationship Id="rId462" Type="http://schemas.openxmlformats.org/officeDocument/2006/relationships/hyperlink" Target="https://drive.google.com/open?id=1lwOP_mrSq1s2GMWzTBodQADxIirLGyqH" TargetMode="External"/><Relationship Id="rId1092" Type="http://schemas.openxmlformats.org/officeDocument/2006/relationships/hyperlink" Target="https://drive.google.com/open?id=1SFHiD6k1p8V83gie1_I_5Rttr0zm6YJV" TargetMode="External"/><Relationship Id="rId1106" Type="http://schemas.openxmlformats.org/officeDocument/2006/relationships/hyperlink" Target="https://drive.google.com/open?id=1oTrIrrlXxhzKIAWsj_dQ-vwKh1kOmS15" TargetMode="External"/><Relationship Id="rId115" Type="http://schemas.openxmlformats.org/officeDocument/2006/relationships/hyperlink" Target="https://drive.google.com/open?id=17z34jeAVECVbFQOSdG-NsD2TpB9FFjKF" TargetMode="External"/><Relationship Id="rId322" Type="http://schemas.openxmlformats.org/officeDocument/2006/relationships/hyperlink" Target="https://drive.google.com/open?id=1Yt6qzuVkshC_R2BZuCdMiJUafyPOk7eu" TargetMode="External"/><Relationship Id="rId767" Type="http://schemas.openxmlformats.org/officeDocument/2006/relationships/hyperlink" Target="https://drive.google.com/open?id=1wcVsQEiyd7rurf2oPJIRwoAOldB0ygs_" TargetMode="External"/><Relationship Id="rId974" Type="http://schemas.openxmlformats.org/officeDocument/2006/relationships/hyperlink" Target="https://drive.google.com/open?id=1A9kNyREGH0yLDL85r6IiZiy6P_Sbubx-" TargetMode="External"/><Relationship Id="rId199" Type="http://schemas.openxmlformats.org/officeDocument/2006/relationships/hyperlink" Target="https://drive.google.com/open?id=1MU3m7L2_Y96zIbwGwgqV8rzOMwXVON8Y" TargetMode="External"/><Relationship Id="rId627" Type="http://schemas.openxmlformats.org/officeDocument/2006/relationships/hyperlink" Target="https://drive.google.com/open?id=1Td9BnicvMI19o756U06BofN2KnVzo6iu" TargetMode="External"/><Relationship Id="rId834" Type="http://schemas.openxmlformats.org/officeDocument/2006/relationships/hyperlink" Target="https://drive.google.com/open?id=1lR387YkF6fnLBzIWKfaebgWEK3w2ghTS" TargetMode="External"/><Relationship Id="rId266" Type="http://schemas.openxmlformats.org/officeDocument/2006/relationships/hyperlink" Target="https://drive.google.com/open?id=11QESkSZ2oPwz6LHqkzJPBp4HwtUmiexb" TargetMode="External"/><Relationship Id="rId473" Type="http://schemas.openxmlformats.org/officeDocument/2006/relationships/hyperlink" Target="https://drive.google.com/open?id=1-fSe6ljPODfmDnuw0i9YLGHJuwBMowKW" TargetMode="External"/><Relationship Id="rId680" Type="http://schemas.openxmlformats.org/officeDocument/2006/relationships/hyperlink" Target="https://drive.google.com/open?id=15JSU7_gXUwDI3UfcDMiFHfEe-Au3hckc" TargetMode="External"/><Relationship Id="rId901" Type="http://schemas.openxmlformats.org/officeDocument/2006/relationships/hyperlink" Target="https://drive.google.com/open?id=1SxIaVmyhdUjBST4qniI6KnRhn8v588NV" TargetMode="External"/><Relationship Id="rId1117" Type="http://schemas.openxmlformats.org/officeDocument/2006/relationships/hyperlink" Target="https://drive.google.com/open?id=1TsAgNadcbKVqAUNt7m14Ni_v17J_WkDu" TargetMode="External"/><Relationship Id="rId30" Type="http://schemas.openxmlformats.org/officeDocument/2006/relationships/hyperlink" Target="https://drive.google.com/open?id=1sczyMmMeHwOPJ8jN2_L35fVikL4tz7h3" TargetMode="External"/><Relationship Id="rId126" Type="http://schemas.openxmlformats.org/officeDocument/2006/relationships/hyperlink" Target="https://drive.google.com/open?id=1N2PLUOAqwTUASn7HQFeiVTcl-IyWvKt3" TargetMode="External"/><Relationship Id="rId333" Type="http://schemas.openxmlformats.org/officeDocument/2006/relationships/hyperlink" Target="https://drive.google.com/open?id=1DpLlA7ntdcCv94TurUbt9tzkKJRmtR6W" TargetMode="External"/><Relationship Id="rId540" Type="http://schemas.openxmlformats.org/officeDocument/2006/relationships/hyperlink" Target="https://drive.google.com/open?id=1lIBbvy7zZAFYjIci8_JwV4AJICHWQF25" TargetMode="External"/><Relationship Id="rId778" Type="http://schemas.openxmlformats.org/officeDocument/2006/relationships/hyperlink" Target="https://drive.google.com/open?id=1EdL7O5x6QUNe-ATyS9ongH7RopQmrCyv" TargetMode="External"/><Relationship Id="rId985" Type="http://schemas.openxmlformats.org/officeDocument/2006/relationships/hyperlink" Target="https://drive.google.com/open?id=1bD4ek9wu0pMJwbGQnn-YRLx1uc2D04am" TargetMode="External"/><Relationship Id="rId1170" Type="http://schemas.openxmlformats.org/officeDocument/2006/relationships/hyperlink" Target="https://drive.google.com/open?id=1zC1Sa_9_DWC_zTAgsOY1vjuqBApLqT8O" TargetMode="External"/><Relationship Id="rId638" Type="http://schemas.openxmlformats.org/officeDocument/2006/relationships/hyperlink" Target="https://drive.google.com/open?id=1mavV4_jGLtedbiDa3zq8Rjlnj_S2J7rR" TargetMode="External"/><Relationship Id="rId845" Type="http://schemas.openxmlformats.org/officeDocument/2006/relationships/hyperlink" Target="https://drive.google.com/open?id=1sHGrvmZYCKD_A0mEbqo2f2aUtuFPdfEK" TargetMode="External"/><Relationship Id="rId1030" Type="http://schemas.openxmlformats.org/officeDocument/2006/relationships/hyperlink" Target="https://drive.google.com/open?id=1UHtE9L3YrLcV9AqR3sf3d0emJlUA3O4Y" TargetMode="External"/><Relationship Id="rId277" Type="http://schemas.openxmlformats.org/officeDocument/2006/relationships/hyperlink" Target="https://drive.google.com/open?id=1rNdK3JD14ZVbj-Cz6xqlraQy-WNL2iDC" TargetMode="External"/><Relationship Id="rId400" Type="http://schemas.openxmlformats.org/officeDocument/2006/relationships/hyperlink" Target="https://drive.google.com/open?id=19Ygd-wIugzhfAIcSMQkmmQNQASYxIKzc" TargetMode="External"/><Relationship Id="rId484" Type="http://schemas.openxmlformats.org/officeDocument/2006/relationships/hyperlink" Target="https://drive.google.com/open?id=15AVWGF0I_ywFNXJzkJHYeK3ymkBulseE" TargetMode="External"/><Relationship Id="rId705" Type="http://schemas.openxmlformats.org/officeDocument/2006/relationships/hyperlink" Target="https://drive.google.com/open?id=10n621xD449Ok7cSWktljnab0xwAyUSyN" TargetMode="External"/><Relationship Id="rId1128" Type="http://schemas.openxmlformats.org/officeDocument/2006/relationships/hyperlink" Target="https://drive.google.com/open?id=1tVe8QESnaerkhaiciDn3jwK9u71S_aHS" TargetMode="External"/><Relationship Id="rId137" Type="http://schemas.openxmlformats.org/officeDocument/2006/relationships/hyperlink" Target="https://drive.google.com/open?id=1yc3kvivnJknGCinps6-sFUQl21OMyXNa" TargetMode="External"/><Relationship Id="rId344" Type="http://schemas.openxmlformats.org/officeDocument/2006/relationships/hyperlink" Target="https://drive.google.com/open?id=1tSBKQMPAxGt2jLIhSMRiBOihgV1Ly3Xg" TargetMode="External"/><Relationship Id="rId691" Type="http://schemas.openxmlformats.org/officeDocument/2006/relationships/hyperlink" Target="https://drive.google.com/open?id=1HGDmrV1AyFMNnE8cbbHgBEVW9t4Kfi-_" TargetMode="External"/><Relationship Id="rId789" Type="http://schemas.openxmlformats.org/officeDocument/2006/relationships/hyperlink" Target="https://drive.google.com/open?id=1MZ7599oiRcOQp0CodgVK4pOk5nNN66Rq" TargetMode="External"/><Relationship Id="rId912" Type="http://schemas.openxmlformats.org/officeDocument/2006/relationships/hyperlink" Target="https://drive.google.com/open?id=1dsZPEZH9WYdal32ILRfj8SQCojJAftO3" TargetMode="External"/><Relationship Id="rId996" Type="http://schemas.openxmlformats.org/officeDocument/2006/relationships/hyperlink" Target="https://drive.google.com/open?id=1C31gapDi3mREMuvHmF7S-JSBh7FJSMby" TargetMode="External"/><Relationship Id="rId41" Type="http://schemas.openxmlformats.org/officeDocument/2006/relationships/hyperlink" Target="https://drive.google.com/open?id=1PGJIqK7yu3AXnxS49gVVUCFDMuJIZi5N" TargetMode="External"/><Relationship Id="rId551" Type="http://schemas.openxmlformats.org/officeDocument/2006/relationships/hyperlink" Target="https://drive.google.com/open?id=1VFwLWPENj83jC1zsdzhw3kSg_M2KEelZ" TargetMode="External"/><Relationship Id="rId649" Type="http://schemas.openxmlformats.org/officeDocument/2006/relationships/hyperlink" Target="https://drive.google.com/open?id=15uOIgqJj4AkXCWpZy64A0igbBuIeEZNf" TargetMode="External"/><Relationship Id="rId856" Type="http://schemas.openxmlformats.org/officeDocument/2006/relationships/hyperlink" Target="https://drive.google.com/open?id=1_IoV-73QnfWRVb8GYutYiBFYXyxvOtK0" TargetMode="External"/><Relationship Id="rId1181" Type="http://schemas.openxmlformats.org/officeDocument/2006/relationships/hyperlink" Target="https://drive.google.com/open?id=174tJ5tq4cyP7xemUlsCu1JKJ_D-MsKBM" TargetMode="External"/><Relationship Id="rId190" Type="http://schemas.openxmlformats.org/officeDocument/2006/relationships/hyperlink" Target="https://drive.google.com/open?id=1U5otVB2mBoPSlPqTQ7Eh0FQ0CKXNX1sK" TargetMode="External"/><Relationship Id="rId204" Type="http://schemas.openxmlformats.org/officeDocument/2006/relationships/hyperlink" Target="https://drive.google.com/open?id=14OhxDkwzdczKdzq32dlHyv5DV_936xVx" TargetMode="External"/><Relationship Id="rId288" Type="http://schemas.openxmlformats.org/officeDocument/2006/relationships/hyperlink" Target="https://drive.google.com/open?id=1RHaUSR_HCYP3uKCcZwk84XSraSlvb7nn" TargetMode="External"/><Relationship Id="rId411" Type="http://schemas.openxmlformats.org/officeDocument/2006/relationships/hyperlink" Target="https://drive.google.com/open?id=1BjIQ2aQIx20SKBdgBp63UdsvctVp9qUv" TargetMode="External"/><Relationship Id="rId509" Type="http://schemas.openxmlformats.org/officeDocument/2006/relationships/hyperlink" Target="https://drive.google.com/open?id=1gaU5GJhiohPJ6vwiM1PvUN99B7Bn-94s" TargetMode="External"/><Relationship Id="rId1041" Type="http://schemas.openxmlformats.org/officeDocument/2006/relationships/hyperlink" Target="https://drive.google.com/open?id=1TyjFZJI83bikd70cLtWel_mmy9bd3Q0U" TargetMode="External"/><Relationship Id="rId1139" Type="http://schemas.openxmlformats.org/officeDocument/2006/relationships/hyperlink" Target="https://drive.google.com/open?id=1Un6XQ8Cppy1DRPpuGRSMagfhV79gD54e" TargetMode="External"/><Relationship Id="rId495" Type="http://schemas.openxmlformats.org/officeDocument/2006/relationships/hyperlink" Target="https://drive.google.com/open?id=1Gv4S7HuIAS7YFM08pRlXEbQoAhJabRo3" TargetMode="External"/><Relationship Id="rId716" Type="http://schemas.openxmlformats.org/officeDocument/2006/relationships/hyperlink" Target="https://drive.google.com/open?id=1en9rUWNEajzF9K31b3O2cQCcMrOZrViM" TargetMode="External"/><Relationship Id="rId923" Type="http://schemas.openxmlformats.org/officeDocument/2006/relationships/hyperlink" Target="https://drive.google.com/open?id=189CJYydEQ0cG5YyeMstuIa3mPfye1nWf" TargetMode="External"/><Relationship Id="rId52" Type="http://schemas.openxmlformats.org/officeDocument/2006/relationships/hyperlink" Target="https://drive.google.com/open?id=1HLFTwmtcruBH3iRrMKDLtaLOU2J6N7HW" TargetMode="External"/><Relationship Id="rId148" Type="http://schemas.openxmlformats.org/officeDocument/2006/relationships/hyperlink" Target="https://drive.google.com/open?id=1Me5NZhosRZ3RgEd1GW7z8sgWSxbzJhMd" TargetMode="External"/><Relationship Id="rId355" Type="http://schemas.openxmlformats.org/officeDocument/2006/relationships/hyperlink" Target="https://drive.google.com/open?id=1jmYE8Sp2ntU7UR_ZOWxu7RL1_zROlBP_" TargetMode="External"/><Relationship Id="rId562" Type="http://schemas.openxmlformats.org/officeDocument/2006/relationships/hyperlink" Target="https://drive.google.com/open?id=12cFSDH0GuX9HjaeSIOjZeugd06MdvNM8" TargetMode="External"/><Relationship Id="rId1192" Type="http://schemas.openxmlformats.org/officeDocument/2006/relationships/hyperlink" Target="https://drive.google.com/open?id=1Q-NH1QssT65EtjAUP_RzbvILG0Z75t0x" TargetMode="External"/><Relationship Id="rId1206" Type="http://schemas.openxmlformats.org/officeDocument/2006/relationships/hyperlink" Target="https://drive.google.com/open?id=1JhxdlbeN_CzmXPQ4FMnaBFWCfNBr8yKY" TargetMode="External"/><Relationship Id="rId215" Type="http://schemas.openxmlformats.org/officeDocument/2006/relationships/hyperlink" Target="https://drive.google.com/open?id=1TYkS_Unt3lQ6V_TeuK0q8IKzXAl_0xJ_" TargetMode="External"/><Relationship Id="rId422" Type="http://schemas.openxmlformats.org/officeDocument/2006/relationships/hyperlink" Target="https://drive.google.com/open?id=1rQYle3avXXgsmohbqXQdMo2Tafuw4siy" TargetMode="External"/><Relationship Id="rId867" Type="http://schemas.openxmlformats.org/officeDocument/2006/relationships/hyperlink" Target="https://drive.google.com/open?id=15j5YHsntLpLHRKY-37OhUdxiuoKMh1Ss" TargetMode="External"/><Relationship Id="rId1052" Type="http://schemas.openxmlformats.org/officeDocument/2006/relationships/hyperlink" Target="https://drive.google.com/open?id=1pGaHcLz1Kxp5fyGObznPhe6IFHtFAPRW" TargetMode="External"/><Relationship Id="rId299" Type="http://schemas.openxmlformats.org/officeDocument/2006/relationships/hyperlink" Target="https://drive.google.com/open?id=198Ww9sQDZ48OpszgfAFrx7LZfiDwLUGd" TargetMode="External"/><Relationship Id="rId727" Type="http://schemas.openxmlformats.org/officeDocument/2006/relationships/hyperlink" Target="https://drive.google.com/open?id=1-rZ-ZucoaJauNbvzEgG6VPW2Kj9jqGPf" TargetMode="External"/><Relationship Id="rId934" Type="http://schemas.openxmlformats.org/officeDocument/2006/relationships/hyperlink" Target="https://drive.google.com/open?id=1-XTUy194DxBY5b-PjHMi6UqokmdAY1U-" TargetMode="External"/><Relationship Id="rId63" Type="http://schemas.openxmlformats.org/officeDocument/2006/relationships/hyperlink" Target="https://drive.google.com/open?id=1u6F3Innl9bhfEWtOYnGhCExB3Thy8WCK" TargetMode="External"/><Relationship Id="rId159" Type="http://schemas.openxmlformats.org/officeDocument/2006/relationships/hyperlink" Target="https://drive.google.com/open?id=1MUdAGbJj0eL-ot2y8B1P6yb935lzCsRY" TargetMode="External"/><Relationship Id="rId366" Type="http://schemas.openxmlformats.org/officeDocument/2006/relationships/hyperlink" Target="https://drive.google.com/open?id=15cuhP7X0kFiEFjHfzu6A2QaGrxHJQz5l" TargetMode="External"/><Relationship Id="rId573" Type="http://schemas.openxmlformats.org/officeDocument/2006/relationships/hyperlink" Target="https://drive.google.com/open?id=1kTWt5tWYpqueLEaUuuH9ExeoaKGnw0Tt" TargetMode="External"/><Relationship Id="rId780" Type="http://schemas.openxmlformats.org/officeDocument/2006/relationships/hyperlink" Target="https://drive.google.com/open?id=1lHqUFMySWsmygQf12beuuxJ8xf2C4YBR" TargetMode="External"/><Relationship Id="rId1217" Type="http://schemas.openxmlformats.org/officeDocument/2006/relationships/hyperlink" Target="https://drive.google.com/open?id=1w678uCtOKR05632KVvNB2_H4Jqe-K-UV" TargetMode="External"/><Relationship Id="rId226" Type="http://schemas.openxmlformats.org/officeDocument/2006/relationships/hyperlink" Target="https://drive.google.com/open?id=1RqcfWBXUyx1lC4AJlb36lnDHFMu8xFD5" TargetMode="External"/><Relationship Id="rId433" Type="http://schemas.openxmlformats.org/officeDocument/2006/relationships/hyperlink" Target="https://drive.google.com/open?id=1HBe6sKVWo57SYNJmGwuMlghonFnmX4hz" TargetMode="External"/><Relationship Id="rId878" Type="http://schemas.openxmlformats.org/officeDocument/2006/relationships/hyperlink" Target="https://drive.google.com/open?id=1EtAmndjV1WjWOUs-t-ZpOuOAkpO7dBpv" TargetMode="External"/><Relationship Id="rId1063" Type="http://schemas.openxmlformats.org/officeDocument/2006/relationships/hyperlink" Target="https://drive.google.com/open?id=1jxQfaVckqbQ8duBNCdJY081z2FiHksNA" TargetMode="External"/><Relationship Id="rId640" Type="http://schemas.openxmlformats.org/officeDocument/2006/relationships/hyperlink" Target="https://drive.google.com/open?id=1OldC04FdmM2csIvv1gn5hwt0N5DAv9X4" TargetMode="External"/><Relationship Id="rId738" Type="http://schemas.openxmlformats.org/officeDocument/2006/relationships/hyperlink" Target="https://drive.google.com/open?id=1Z3_SMeMwTiNxSFbWgkjzPf1IBT4LDDxF" TargetMode="External"/><Relationship Id="rId945" Type="http://schemas.openxmlformats.org/officeDocument/2006/relationships/hyperlink" Target="https://drive.google.com/open?id=1rvsvrjz4rQ1H_J6K2g8ZXcfdIVgKmS4i" TargetMode="External"/><Relationship Id="rId74" Type="http://schemas.openxmlformats.org/officeDocument/2006/relationships/hyperlink" Target="https://drive.google.com/open?id=1RztzKC3XVHp6ni2NJIQ7tJ5TkfQHiUgG" TargetMode="External"/><Relationship Id="rId377" Type="http://schemas.openxmlformats.org/officeDocument/2006/relationships/hyperlink" Target="https://drive.google.com/open?id=18cv45otgWX0UzKH6ubkONSU0WTqCL9U_" TargetMode="External"/><Relationship Id="rId500" Type="http://schemas.openxmlformats.org/officeDocument/2006/relationships/hyperlink" Target="https://drive.google.com/open?id=1j90coO--xBBbO1M6WnEQRC7haG5fPAZy" TargetMode="External"/><Relationship Id="rId584" Type="http://schemas.openxmlformats.org/officeDocument/2006/relationships/hyperlink" Target="https://drive.google.com/open?id=15DE4ZDiUrX2Yh0qnS6mae8EIl_6JRhlZ" TargetMode="External"/><Relationship Id="rId805" Type="http://schemas.openxmlformats.org/officeDocument/2006/relationships/hyperlink" Target="https://drive.google.com/open?id=1jeTfvZTpcochE1L1fL9_HGGuhuKD17WL" TargetMode="External"/><Relationship Id="rId1130" Type="http://schemas.openxmlformats.org/officeDocument/2006/relationships/hyperlink" Target="https://drive.google.com/open?id=1qNUYhVZ_irfPnJFIeXXc8j7YLkGsy6wj" TargetMode="External"/><Relationship Id="rId1228" Type="http://schemas.openxmlformats.org/officeDocument/2006/relationships/hyperlink" Target="https://drive.google.com/open?id=15loWZ1w5QDUb7jl_6PuxvinuFFhukCE0" TargetMode="External"/><Relationship Id="rId5" Type="http://schemas.openxmlformats.org/officeDocument/2006/relationships/hyperlink" Target="https://drive.google.com/open?id=1rTYXk6FN2wGnozy0PX_ciHE9ImO4l1oZ" TargetMode="External"/><Relationship Id="rId237" Type="http://schemas.openxmlformats.org/officeDocument/2006/relationships/hyperlink" Target="https://drive.google.com/open?id=1nfEdEuIo-1J_YPWH8ZlJfFaGRfruysd5" TargetMode="External"/><Relationship Id="rId791" Type="http://schemas.openxmlformats.org/officeDocument/2006/relationships/hyperlink" Target="https://drive.google.com/open?id=12YkIHmUUVzHgiAy9PugTOerJQrFRbxL2" TargetMode="External"/><Relationship Id="rId889" Type="http://schemas.openxmlformats.org/officeDocument/2006/relationships/hyperlink" Target="https://drive.google.com/open?id=1KGsHSZKpHTiu08VMb-g6JPf8hNEkW2gm" TargetMode="External"/><Relationship Id="rId1074" Type="http://schemas.openxmlformats.org/officeDocument/2006/relationships/hyperlink" Target="https://drive.google.com/open?id=1oGYc2PaVK21rFSSwXf5B-MqsEFfnW4_w" TargetMode="External"/><Relationship Id="rId444" Type="http://schemas.openxmlformats.org/officeDocument/2006/relationships/hyperlink" Target="https://drive.google.com/open?id=1qGk98rQ3khmqNE_adec0gpK31tPJt8kL" TargetMode="External"/><Relationship Id="rId651" Type="http://schemas.openxmlformats.org/officeDocument/2006/relationships/hyperlink" Target="https://drive.google.com/open?id=1UpXYj3H39zDtCwq-P6wIyVFpU2fPcQo2" TargetMode="External"/><Relationship Id="rId749" Type="http://schemas.openxmlformats.org/officeDocument/2006/relationships/hyperlink" Target="https://drive.google.com/open?id=1dO2i7Gzh4USYouY8NLV1TOWk2VZsontY" TargetMode="External"/><Relationship Id="rId290" Type="http://schemas.openxmlformats.org/officeDocument/2006/relationships/hyperlink" Target="https://drive.google.com/open?id=1endl0Go8GLff76ocHMajRIh977yStX0r" TargetMode="External"/><Relationship Id="rId304" Type="http://schemas.openxmlformats.org/officeDocument/2006/relationships/hyperlink" Target="https://drive.google.com/open?id=1hldMmJfcxpGlXTxLGRQEqbAR3zTAGcsT" TargetMode="External"/><Relationship Id="rId388" Type="http://schemas.openxmlformats.org/officeDocument/2006/relationships/hyperlink" Target="https://drive.google.com/open?id=1uW2jHkRMavj2CNm9ayc1VOAhCNsEfw_T" TargetMode="External"/><Relationship Id="rId511" Type="http://schemas.openxmlformats.org/officeDocument/2006/relationships/hyperlink" Target="https://drive.google.com/open?id=1TuU7-9V8ZnXcYqlKxMJMTa61STtcMv_T" TargetMode="External"/><Relationship Id="rId609" Type="http://schemas.openxmlformats.org/officeDocument/2006/relationships/hyperlink" Target="https://drive.google.com/open?id=1lpz0HdRvb8NV3OCSIrNZurGjEFagzL52" TargetMode="External"/><Relationship Id="rId956" Type="http://schemas.openxmlformats.org/officeDocument/2006/relationships/hyperlink" Target="https://drive.google.com/open?id=1ZJYTFBCGW3t4bgiM3jeGlYEV6OnqLJkh" TargetMode="External"/><Relationship Id="rId1141" Type="http://schemas.openxmlformats.org/officeDocument/2006/relationships/hyperlink" Target="https://drive.google.com/open?id=1HR8eCsbbp_GSVxiKq3OtvPxTlOy25POQ" TargetMode="External"/><Relationship Id="rId1239" Type="http://schemas.openxmlformats.org/officeDocument/2006/relationships/hyperlink" Target="https://drive.google.com/open?id=1f202ntPvH433SURMYvOYKlL00KuQ9R7i" TargetMode="External"/><Relationship Id="rId85" Type="http://schemas.openxmlformats.org/officeDocument/2006/relationships/hyperlink" Target="https://drive.google.com/open?id=18YHN2Kje9lWjvtacqHSQtnuOX3YvyqAk" TargetMode="External"/><Relationship Id="rId150" Type="http://schemas.openxmlformats.org/officeDocument/2006/relationships/hyperlink" Target="https://drive.google.com/open?id=1mb29uPVkM8z7pc79EkFjuRJYk7x_NsH1" TargetMode="External"/><Relationship Id="rId595" Type="http://schemas.openxmlformats.org/officeDocument/2006/relationships/hyperlink" Target="https://drive.google.com/open?id=18c7u_or8pO5n6YHqBse2nhgqnbkgaIq0" TargetMode="External"/><Relationship Id="rId816" Type="http://schemas.openxmlformats.org/officeDocument/2006/relationships/hyperlink" Target="https://drive.google.com/open?id=1MzERKqWe1IYoortKzeCk1OcCN2QV9oaN" TargetMode="External"/><Relationship Id="rId1001" Type="http://schemas.openxmlformats.org/officeDocument/2006/relationships/hyperlink" Target="https://drive.google.com/open?id=1EbA-MSLsMnBHdQmrX3OV8YTaupwNCiqt" TargetMode="External"/><Relationship Id="rId248" Type="http://schemas.openxmlformats.org/officeDocument/2006/relationships/hyperlink" Target="https://drive.google.com/open?id=1YqsTF8w74O73eFzfOI6wrbdJUsLUQCo7" TargetMode="External"/><Relationship Id="rId455" Type="http://schemas.openxmlformats.org/officeDocument/2006/relationships/hyperlink" Target="https://drive.google.com/open?id=1VPP7NhXpD7CXszUkbpX5i9_i9-BMqPVG" TargetMode="External"/><Relationship Id="rId662" Type="http://schemas.openxmlformats.org/officeDocument/2006/relationships/hyperlink" Target="https://drive.google.com/open?id=1WprlA3D4DVaEobp5_odpxKOW8PDyxTTA" TargetMode="External"/><Relationship Id="rId1085" Type="http://schemas.openxmlformats.org/officeDocument/2006/relationships/hyperlink" Target="https://drive.google.com/open?id=1PadDntGr5MMnyDzYceXm-yq3ODCxHio8" TargetMode="External"/><Relationship Id="rId12" Type="http://schemas.openxmlformats.org/officeDocument/2006/relationships/hyperlink" Target="https://drive.google.com/open?id=1J4xtBy9QNVmPhDRPx7qpwctHocEbS20u" TargetMode="External"/><Relationship Id="rId108" Type="http://schemas.openxmlformats.org/officeDocument/2006/relationships/hyperlink" Target="https://drive.google.com/open?id=1w06LZH69tHjHd4A2EsDVSEBkdDGTvnZX" TargetMode="External"/><Relationship Id="rId315" Type="http://schemas.openxmlformats.org/officeDocument/2006/relationships/hyperlink" Target="https://drive.google.com/open?id=1EftjmL-NDQGwumacrrLxLX-dheGvSItW" TargetMode="External"/><Relationship Id="rId522" Type="http://schemas.openxmlformats.org/officeDocument/2006/relationships/hyperlink" Target="https://drive.google.com/open?id=1tk3deYnlBT_HQvyVtnWPQhx0VnzLw-kW" TargetMode="External"/><Relationship Id="rId967" Type="http://schemas.openxmlformats.org/officeDocument/2006/relationships/hyperlink" Target="https://drive.google.com/open?id=1-Y8fyHnsya9feSkMV6BdV5LDkOsknqLl" TargetMode="External"/><Relationship Id="rId1152" Type="http://schemas.openxmlformats.org/officeDocument/2006/relationships/hyperlink" Target="https://drive.google.com/open?id=12sxI1VjqxG81GPiEF1C34fFub3sWwJ_H" TargetMode="External"/><Relationship Id="rId96" Type="http://schemas.openxmlformats.org/officeDocument/2006/relationships/hyperlink" Target="https://drive.google.com/open?id=1r89smRNRe2Rn15C7UJrgl5CXl_epPLLl" TargetMode="External"/><Relationship Id="rId161" Type="http://schemas.openxmlformats.org/officeDocument/2006/relationships/hyperlink" Target="https://drive.google.com/open?id=1REuiEnhOT1X4epKiIThcTVouITmneatn" TargetMode="External"/><Relationship Id="rId399" Type="http://schemas.openxmlformats.org/officeDocument/2006/relationships/hyperlink" Target="https://drive.google.com/open?id=1b6wAb3ttgtJQQNJuhGHJB_5qG8r9AqtX" TargetMode="External"/><Relationship Id="rId827" Type="http://schemas.openxmlformats.org/officeDocument/2006/relationships/hyperlink" Target="https://drive.google.com/open?id=1LSivDPmyb79hxjH2u1KNveOlWZqUi0T3" TargetMode="External"/><Relationship Id="rId1012" Type="http://schemas.openxmlformats.org/officeDocument/2006/relationships/hyperlink" Target="https://drive.google.com/open?id=19TnCg5NhYhWP5_nXkdpTDdUTsekbN1Jn" TargetMode="External"/><Relationship Id="rId259" Type="http://schemas.openxmlformats.org/officeDocument/2006/relationships/hyperlink" Target="https://drive.google.com/open?id=1yjJvnvUc78d5Pt5RpP3M8Iu1-gos7ajl" TargetMode="External"/><Relationship Id="rId466" Type="http://schemas.openxmlformats.org/officeDocument/2006/relationships/hyperlink" Target="https://drive.google.com/open?id=1caUCkfIJd3-NASLYcHL9fPJ0jlYXowWd" TargetMode="External"/><Relationship Id="rId673" Type="http://schemas.openxmlformats.org/officeDocument/2006/relationships/hyperlink" Target="https://drive.google.com/open?id=1dNo8f5Zadck6_MwFrvpgfTkyvXw3CIQV" TargetMode="External"/><Relationship Id="rId880" Type="http://schemas.openxmlformats.org/officeDocument/2006/relationships/hyperlink" Target="https://drive.google.com/open?id=1R-pepwMat5iTbdsvumkUoUzwDfySG4h7" TargetMode="External"/><Relationship Id="rId1096" Type="http://schemas.openxmlformats.org/officeDocument/2006/relationships/hyperlink" Target="https://drive.google.com/open?id=1wJ7Ftasu2Qg557C3ps2nFDM-7sB7DE75" TargetMode="External"/><Relationship Id="rId23" Type="http://schemas.openxmlformats.org/officeDocument/2006/relationships/hyperlink" Target="https://drive.google.com/open?id=1aPd9e0ckgGvh8QsqgjQaE0jQXdn4c-pO" TargetMode="External"/><Relationship Id="rId119" Type="http://schemas.openxmlformats.org/officeDocument/2006/relationships/hyperlink" Target="https://drive.google.com/open?id=1TT9QO8w34onEB83MthPtsxWRvVjBjS24" TargetMode="External"/><Relationship Id="rId326" Type="http://schemas.openxmlformats.org/officeDocument/2006/relationships/hyperlink" Target="https://drive.google.com/open?id=1cRP1eJaxpoDcx0wnmMJxLIlCRHkje5Vo" TargetMode="External"/><Relationship Id="rId533" Type="http://schemas.openxmlformats.org/officeDocument/2006/relationships/hyperlink" Target="https://drive.google.com/open?id=1POTSd8KRPk892pkuttvy3UVpfAtFlAwf" TargetMode="External"/><Relationship Id="rId978" Type="http://schemas.openxmlformats.org/officeDocument/2006/relationships/hyperlink" Target="https://drive.google.com/open?id=1NtoST6K9oQC4Gq-lC3cZ6taV6qq2YKY3" TargetMode="External"/><Relationship Id="rId1163" Type="http://schemas.openxmlformats.org/officeDocument/2006/relationships/hyperlink" Target="https://drive.google.com/open?id=1poHYfELC3W0XUl9zadA6MMubLtEUc2XR" TargetMode="External"/><Relationship Id="rId740" Type="http://schemas.openxmlformats.org/officeDocument/2006/relationships/hyperlink" Target="https://drive.google.com/open?id=1Zmv0pbvytBv__aLOHzeoDpxFwoaE6qxZ" TargetMode="External"/><Relationship Id="rId838" Type="http://schemas.openxmlformats.org/officeDocument/2006/relationships/hyperlink" Target="https://drive.google.com/open?id=1RlzlSeeegp0PFy44hF5QSTC7kTvGkrsG" TargetMode="External"/><Relationship Id="rId1023" Type="http://schemas.openxmlformats.org/officeDocument/2006/relationships/hyperlink" Target="https://drive.google.com/open?id=1AOFYt3PjNrxAMvTZVZHq5mCdPEubmveP" TargetMode="External"/><Relationship Id="rId172" Type="http://schemas.openxmlformats.org/officeDocument/2006/relationships/hyperlink" Target="https://drive.google.com/open?id=13r7KE_9q7sCJsQRGbpeaCIC38amg4R_D" TargetMode="External"/><Relationship Id="rId477" Type="http://schemas.openxmlformats.org/officeDocument/2006/relationships/hyperlink" Target="https://drive.google.com/open?id=1O2QGou6feFBaLvpDL53oCTcf3hIx0BK9" TargetMode="External"/><Relationship Id="rId600" Type="http://schemas.openxmlformats.org/officeDocument/2006/relationships/hyperlink" Target="https://drive.google.com/open?id=1BGcY_84iIfOD-LDrayg9hlSzUAZQPejs" TargetMode="External"/><Relationship Id="rId684" Type="http://schemas.openxmlformats.org/officeDocument/2006/relationships/hyperlink" Target="https://drive.google.com/open?id=1lJgc4LjyprNiZs_hL4hJzRb1CzKj9W3p" TargetMode="External"/><Relationship Id="rId1230" Type="http://schemas.openxmlformats.org/officeDocument/2006/relationships/hyperlink" Target="https://drive.google.com/open?id=1blgd6IDnZWPYStIFWggScqNyAVABERcU" TargetMode="External"/><Relationship Id="rId337" Type="http://schemas.openxmlformats.org/officeDocument/2006/relationships/hyperlink" Target="https://drive.google.com/open?id=1rCaXrFMUF0cCSLI0u_2dWD5Dsb76P0vE" TargetMode="External"/><Relationship Id="rId891" Type="http://schemas.openxmlformats.org/officeDocument/2006/relationships/hyperlink" Target="https://drive.google.com/open?id=1Gi2uUwvXsHfFX-5rE39s93fzMh7Vdsbq" TargetMode="External"/><Relationship Id="rId905" Type="http://schemas.openxmlformats.org/officeDocument/2006/relationships/hyperlink" Target="https://drive.google.com/open?id=1iV27U2qYHehYcC0Wa0DbKWE5WTU7pgUU" TargetMode="External"/><Relationship Id="rId989" Type="http://schemas.openxmlformats.org/officeDocument/2006/relationships/hyperlink" Target="https://drive.google.com/open?id=1CcV2zqaSslV2KLQzb2ERu-Cnx5wkP-XO" TargetMode="External"/><Relationship Id="rId34" Type="http://schemas.openxmlformats.org/officeDocument/2006/relationships/hyperlink" Target="https://drive.google.com/open?id=1bxf5upHbPfSkvvjoGvnjoAojLHHuWakh" TargetMode="External"/><Relationship Id="rId544" Type="http://schemas.openxmlformats.org/officeDocument/2006/relationships/hyperlink" Target="https://drive.google.com/open?id=1cOInpL22aN1zqpejWt5Rz5RJmWVP8b9A" TargetMode="External"/><Relationship Id="rId751" Type="http://schemas.openxmlformats.org/officeDocument/2006/relationships/hyperlink" Target="https://drive.google.com/open?id=1lAqxiTxZnttf6Vw4ApjR5Ws5AqpgmWMx" TargetMode="External"/><Relationship Id="rId849" Type="http://schemas.openxmlformats.org/officeDocument/2006/relationships/hyperlink" Target="https://drive.google.com/open?id=13UXpA7uei85RKAa02A2ohCYOkYPYbRnL" TargetMode="External"/><Relationship Id="rId1174" Type="http://schemas.openxmlformats.org/officeDocument/2006/relationships/hyperlink" Target="https://drive.google.com/open?id=1uQg1Jf4XngyRRntyURSuTXTR0184uOov" TargetMode="External"/><Relationship Id="rId183" Type="http://schemas.openxmlformats.org/officeDocument/2006/relationships/hyperlink" Target="https://drive.google.com/open?id=1FipNb5z-IYtX_ZezzBwwqOCYhD1eoa7m" TargetMode="External"/><Relationship Id="rId390" Type="http://schemas.openxmlformats.org/officeDocument/2006/relationships/hyperlink" Target="https://drive.google.com/open?id=1nIWx94UqSY_6cwwhyu4Gj5EdBs-dNW_I" TargetMode="External"/><Relationship Id="rId404" Type="http://schemas.openxmlformats.org/officeDocument/2006/relationships/hyperlink" Target="https://drive.google.com/open?id=1Cq_mNciRZNSPjHd_RAWJs-GgfyfXoJK9" TargetMode="External"/><Relationship Id="rId611" Type="http://schemas.openxmlformats.org/officeDocument/2006/relationships/hyperlink" Target="https://drive.google.com/open?id=1sl_yva5_KwOuMYsJX1ARYwDzq4rlovLE" TargetMode="External"/><Relationship Id="rId1034" Type="http://schemas.openxmlformats.org/officeDocument/2006/relationships/hyperlink" Target="https://drive.google.com/open?id=19Z1qKr8byoYCqKrUUuMaaD8yuC6Gudgo" TargetMode="External"/><Relationship Id="rId1241" Type="http://schemas.openxmlformats.org/officeDocument/2006/relationships/hyperlink" Target="https://drive.google.com/open?id=12MgEJqBfkZsiMk1TTvumE7mGQmoO6h20" TargetMode="External"/><Relationship Id="rId250" Type="http://schemas.openxmlformats.org/officeDocument/2006/relationships/hyperlink" Target="https://drive.google.com/open?id=1kFHwKnkMGxn5XzdsnSrCvCBM_ig5ivl2" TargetMode="External"/><Relationship Id="rId488" Type="http://schemas.openxmlformats.org/officeDocument/2006/relationships/hyperlink" Target="https://drive.google.com/open?id=1ZNE3Q8QO5Lt80cjNExoNwJTK7kHSTPQK" TargetMode="External"/><Relationship Id="rId695" Type="http://schemas.openxmlformats.org/officeDocument/2006/relationships/hyperlink" Target="https://drive.google.com/open?id=1YZ9d8dmUneaIveL7s8HWAblHcmZ1DNvu" TargetMode="External"/><Relationship Id="rId709" Type="http://schemas.openxmlformats.org/officeDocument/2006/relationships/hyperlink" Target="https://drive.google.com/open?id=13RRQ_K4pKqYHGkFsugkJ8erTCg31tNCr" TargetMode="External"/><Relationship Id="rId916" Type="http://schemas.openxmlformats.org/officeDocument/2006/relationships/hyperlink" Target="https://drive.google.com/open?id=14rfOvwfjx6iyueMtO6b21-iMKF3UqImK" TargetMode="External"/><Relationship Id="rId1101" Type="http://schemas.openxmlformats.org/officeDocument/2006/relationships/hyperlink" Target="https://drive.google.com/open?id=1Nsii2JF5UzeKAC-G9mdftEiEP0FMx-BU" TargetMode="External"/><Relationship Id="rId45" Type="http://schemas.openxmlformats.org/officeDocument/2006/relationships/hyperlink" Target="https://drive.google.com/open?id=1jptUsxqwS_H3ny2LKQmNPK_orRsn5J_Z" TargetMode="External"/><Relationship Id="rId110" Type="http://schemas.openxmlformats.org/officeDocument/2006/relationships/hyperlink" Target="https://drive.google.com/open?id=1xL24tgZlAXK2i5QAfT9w0vnUOFE3JuQb" TargetMode="External"/><Relationship Id="rId348" Type="http://schemas.openxmlformats.org/officeDocument/2006/relationships/hyperlink" Target="https://drive.google.com/open?id=1V_zp4exDbaylBSD8HZfPMfGkNUYisvQm" TargetMode="External"/><Relationship Id="rId555" Type="http://schemas.openxmlformats.org/officeDocument/2006/relationships/hyperlink" Target="https://drive.google.com/open?id=1Eh72Ph2M1E1oyxl12YcWeHNOexQk04dD" TargetMode="External"/><Relationship Id="rId762" Type="http://schemas.openxmlformats.org/officeDocument/2006/relationships/hyperlink" Target="https://drive.google.com/open?id=12q54KmRdMvgyZlwzDYcPERqgJntostqL" TargetMode="External"/><Relationship Id="rId1185" Type="http://schemas.openxmlformats.org/officeDocument/2006/relationships/hyperlink" Target="https://drive.google.com/open?id=1w2bV406fMqwcwzYeOJ41tdFpfTxnyAIq" TargetMode="External"/><Relationship Id="rId194" Type="http://schemas.openxmlformats.org/officeDocument/2006/relationships/hyperlink" Target="https://drive.google.com/open?id=1kRxD1s1CsvTZk9m3bLSApfdAuMlSpYEB" TargetMode="External"/><Relationship Id="rId208" Type="http://schemas.openxmlformats.org/officeDocument/2006/relationships/hyperlink" Target="https://drive.google.com/open?id=1lWdhnmAWPngdLwgTOIV1Yx-0PGI3WZpq" TargetMode="External"/><Relationship Id="rId415" Type="http://schemas.openxmlformats.org/officeDocument/2006/relationships/hyperlink" Target="https://drive.google.com/open?id=1d4e1w1Wnde-C0nw6TxMZXsDy9v9JuifF" TargetMode="External"/><Relationship Id="rId622" Type="http://schemas.openxmlformats.org/officeDocument/2006/relationships/hyperlink" Target="https://drive.google.com/open?id=1uGaZIX-WB7wzcelM4yG10IsvhPfE0qFw" TargetMode="External"/><Relationship Id="rId1045" Type="http://schemas.openxmlformats.org/officeDocument/2006/relationships/hyperlink" Target="https://drive.google.com/open?id=1osy5mDvNNPUH-Zl1be8B9-yinAWRbPJv" TargetMode="External"/><Relationship Id="rId1252" Type="http://schemas.openxmlformats.org/officeDocument/2006/relationships/hyperlink" Target="https://drive.google.com/open?id=1nBsui_KWUPMC8paQbAyyi3Vfhf23X9Hr" TargetMode="External"/><Relationship Id="rId261" Type="http://schemas.openxmlformats.org/officeDocument/2006/relationships/hyperlink" Target="https://drive.google.com/open?id=19TScq8g8NJTc_wz4Q40ddBOVcNZr2lIg" TargetMode="External"/><Relationship Id="rId499" Type="http://schemas.openxmlformats.org/officeDocument/2006/relationships/hyperlink" Target="https://drive.google.com/open?id=1zxtJnmXIZDDwwI-6dKayZl89lfv7I6p4" TargetMode="External"/><Relationship Id="rId927" Type="http://schemas.openxmlformats.org/officeDocument/2006/relationships/hyperlink" Target="https://drive.google.com/open?id=1u_Y61HKiFIFxBoTp3KxWmkF3T5WpVdB7" TargetMode="External"/><Relationship Id="rId1112" Type="http://schemas.openxmlformats.org/officeDocument/2006/relationships/hyperlink" Target="https://drive.google.com/open?id=1REqzhMvLIPVfGzDeN6x93pquLeo5ZmXK" TargetMode="External"/><Relationship Id="rId56" Type="http://schemas.openxmlformats.org/officeDocument/2006/relationships/hyperlink" Target="https://drive.google.com/open?id=15yxuj6DmjVeUW2NlcEdQdmvdLScRC7lz" TargetMode="External"/><Relationship Id="rId359" Type="http://schemas.openxmlformats.org/officeDocument/2006/relationships/hyperlink" Target="https://drive.google.com/open?id=11L4fW4WtnDIuCshuoUdjXqKbIGEXW13h" TargetMode="External"/><Relationship Id="rId566" Type="http://schemas.openxmlformats.org/officeDocument/2006/relationships/hyperlink" Target="https://drive.google.com/open?id=1tzdiUNyM9R5UmezcOyUZWyhMOJ1OXSZf" TargetMode="External"/><Relationship Id="rId773" Type="http://schemas.openxmlformats.org/officeDocument/2006/relationships/hyperlink" Target="https://drive.google.com/open?id=1R74G10pdfWp_jJcYHVzE3rUywN8dEoDH" TargetMode="External"/><Relationship Id="rId1196" Type="http://schemas.openxmlformats.org/officeDocument/2006/relationships/hyperlink" Target="https://drive.google.com/open?id=1PWMc8zXVtayzMO2c9wE_F1r4_UrnVfNm" TargetMode="External"/><Relationship Id="rId121" Type="http://schemas.openxmlformats.org/officeDocument/2006/relationships/hyperlink" Target="https://drive.google.com/open?id=1CbOS7Ih15N12l7aQQr6LRg19SG4ELvJs" TargetMode="External"/><Relationship Id="rId219" Type="http://schemas.openxmlformats.org/officeDocument/2006/relationships/hyperlink" Target="https://drive.google.com/open?id=1HA7NGCMt3pcS2y_zLsH0OdccrPcCBKvi" TargetMode="External"/><Relationship Id="rId426" Type="http://schemas.openxmlformats.org/officeDocument/2006/relationships/hyperlink" Target="https://drive.google.com/open?id=1GCzdV9VoSgQuVtz80IXTmJgiOSezGoF0" TargetMode="External"/><Relationship Id="rId633" Type="http://schemas.openxmlformats.org/officeDocument/2006/relationships/hyperlink" Target="https://drive.google.com/open?id=1OEpYckDJnZy6-xFaEjecrWYk0rZZr-F5" TargetMode="External"/><Relationship Id="rId980" Type="http://schemas.openxmlformats.org/officeDocument/2006/relationships/hyperlink" Target="https://drive.google.com/open?id=1yJA-6axgvCBgcGCVhqRZMQCfZNVEc6yw" TargetMode="External"/><Relationship Id="rId1056" Type="http://schemas.openxmlformats.org/officeDocument/2006/relationships/hyperlink" Target="https://drive.google.com/open?id=1L0p7B67yU1PP6vD2NYq0IhSMLynZH9nx" TargetMode="External"/><Relationship Id="rId840" Type="http://schemas.openxmlformats.org/officeDocument/2006/relationships/hyperlink" Target="https://drive.google.com/open?id=1F-jRjtqt-14dhtWiA78S3WjXKNdQ6pC1" TargetMode="External"/><Relationship Id="rId938" Type="http://schemas.openxmlformats.org/officeDocument/2006/relationships/hyperlink" Target="https://drive.google.com/open?id=18OUuh8W17eiJRaXCmeigZ_jzxoFxecdD" TargetMode="External"/><Relationship Id="rId67" Type="http://schemas.openxmlformats.org/officeDocument/2006/relationships/hyperlink" Target="https://drive.google.com/open?id=19xYL4zlbzid-cjl0Vi42MeGq0P1X6jAa" TargetMode="External"/><Relationship Id="rId272" Type="http://schemas.openxmlformats.org/officeDocument/2006/relationships/hyperlink" Target="https://drive.google.com/open?id=1JgmmbGv-SzxNFC9ZEWoRdTt6GKmuQQkN" TargetMode="External"/><Relationship Id="rId577" Type="http://schemas.openxmlformats.org/officeDocument/2006/relationships/hyperlink" Target="https://drive.google.com/open?id=12IcXMaMTsWSKeN5AsZz26ePXIPq5MNcU" TargetMode="External"/><Relationship Id="rId700" Type="http://schemas.openxmlformats.org/officeDocument/2006/relationships/hyperlink" Target="https://drive.google.com/open?id=10nwYLPEiRB7_yVriq85Oms19R88wtbee" TargetMode="External"/><Relationship Id="rId1123" Type="http://schemas.openxmlformats.org/officeDocument/2006/relationships/hyperlink" Target="https://drive.google.com/open?id=1VWKirHGFnAXdCEMoZypB7WY13ea3v_e7" TargetMode="External"/><Relationship Id="rId132" Type="http://schemas.openxmlformats.org/officeDocument/2006/relationships/hyperlink" Target="https://drive.google.com/open?id=1umz86pzePrjwMfVkCPRuhG83YEhtOH0R" TargetMode="External"/><Relationship Id="rId784" Type="http://schemas.openxmlformats.org/officeDocument/2006/relationships/hyperlink" Target="https://drive.google.com/open?id=1CArhjwikSxNzUmYPxhfWkJmwPB74suv5" TargetMode="External"/><Relationship Id="rId991" Type="http://schemas.openxmlformats.org/officeDocument/2006/relationships/hyperlink" Target="https://drive.google.com/open?id=1pc3yndPrieWypbnTbdTPXjolTlDePE5Y" TargetMode="External"/><Relationship Id="rId1067" Type="http://schemas.openxmlformats.org/officeDocument/2006/relationships/hyperlink" Target="https://drive.google.com/open?id=1wdzp5NDpcMmEBYE5Rtr8Mrxt0Av7mudh" TargetMode="External"/><Relationship Id="rId437" Type="http://schemas.openxmlformats.org/officeDocument/2006/relationships/hyperlink" Target="https://drive.google.com/open?id=1GbQkuj5jqUOmK-HROkbFAqzCQy78qV0k" TargetMode="External"/><Relationship Id="rId644" Type="http://schemas.openxmlformats.org/officeDocument/2006/relationships/hyperlink" Target="https://drive.google.com/open?id=1k3VHvLUuHzO55cmt1ogWMSYWU_5RRv-y" TargetMode="External"/><Relationship Id="rId851" Type="http://schemas.openxmlformats.org/officeDocument/2006/relationships/hyperlink" Target="https://drive.google.com/open?id=1XFqim3m0qP9TJD2Px57RBP8LhM0bGf0n" TargetMode="External"/><Relationship Id="rId283" Type="http://schemas.openxmlformats.org/officeDocument/2006/relationships/hyperlink" Target="https://drive.google.com/open?id=1QiqIzKXdWMz-o--GY772FmJfFOHIH0Y1" TargetMode="External"/><Relationship Id="rId490" Type="http://schemas.openxmlformats.org/officeDocument/2006/relationships/hyperlink" Target="https://drive.google.com/open?id=1w5NbhxQ4Y6HEr6t2h2MX4UMNz_bSmaVN" TargetMode="External"/><Relationship Id="rId504" Type="http://schemas.openxmlformats.org/officeDocument/2006/relationships/hyperlink" Target="https://drive.google.com/open?id=1a-F88-3rhsEyyPjZ5Cdn0p-ae2jxJzk3" TargetMode="External"/><Relationship Id="rId711" Type="http://schemas.openxmlformats.org/officeDocument/2006/relationships/hyperlink" Target="https://drive.google.com/open?id=157_Y08Hdz55wharfDTZl1to79nxToU9Z" TargetMode="External"/><Relationship Id="rId949" Type="http://schemas.openxmlformats.org/officeDocument/2006/relationships/hyperlink" Target="https://drive.google.com/open?id=1MxCLV-laGVGrlYPpDt7fCEJZVeJC0LwU" TargetMode="External"/><Relationship Id="rId1134" Type="http://schemas.openxmlformats.org/officeDocument/2006/relationships/hyperlink" Target="https://drive.google.com/open?id=1M58mCmlRgnBVoZOYxnWJk0Dy8nU4MKIO" TargetMode="External"/><Relationship Id="rId78" Type="http://schemas.openxmlformats.org/officeDocument/2006/relationships/hyperlink" Target="https://drive.google.com/open?id=13GY-y9dNREtqCE1bboJBQYS8zrVH8yOJ" TargetMode="External"/><Relationship Id="rId143" Type="http://schemas.openxmlformats.org/officeDocument/2006/relationships/hyperlink" Target="https://drive.google.com/open?id=10mMJ_o8SFpWVUhVYECxL3FV7k7s68tIQ" TargetMode="External"/><Relationship Id="rId350" Type="http://schemas.openxmlformats.org/officeDocument/2006/relationships/hyperlink" Target="https://drive.google.com/open?id=1GHkdn3sqgcwT1dyaKtr2HHdGYl5sGDfg" TargetMode="External"/><Relationship Id="rId588" Type="http://schemas.openxmlformats.org/officeDocument/2006/relationships/hyperlink" Target="https://drive.google.com/open?id=15XhpoL6FG4YGwaGAz25RtvyoaYiLnysp" TargetMode="External"/><Relationship Id="rId795" Type="http://schemas.openxmlformats.org/officeDocument/2006/relationships/hyperlink" Target="https://drive.google.com/open?id=1sk7OgVq4ymbQ9EhLypZq2dHWMhaKwJ5H" TargetMode="External"/><Relationship Id="rId809" Type="http://schemas.openxmlformats.org/officeDocument/2006/relationships/hyperlink" Target="https://drive.google.com/open?id=1xTuwnXyvMnPn37oUYOh-Jr8E-z6A0Elh" TargetMode="External"/><Relationship Id="rId1201" Type="http://schemas.openxmlformats.org/officeDocument/2006/relationships/hyperlink" Target="https://drive.google.com/open?id=1JjgXaN9TNlzrcDVCl7QjPQBhYsOK68qR" TargetMode="External"/><Relationship Id="rId9" Type="http://schemas.openxmlformats.org/officeDocument/2006/relationships/hyperlink" Target="https://drive.google.com/open?id=1UOQGB8o8XQtMOSGAtLHLXue5fXMF813M" TargetMode="External"/><Relationship Id="rId210" Type="http://schemas.openxmlformats.org/officeDocument/2006/relationships/hyperlink" Target="https://drive.google.com/open?id=130tVetMfKdHLcfMeMUIkEsc2grAXxOvL" TargetMode="External"/><Relationship Id="rId448" Type="http://schemas.openxmlformats.org/officeDocument/2006/relationships/hyperlink" Target="https://drive.google.com/open?id=1KYC_-GVYf9AY--ccGxP5fJPNcyL1d49P" TargetMode="External"/><Relationship Id="rId655" Type="http://schemas.openxmlformats.org/officeDocument/2006/relationships/hyperlink" Target="https://drive.google.com/open?id=1LrKKuKXl-4OtdYaopu_RkAtzSHv5z7XW" TargetMode="External"/><Relationship Id="rId862" Type="http://schemas.openxmlformats.org/officeDocument/2006/relationships/hyperlink" Target="https://drive.google.com/open?id=1LKiKy3L9iNSu11AfG5O-JCrp60OxJNRq" TargetMode="External"/><Relationship Id="rId1078" Type="http://schemas.openxmlformats.org/officeDocument/2006/relationships/hyperlink" Target="https://drive.google.com/open?id=1kAUIAAUHb5Iq9InMwlIReGXPfh1fOov-" TargetMode="External"/><Relationship Id="rId294" Type="http://schemas.openxmlformats.org/officeDocument/2006/relationships/hyperlink" Target="https://drive.google.com/open?id=1aTqDLKycDtyWjzTzPNezFraPa6hiTjXh" TargetMode="External"/><Relationship Id="rId308" Type="http://schemas.openxmlformats.org/officeDocument/2006/relationships/hyperlink" Target="https://drive.google.com/open?id=11CYBTNHqcco5U-6f9ryLtYN3qVjNRIDo" TargetMode="External"/><Relationship Id="rId515" Type="http://schemas.openxmlformats.org/officeDocument/2006/relationships/hyperlink" Target="https://drive.google.com/open?id=1BIXksgy_Q9vgje3vPnDJv-qGyxAZR6Xd" TargetMode="External"/><Relationship Id="rId722" Type="http://schemas.openxmlformats.org/officeDocument/2006/relationships/hyperlink" Target="https://drive.google.com/open?id=12TDzpCLR3A7o_WXlLxzYmw40bG6Lp7ln" TargetMode="External"/><Relationship Id="rId1145" Type="http://schemas.openxmlformats.org/officeDocument/2006/relationships/hyperlink" Target="https://drive.google.com/open?id=1qlCw7gfpwv5Pee5B9CnLo51Mxwvdeo5w" TargetMode="External"/><Relationship Id="rId89" Type="http://schemas.openxmlformats.org/officeDocument/2006/relationships/hyperlink" Target="https://drive.google.com/open?id=1xD4sXdSogSqxJ_pDy-ea7hroDAimYfmp" TargetMode="External"/><Relationship Id="rId154" Type="http://schemas.openxmlformats.org/officeDocument/2006/relationships/hyperlink" Target="https://drive.google.com/open?id=10b8udHNiih-OMjduVv4YSKaoU7bVcgOr" TargetMode="External"/><Relationship Id="rId361" Type="http://schemas.openxmlformats.org/officeDocument/2006/relationships/hyperlink" Target="https://drive.google.com/open?id=16QJLHghsRBKPh1rWSFi9ZZ0IT3-4qmOD" TargetMode="External"/><Relationship Id="rId599" Type="http://schemas.openxmlformats.org/officeDocument/2006/relationships/hyperlink" Target="https://drive.google.com/open?id=1njvmG4_yFT_PxWQEx74dVbsfPKsawp2r" TargetMode="External"/><Relationship Id="rId1005" Type="http://schemas.openxmlformats.org/officeDocument/2006/relationships/hyperlink" Target="https://drive.google.com/open?id=1x5lHHYTcfCc4nWzzwR1xe4SecQ6mecTb" TargetMode="External"/><Relationship Id="rId1212" Type="http://schemas.openxmlformats.org/officeDocument/2006/relationships/hyperlink" Target="https://drive.google.com/open?id=1KP4Of8aNXFZFMw6zm_HXWPNUsFGKcypz" TargetMode="External"/><Relationship Id="rId459" Type="http://schemas.openxmlformats.org/officeDocument/2006/relationships/hyperlink" Target="https://drive.google.com/open?id=1eEHEOgyQwAkpnOFsOhVsvYwYESHzJ7Vj" TargetMode="External"/><Relationship Id="rId666" Type="http://schemas.openxmlformats.org/officeDocument/2006/relationships/hyperlink" Target="https://drive.google.com/open?id=1V0yGNeODKxqS6EzjodbZ0dm54gc9TgaV" TargetMode="External"/><Relationship Id="rId873" Type="http://schemas.openxmlformats.org/officeDocument/2006/relationships/hyperlink" Target="https://drive.google.com/open?id=1kPldGgbvfyQPebrXGvV0QKiotgrGjRsr" TargetMode="External"/><Relationship Id="rId1089" Type="http://schemas.openxmlformats.org/officeDocument/2006/relationships/hyperlink" Target="https://drive.google.com/open?id=1D-scaeq8oRosbT7-OTEwliN5HKrWdIwA" TargetMode="External"/><Relationship Id="rId16" Type="http://schemas.openxmlformats.org/officeDocument/2006/relationships/hyperlink" Target="https://drive.google.com/open?id=1olYjQ593-zRhsnaveWHSSo4FD8sB1MUs" TargetMode="External"/><Relationship Id="rId221" Type="http://schemas.openxmlformats.org/officeDocument/2006/relationships/hyperlink" Target="https://drive.google.com/open?id=1ZMHwEybCqypl323UzQpLLYAhA_R8fFOH" TargetMode="External"/><Relationship Id="rId319" Type="http://schemas.openxmlformats.org/officeDocument/2006/relationships/hyperlink" Target="https://drive.google.com/open?id=1yofo63fawDqReVnZWKC6McytT12u3qhc" TargetMode="External"/><Relationship Id="rId526" Type="http://schemas.openxmlformats.org/officeDocument/2006/relationships/hyperlink" Target="https://drive.google.com/open?id=1tXRBO_-jJcFXyb4HfjTbL2UvXus1gBy_" TargetMode="External"/><Relationship Id="rId1156" Type="http://schemas.openxmlformats.org/officeDocument/2006/relationships/hyperlink" Target="https://drive.google.com/open?id=1yg_v1hFjN2e2u4yOwEvZyzbtKQWc2ksY" TargetMode="External"/><Relationship Id="rId733" Type="http://schemas.openxmlformats.org/officeDocument/2006/relationships/hyperlink" Target="https://drive.google.com/open?id=1pp9gm2O_8PpL2qPWgtoLVoswV9S3uY8B" TargetMode="External"/><Relationship Id="rId940" Type="http://schemas.openxmlformats.org/officeDocument/2006/relationships/hyperlink" Target="https://drive.google.com/open?id=1KPEzEr0BKOUPRp_43xCWmxgXxtrwkqMd" TargetMode="External"/><Relationship Id="rId1016" Type="http://schemas.openxmlformats.org/officeDocument/2006/relationships/hyperlink" Target="https://drive.google.com/open?id=1SubbXn3jOUMeRA4pdZJiwOF6nwphEg90" TargetMode="External"/><Relationship Id="rId165" Type="http://schemas.openxmlformats.org/officeDocument/2006/relationships/hyperlink" Target="https://drive.google.com/open?id=18IgttavUvi4HQdMZ8dOtVP-NNbr_Uqi5" TargetMode="External"/><Relationship Id="rId372" Type="http://schemas.openxmlformats.org/officeDocument/2006/relationships/hyperlink" Target="https://drive.google.com/open?id=1yD169K8t4wO1Xdligi8fcduKjaNp5sWf" TargetMode="External"/><Relationship Id="rId677" Type="http://schemas.openxmlformats.org/officeDocument/2006/relationships/hyperlink" Target="https://drive.google.com/open?id=1zErh6ZUT-Yqk0uqOJ72HL1Gcyoco35Bn" TargetMode="External"/><Relationship Id="rId800" Type="http://schemas.openxmlformats.org/officeDocument/2006/relationships/hyperlink" Target="https://drive.google.com/open?id=1rE1KUM2gCZLbUrOD1CaHIhcJ24SpDQwL" TargetMode="External"/><Relationship Id="rId1223" Type="http://schemas.openxmlformats.org/officeDocument/2006/relationships/hyperlink" Target="https://drive.google.com/open?id=1ZPBvgjTJfusgIZnyJrussjeie3ll7UfO" TargetMode="External"/><Relationship Id="rId232" Type="http://schemas.openxmlformats.org/officeDocument/2006/relationships/hyperlink" Target="https://drive.google.com/open?id=1U81-6aItbXb6_QtL4K-OL88rSEAe-7g4" TargetMode="External"/><Relationship Id="rId884" Type="http://schemas.openxmlformats.org/officeDocument/2006/relationships/hyperlink" Target="https://drive.google.com/open?id=19Dp3HBSHErqNRg2WJciw2CLJgvp7mtMy" TargetMode="External"/><Relationship Id="rId27" Type="http://schemas.openxmlformats.org/officeDocument/2006/relationships/hyperlink" Target="https://drive.google.com/open?id=1cd0lSvNiTAv6j8toFgLq_KptbDsi3U0O" TargetMode="External"/><Relationship Id="rId537" Type="http://schemas.openxmlformats.org/officeDocument/2006/relationships/hyperlink" Target="https://drive.google.com/open?id=1U3CnEa6ocFvdc8GHJVYyNGYQtbzw-W8U" TargetMode="External"/><Relationship Id="rId744" Type="http://schemas.openxmlformats.org/officeDocument/2006/relationships/hyperlink" Target="https://drive.google.com/open?id=166qovSpYmhgIeWuSC5iRYJwn8HmIv_M4" TargetMode="External"/><Relationship Id="rId951" Type="http://schemas.openxmlformats.org/officeDocument/2006/relationships/hyperlink" Target="https://drive.google.com/open?id=1uYLE07ErSeae7oNHF6aTA_2LufMQrOte" TargetMode="External"/><Relationship Id="rId1167" Type="http://schemas.openxmlformats.org/officeDocument/2006/relationships/hyperlink" Target="https://drive.google.com/open?id=1IQ_vRg57sOvz5O5OJg-FXxkH4N5gZTWy" TargetMode="External"/><Relationship Id="rId80" Type="http://schemas.openxmlformats.org/officeDocument/2006/relationships/hyperlink" Target="https://drive.google.com/open?id=1nIKv5MrhIoeb6XRRs6WsxzDVUFXtjp5_" TargetMode="External"/><Relationship Id="rId176" Type="http://schemas.openxmlformats.org/officeDocument/2006/relationships/hyperlink" Target="https://drive.google.com/open?id=1BQ8a6fTQ_t0IL2QhtFGyuNAi8hDcAoVu" TargetMode="External"/><Relationship Id="rId383" Type="http://schemas.openxmlformats.org/officeDocument/2006/relationships/hyperlink" Target="https://drive.google.com/open?id=1brJY3N6cXIDK61DiLfuk7LeYd0-4w57L" TargetMode="External"/><Relationship Id="rId590" Type="http://schemas.openxmlformats.org/officeDocument/2006/relationships/hyperlink" Target="https://drive.google.com/open?id=1FpikhrrgeakMA1jsqRLSHvHCUhNsl2o3" TargetMode="External"/><Relationship Id="rId604" Type="http://schemas.openxmlformats.org/officeDocument/2006/relationships/hyperlink" Target="https://drive.google.com/open?id=1ck4ueyFOzvWD5YlSQrTG8a1zMr0Xd9lg" TargetMode="External"/><Relationship Id="rId811" Type="http://schemas.openxmlformats.org/officeDocument/2006/relationships/hyperlink" Target="https://drive.google.com/open?id=1QUPPpCSi74btPIUyw3ry26Wv_ejrfois" TargetMode="External"/><Relationship Id="rId1027" Type="http://schemas.openxmlformats.org/officeDocument/2006/relationships/hyperlink" Target="https://drive.google.com/open?id=1K-uOUyJG0SJ8qWkxq1cWztKW_xWkHBdf" TargetMode="External"/><Relationship Id="rId1234" Type="http://schemas.openxmlformats.org/officeDocument/2006/relationships/hyperlink" Target="https://drive.google.com/open?id=18AMjzz4VmNbS5MNlHzFNLdixRtImNLp8" TargetMode="External"/><Relationship Id="rId243" Type="http://schemas.openxmlformats.org/officeDocument/2006/relationships/hyperlink" Target="https://drive.google.com/open?id=1tMRdCma0CNGeWbCnWH6WzjAlYGr990Bk" TargetMode="External"/><Relationship Id="rId450" Type="http://schemas.openxmlformats.org/officeDocument/2006/relationships/hyperlink" Target="https://drive.google.com/open?id=1foJXo5vyJyZCXNtdlXHLZjjNg_TwoUqd" TargetMode="External"/><Relationship Id="rId688" Type="http://schemas.openxmlformats.org/officeDocument/2006/relationships/hyperlink" Target="https://drive.google.com/open?id=1O3R7hH9XCdxZdULTT8e8RgrAR1R66I6S" TargetMode="External"/><Relationship Id="rId895" Type="http://schemas.openxmlformats.org/officeDocument/2006/relationships/hyperlink" Target="https://drive.google.com/open?id=137Bc0e9Rfq_KOa8V8tra8rBiu6dAJAyq" TargetMode="External"/><Relationship Id="rId909" Type="http://schemas.openxmlformats.org/officeDocument/2006/relationships/hyperlink" Target="https://drive.google.com/open?id=1ywmDN0TaUUKDU3qV4cNAseMuy-f04vnK" TargetMode="External"/><Relationship Id="rId1080" Type="http://schemas.openxmlformats.org/officeDocument/2006/relationships/hyperlink" Target="https://drive.google.com/open?id=142xmxzK5TLmZZ8CgFgTW4UhiQJM523Px" TargetMode="External"/><Relationship Id="rId38" Type="http://schemas.openxmlformats.org/officeDocument/2006/relationships/hyperlink" Target="https://drive.google.com/open?id=1WhP-83xm-CNp2GmmwryGA-uzIaV-0Gxe" TargetMode="External"/><Relationship Id="rId103" Type="http://schemas.openxmlformats.org/officeDocument/2006/relationships/hyperlink" Target="https://drive.google.com/open?id=1DxY9gqSav4FEajmlO-P3ZikuhONG_SV5" TargetMode="External"/><Relationship Id="rId310" Type="http://schemas.openxmlformats.org/officeDocument/2006/relationships/hyperlink" Target="https://drive.google.com/open?id=1fDvbbo2zQ1LxyOouNhSKWp6GOAdJa3JO" TargetMode="External"/><Relationship Id="rId548" Type="http://schemas.openxmlformats.org/officeDocument/2006/relationships/hyperlink" Target="https://drive.google.com/open?id=1153IDWCNz6trk9W6EzfQ2m3DdjqONwc1" TargetMode="External"/><Relationship Id="rId755" Type="http://schemas.openxmlformats.org/officeDocument/2006/relationships/hyperlink" Target="https://drive.google.com/open?id=1pMyJhCcPlMtR_8ifKeSAAVBuSFfsn6F_" TargetMode="External"/><Relationship Id="rId962" Type="http://schemas.openxmlformats.org/officeDocument/2006/relationships/hyperlink" Target="https://drive.google.com/open?id=1xqPIdWeJm8f-Uk8OiGDx_0dHdhNQniUm" TargetMode="External"/><Relationship Id="rId1178" Type="http://schemas.openxmlformats.org/officeDocument/2006/relationships/hyperlink" Target="https://drive.google.com/open?id=1dJQQL6cn_fsBrH5-27Ij4BqltFBvEk0Q" TargetMode="External"/><Relationship Id="rId91" Type="http://schemas.openxmlformats.org/officeDocument/2006/relationships/hyperlink" Target="https://drive.google.com/open?id=1sW_mwvo8NfmYmUoQePVf1KssrtMtmDSN" TargetMode="External"/><Relationship Id="rId187" Type="http://schemas.openxmlformats.org/officeDocument/2006/relationships/hyperlink" Target="https://drive.google.com/open?id=1I5mkYjFm_I_LSN32Y5O5Nk7HVdFqwJGz" TargetMode="External"/><Relationship Id="rId394" Type="http://schemas.openxmlformats.org/officeDocument/2006/relationships/hyperlink" Target="https://drive.google.com/open?id=1RQ8OgjPyWIloqkxoc-Hbklr7PEv5nmUJ" TargetMode="External"/><Relationship Id="rId408" Type="http://schemas.openxmlformats.org/officeDocument/2006/relationships/hyperlink" Target="https://drive.google.com/open?id=1R0DdOOr_n4WscETSU6Ty10I0et601u7r" TargetMode="External"/><Relationship Id="rId615" Type="http://schemas.openxmlformats.org/officeDocument/2006/relationships/hyperlink" Target="https://drive.google.com/open?id=1JtolidBIUGBixWrAz_kT1xWktdV-JBQ5" TargetMode="External"/><Relationship Id="rId822" Type="http://schemas.openxmlformats.org/officeDocument/2006/relationships/hyperlink" Target="https://drive.google.com/open?id=1awqvp4LJyUJQ2TFWVSxZXN1kdQ2RL8Ly" TargetMode="External"/><Relationship Id="rId1038" Type="http://schemas.openxmlformats.org/officeDocument/2006/relationships/hyperlink" Target="https://drive.google.com/open?id=1ZqbsWCu8fQEEto0jcoAzGUmedTptRygi" TargetMode="External"/><Relationship Id="rId1245" Type="http://schemas.openxmlformats.org/officeDocument/2006/relationships/hyperlink" Target="https://drive.google.com/open?id=1146jAXQcu50AiSRa12sPjMoceAvvAhMr" TargetMode="External"/><Relationship Id="rId254" Type="http://schemas.openxmlformats.org/officeDocument/2006/relationships/hyperlink" Target="https://drive.google.com/open?id=1fOy9fbBAQS0aPWOWlhR9ZuYBdcQFK2_2" TargetMode="External"/><Relationship Id="rId699" Type="http://schemas.openxmlformats.org/officeDocument/2006/relationships/hyperlink" Target="https://drive.google.com/open?id=1m9l7Y5aDeTrqHvocJz8oOOPWFDYhMIO5" TargetMode="External"/><Relationship Id="rId1091" Type="http://schemas.openxmlformats.org/officeDocument/2006/relationships/hyperlink" Target="https://drive.google.com/open?id=1fD-1ahtjp_FpKDiMIWmIk5oDuygZolDQ" TargetMode="External"/><Relationship Id="rId1105" Type="http://schemas.openxmlformats.org/officeDocument/2006/relationships/hyperlink" Target="https://drive.google.com/open?id=1us-8KAl9nfuFm3KcB0oKgiMToqH81_KC" TargetMode="External"/><Relationship Id="rId49" Type="http://schemas.openxmlformats.org/officeDocument/2006/relationships/hyperlink" Target="https://drive.google.com/open?id=1vyx1Pi2ElMDZO-0T6LAiK0pylCbw4niS" TargetMode="External"/><Relationship Id="rId114" Type="http://schemas.openxmlformats.org/officeDocument/2006/relationships/hyperlink" Target="https://drive.google.com/open?id=1TvNJ8MuhA8SgmeZ519IntJPLpsumWmoQ" TargetMode="External"/><Relationship Id="rId461" Type="http://schemas.openxmlformats.org/officeDocument/2006/relationships/hyperlink" Target="https://drive.google.com/open?id=1nfvXbXBBOl55YDqEI_K3x-gNOV88_xgM" TargetMode="External"/><Relationship Id="rId559" Type="http://schemas.openxmlformats.org/officeDocument/2006/relationships/hyperlink" Target="https://drive.google.com/open?id=1QrmTPSqdJ7-b-afzBFfSZSES4mQ4fuzF" TargetMode="External"/><Relationship Id="rId766" Type="http://schemas.openxmlformats.org/officeDocument/2006/relationships/hyperlink" Target="https://drive.google.com/open?id=1egnFq3QQkOTZ4mcLurNcLAVd-DLKxcGh" TargetMode="External"/><Relationship Id="rId1189" Type="http://schemas.openxmlformats.org/officeDocument/2006/relationships/hyperlink" Target="https://drive.google.com/open?id=1xM7fE34cw2cIAwXmniQ1LByIz8fpiVDM" TargetMode="External"/><Relationship Id="rId198" Type="http://schemas.openxmlformats.org/officeDocument/2006/relationships/hyperlink" Target="https://drive.google.com/open?id=1_iQRiwwumGLTo6AqreuaufMBZlP7RD7T" TargetMode="External"/><Relationship Id="rId321" Type="http://schemas.openxmlformats.org/officeDocument/2006/relationships/hyperlink" Target="https://drive.google.com/open?id=1SipAGX1Wk1G1Jqg9V05aMmyXQe3EZkt3" TargetMode="External"/><Relationship Id="rId419" Type="http://schemas.openxmlformats.org/officeDocument/2006/relationships/hyperlink" Target="https://drive.google.com/open?id=1rZs5wTNqJLJM04GxrAOdk6_J0tugCpJb" TargetMode="External"/><Relationship Id="rId626" Type="http://schemas.openxmlformats.org/officeDocument/2006/relationships/hyperlink" Target="https://drive.google.com/open?id=1Vz5BNY90QzJDn0TAS3F6VG7YZJ-njYP4" TargetMode="External"/><Relationship Id="rId973" Type="http://schemas.openxmlformats.org/officeDocument/2006/relationships/hyperlink" Target="https://drive.google.com/open?id=1KXMAUkRmNMu1emYJWtJmPBEJC4oSaAsu" TargetMode="External"/><Relationship Id="rId1049" Type="http://schemas.openxmlformats.org/officeDocument/2006/relationships/hyperlink" Target="https://drive.google.com/open?id=1VO8-owGu0ZEpvLHzdK621_PE7s2a-v0F" TargetMode="External"/><Relationship Id="rId1256" Type="http://schemas.openxmlformats.org/officeDocument/2006/relationships/hyperlink" Target="https://drive.google.com/open?id=1g7yOmmvKKMk53Jgz7thWfr3I2Yo1AS02" TargetMode="External"/><Relationship Id="rId833" Type="http://schemas.openxmlformats.org/officeDocument/2006/relationships/hyperlink" Target="https://drive.google.com/open?id=1Sev5CtkGnJJUDJwyzkgSsXgA5db3m3jZ" TargetMode="External"/><Relationship Id="rId1116" Type="http://schemas.openxmlformats.org/officeDocument/2006/relationships/hyperlink" Target="https://drive.google.com/open?id=15tv1dRP3VSaeOdYW5kr2Sugg1Bri9bWU" TargetMode="External"/><Relationship Id="rId265" Type="http://schemas.openxmlformats.org/officeDocument/2006/relationships/hyperlink" Target="https://drive.google.com/open?id=1fhNd2t9lPhYh4dRMHLzyMMraL8Yd8UGS" TargetMode="External"/><Relationship Id="rId472" Type="http://schemas.openxmlformats.org/officeDocument/2006/relationships/hyperlink" Target="https://drive.google.com/open?id=1hdYuwZZ9VK_HNUexm8NuZameSkNlhGVE" TargetMode="External"/><Relationship Id="rId900" Type="http://schemas.openxmlformats.org/officeDocument/2006/relationships/hyperlink" Target="https://drive.google.com/open?id=1uEzytHwbvZaNG0vyWcvQiF4tE2opTGmZ" TargetMode="External"/><Relationship Id="rId125" Type="http://schemas.openxmlformats.org/officeDocument/2006/relationships/hyperlink" Target="https://drive.google.com/open?id=1ZWhOc-X1aKT5mRD1nEbFPIBYI0FjCpqu" TargetMode="External"/><Relationship Id="rId332" Type="http://schemas.openxmlformats.org/officeDocument/2006/relationships/hyperlink" Target="https://drive.google.com/open?id=1Ag5D6utNIKCVxPXwweCPQCxkS7lPhB1c" TargetMode="External"/><Relationship Id="rId777" Type="http://schemas.openxmlformats.org/officeDocument/2006/relationships/hyperlink" Target="https://drive.google.com/open?id=1Jpvi84lJiTcOL2Vwni4ndmJaxC1tCTOM" TargetMode="External"/><Relationship Id="rId984" Type="http://schemas.openxmlformats.org/officeDocument/2006/relationships/hyperlink" Target="https://drive.google.com/open?id=1NuiEQnmSrMmvY78SLGZQQDCVp39re3Kn" TargetMode="External"/><Relationship Id="rId637" Type="http://schemas.openxmlformats.org/officeDocument/2006/relationships/hyperlink" Target="https://drive.google.com/open?id=1LfEkdO37csNNcUwmkOmFCP-nxfqm4Y52" TargetMode="External"/><Relationship Id="rId844" Type="http://schemas.openxmlformats.org/officeDocument/2006/relationships/hyperlink" Target="https://drive.google.com/open?id=1cZ63RkuhVAkB8FJaWmjnyCN8lddq16bF" TargetMode="External"/><Relationship Id="rId276" Type="http://schemas.openxmlformats.org/officeDocument/2006/relationships/hyperlink" Target="https://drive.google.com/open?id=1Y9NB5_gW67HZYyEOWQ3-rW287aRYTUHb" TargetMode="External"/><Relationship Id="rId483" Type="http://schemas.openxmlformats.org/officeDocument/2006/relationships/hyperlink" Target="https://drive.google.com/open?id=1gV5fvJlvJtiqJ9kXdWw8uAtxTaoIPpPX" TargetMode="External"/><Relationship Id="rId690" Type="http://schemas.openxmlformats.org/officeDocument/2006/relationships/hyperlink" Target="https://drive.google.com/open?id=12nM35HF4c5CyR2QLhZVFaajgw-AfxHZ-" TargetMode="External"/><Relationship Id="rId704" Type="http://schemas.openxmlformats.org/officeDocument/2006/relationships/hyperlink" Target="https://drive.google.com/open?id=1LPGb41iXo9CQJEgUvi_kVonrzN5QhTEu" TargetMode="External"/><Relationship Id="rId911" Type="http://schemas.openxmlformats.org/officeDocument/2006/relationships/hyperlink" Target="https://drive.google.com/open?id=1j15wlknKP7lFcC2GziKaC7ul8DEa4AXf" TargetMode="External"/><Relationship Id="rId1127" Type="http://schemas.openxmlformats.org/officeDocument/2006/relationships/hyperlink" Target="https://drive.google.com/open?id=1STks1zXaMOPx7AejjnMmoiGM69bZzymR" TargetMode="External"/><Relationship Id="rId40" Type="http://schemas.openxmlformats.org/officeDocument/2006/relationships/hyperlink" Target="https://drive.google.com/open?id=10hHE6c4hJL9lv3U7T-AfCmxrm16MIfQ_" TargetMode="External"/><Relationship Id="rId136" Type="http://schemas.openxmlformats.org/officeDocument/2006/relationships/hyperlink" Target="https://drive.google.com/open?id=16yJRPH7xdPv5LdWfjjn_vkDWrDonvFcg" TargetMode="External"/><Relationship Id="rId343" Type="http://schemas.openxmlformats.org/officeDocument/2006/relationships/hyperlink" Target="https://drive.google.com/open?id=1Xma61F0WgO4Sg6PXa3_vX0FflQhn1xnS" TargetMode="External"/><Relationship Id="rId550" Type="http://schemas.openxmlformats.org/officeDocument/2006/relationships/hyperlink" Target="https://drive.google.com/open?id=1sLcI2HtyjXJSjXc-km5CZooJ1hbszcx5" TargetMode="External"/><Relationship Id="rId788" Type="http://schemas.openxmlformats.org/officeDocument/2006/relationships/hyperlink" Target="https://drive.google.com/open?id=1_ht9lVdVuXUmgsv79-5vKbcALbUVRv9f" TargetMode="External"/><Relationship Id="rId995" Type="http://schemas.openxmlformats.org/officeDocument/2006/relationships/hyperlink" Target="https://drive.google.com/open?id=1Fk-HeEedWWyKidJtPDCKvxSj5RXKsfz9" TargetMode="External"/><Relationship Id="rId1180" Type="http://schemas.openxmlformats.org/officeDocument/2006/relationships/hyperlink" Target="https://drive.google.com/open?id=14L3_jLl-FjkoCFxxIddu3RpTKa5UGQD9" TargetMode="External"/><Relationship Id="rId203" Type="http://schemas.openxmlformats.org/officeDocument/2006/relationships/hyperlink" Target="https://drive.google.com/open?id=1pqLAfJ_Q3YPlJ6gaoAeh_ztGlBawgr8T" TargetMode="External"/><Relationship Id="rId648" Type="http://schemas.openxmlformats.org/officeDocument/2006/relationships/hyperlink" Target="https://drive.google.com/open?id=1-0vUWckh88BfTtiq8acH-dITcfR-YSTw" TargetMode="External"/><Relationship Id="rId855" Type="http://schemas.openxmlformats.org/officeDocument/2006/relationships/hyperlink" Target="https://drive.google.com/open?id=11Cpqwd-n2Nvd32Si8r4NSN1-P3PT-nOM" TargetMode="External"/><Relationship Id="rId1040" Type="http://schemas.openxmlformats.org/officeDocument/2006/relationships/hyperlink" Target="https://drive.google.com/open?id=1HBJOu4rsEiR22lM6WP1M8Wmzc1JOz5lp" TargetMode="External"/><Relationship Id="rId287" Type="http://schemas.openxmlformats.org/officeDocument/2006/relationships/hyperlink" Target="https://drive.google.com/open?id=12Hh-qzEoVboCBKr8vi2kwnlAiKUTz67c" TargetMode="External"/><Relationship Id="rId410" Type="http://schemas.openxmlformats.org/officeDocument/2006/relationships/hyperlink" Target="https://drive.google.com/open?id=1MLhDKeYEz_oddqgx5S5oz6ozpTk9IveL" TargetMode="External"/><Relationship Id="rId494" Type="http://schemas.openxmlformats.org/officeDocument/2006/relationships/hyperlink" Target="https://drive.google.com/open?id=14rZm4z7f6_rVmj3r_6voMl_4U8rtox5F" TargetMode="External"/><Relationship Id="rId508" Type="http://schemas.openxmlformats.org/officeDocument/2006/relationships/hyperlink" Target="https://drive.google.com/open?id=1AxVTTjqBcIHDaIqg2DHdY_DNTLUa7CZ5" TargetMode="External"/><Relationship Id="rId715" Type="http://schemas.openxmlformats.org/officeDocument/2006/relationships/hyperlink" Target="https://drive.google.com/open?id=1S6EDNgZzqoZ_Mzyqb8I4Z1_6laLIJ6yV" TargetMode="External"/><Relationship Id="rId922" Type="http://schemas.openxmlformats.org/officeDocument/2006/relationships/hyperlink" Target="https://drive.google.com/open?id=1NUPZLaXV0GHW8hix8OuKmPUhmGW18egA" TargetMode="External"/><Relationship Id="rId1138" Type="http://schemas.openxmlformats.org/officeDocument/2006/relationships/hyperlink" Target="https://drive.google.com/open?id=1cCRl-unfJfYGUK9fSbrdM3b5zu9-Djg6" TargetMode="External"/><Relationship Id="rId147" Type="http://schemas.openxmlformats.org/officeDocument/2006/relationships/hyperlink" Target="https://drive.google.com/open?id=1CPlno33ntO4-oYOMTFqj3rwBoxAu9ZK1" TargetMode="External"/><Relationship Id="rId354" Type="http://schemas.openxmlformats.org/officeDocument/2006/relationships/hyperlink" Target="https://drive.google.com/open?id=1j3VkCpHi14ZozTjXxGVtI1xsBZAEIS6H" TargetMode="External"/><Relationship Id="rId799" Type="http://schemas.openxmlformats.org/officeDocument/2006/relationships/hyperlink" Target="https://drive.google.com/open?id=1fbOYCNtIFM1JOXTS23XamaCb1imy8To8" TargetMode="External"/><Relationship Id="rId1191" Type="http://schemas.openxmlformats.org/officeDocument/2006/relationships/hyperlink" Target="https://drive.google.com/open?id=1aVXn76_BzFR8mtc0MyohJE0m4yx57Bzo" TargetMode="External"/><Relationship Id="rId1205" Type="http://schemas.openxmlformats.org/officeDocument/2006/relationships/hyperlink" Target="https://drive.google.com/open?id=1JWy7Usj0t8KJUe4tkFdfQ0VrKEtAlcoJ" TargetMode="External"/><Relationship Id="rId51" Type="http://schemas.openxmlformats.org/officeDocument/2006/relationships/hyperlink" Target="https://drive.google.com/open?id=1vsvmJkIhYErlN-2IJ7dWVCd8HJ81Ln11" TargetMode="External"/><Relationship Id="rId561" Type="http://schemas.openxmlformats.org/officeDocument/2006/relationships/hyperlink" Target="https://drive.google.com/open?id=1gnHRtxvnFb5EhOlF_MKmIUfnjyxb6znk" TargetMode="External"/><Relationship Id="rId659" Type="http://schemas.openxmlformats.org/officeDocument/2006/relationships/hyperlink" Target="https://drive.google.com/open?id=1PGAU9B_kEZgwE_-dsI4Wd5SVGQud_2Gy" TargetMode="External"/><Relationship Id="rId866" Type="http://schemas.openxmlformats.org/officeDocument/2006/relationships/hyperlink" Target="https://drive.google.com/open?id=1su2l3gf5JfgbE80Y_gmIs4xaWASjwNfp" TargetMode="External"/><Relationship Id="rId214" Type="http://schemas.openxmlformats.org/officeDocument/2006/relationships/hyperlink" Target="https://drive.google.com/open?id=1dMG2QJKILwZAJtkVjUhhf4Ho8uentQe8" TargetMode="External"/><Relationship Id="rId298" Type="http://schemas.openxmlformats.org/officeDocument/2006/relationships/hyperlink" Target="https://drive.google.com/open?id=1SbD4GdRRkC8s75qDF-LRmYtCubljHmrb" TargetMode="External"/><Relationship Id="rId421" Type="http://schemas.openxmlformats.org/officeDocument/2006/relationships/hyperlink" Target="https://drive.google.com/open?id=1VJOXEsJap6q2G9l9pnpPFcVjZ5iY3lmF" TargetMode="External"/><Relationship Id="rId519" Type="http://schemas.openxmlformats.org/officeDocument/2006/relationships/hyperlink" Target="https://drive.google.com/open?id=1FUs6mNzfUD3uNRtui8OTiyLz62bCxCsQ" TargetMode="External"/><Relationship Id="rId1051" Type="http://schemas.openxmlformats.org/officeDocument/2006/relationships/hyperlink" Target="https://drive.google.com/open?id=1YTzuSFvnnmVK2avYAsim-ohH1qvcyZ_k" TargetMode="External"/><Relationship Id="rId1149" Type="http://schemas.openxmlformats.org/officeDocument/2006/relationships/hyperlink" Target="https://drive.google.com/open?id=1PGLYnyMbWZXHG9fnRIs_BM3pRMOV4lI8" TargetMode="External"/><Relationship Id="rId158" Type="http://schemas.openxmlformats.org/officeDocument/2006/relationships/hyperlink" Target="https://drive.google.com/open?id=15AT3Zfg1JfzM8LBKuZg-Cjm0Gl56FWpK" TargetMode="External"/><Relationship Id="rId726" Type="http://schemas.openxmlformats.org/officeDocument/2006/relationships/hyperlink" Target="https://drive.google.com/open?id=1YCGd-C5vQWSlxpls3_MpqtE8-eewhqZD" TargetMode="External"/><Relationship Id="rId933" Type="http://schemas.openxmlformats.org/officeDocument/2006/relationships/hyperlink" Target="https://drive.google.com/open?id=1F7aNFgyWrXIX6cf1acXp7-iSN67EPT50" TargetMode="External"/><Relationship Id="rId1009" Type="http://schemas.openxmlformats.org/officeDocument/2006/relationships/hyperlink" Target="https://drive.google.com/open?id=1HuWyzZSE2tdqZIDtuPZwDlaOZig-uV8x" TargetMode="External"/><Relationship Id="rId62" Type="http://schemas.openxmlformats.org/officeDocument/2006/relationships/hyperlink" Target="https://drive.google.com/open?id=19mkNqt3zxqbVVr2lWbXMI3hcSdhjz3lp" TargetMode="External"/><Relationship Id="rId365" Type="http://schemas.openxmlformats.org/officeDocument/2006/relationships/hyperlink" Target="https://drive.google.com/open?id=110H8X-dw2HSEOhomYFYPOzL6C3Gqrfcs" TargetMode="External"/><Relationship Id="rId572" Type="http://schemas.openxmlformats.org/officeDocument/2006/relationships/hyperlink" Target="https://drive.google.com/open?id=1RzWPPha3_M2DmNIyDrNjqQICYCwhXj2H" TargetMode="External"/><Relationship Id="rId1216" Type="http://schemas.openxmlformats.org/officeDocument/2006/relationships/hyperlink" Target="https://drive.google.com/open?id=1CS8IwdnKJxfUIMG5EwqvrvWAnuupiFLd" TargetMode="External"/><Relationship Id="rId225" Type="http://schemas.openxmlformats.org/officeDocument/2006/relationships/hyperlink" Target="https://drive.google.com/open?id=1R2R8DzZbBcqOL63X15nXHu8GyfCtjLWW" TargetMode="External"/><Relationship Id="rId432" Type="http://schemas.openxmlformats.org/officeDocument/2006/relationships/hyperlink" Target="https://drive.google.com/open?id=1_TocPymyK03gJrLnkxY1WfHKs79Y3u4G" TargetMode="External"/><Relationship Id="rId877" Type="http://schemas.openxmlformats.org/officeDocument/2006/relationships/hyperlink" Target="https://drive.google.com/open?id=1-VNXDWOhNvKyNBMvHCtIh7_C0C2qYqA1" TargetMode="External"/><Relationship Id="rId1062" Type="http://schemas.openxmlformats.org/officeDocument/2006/relationships/hyperlink" Target="https://drive.google.com/open?id=1J_oWzBtaXgsydL7i8dATUYMwcBD9grk8" TargetMode="External"/><Relationship Id="rId737" Type="http://schemas.openxmlformats.org/officeDocument/2006/relationships/hyperlink" Target="https://drive.google.com/open?id=1_U65OQoIXW3c0dNaScK1O_c4qWrU8cmk" TargetMode="External"/><Relationship Id="rId944" Type="http://schemas.openxmlformats.org/officeDocument/2006/relationships/hyperlink" Target="https://drive.google.com/open?id=1DSUC-Mi_lUBSegoZ3uIeZ15I2-mxAjlR" TargetMode="External"/><Relationship Id="rId73" Type="http://schemas.openxmlformats.org/officeDocument/2006/relationships/hyperlink" Target="https://drive.google.com/open?id=1qp-R-hVnmlNnaRvrBVSLVjACH3jMcmfD" TargetMode="External"/><Relationship Id="rId169" Type="http://schemas.openxmlformats.org/officeDocument/2006/relationships/hyperlink" Target="https://drive.google.com/open?id=15TggY7xH8ibAjE31L5LQD94wijlVqPZ3" TargetMode="External"/><Relationship Id="rId376" Type="http://schemas.openxmlformats.org/officeDocument/2006/relationships/hyperlink" Target="https://drive.google.com/open?id=1wq2sKRTipdTr4m9r4GDhixXUTaN05Npx" TargetMode="External"/><Relationship Id="rId583" Type="http://schemas.openxmlformats.org/officeDocument/2006/relationships/hyperlink" Target="https://drive.google.com/open?id=10KpeldYPf4sJpud9ge7TWANnBWQH8bwK" TargetMode="External"/><Relationship Id="rId790" Type="http://schemas.openxmlformats.org/officeDocument/2006/relationships/hyperlink" Target="https://drive.google.com/open?id=1AqU5LG3OrDWPNwm9iKGYQZhCFpIYoLHV" TargetMode="External"/><Relationship Id="rId804" Type="http://schemas.openxmlformats.org/officeDocument/2006/relationships/hyperlink" Target="https://drive.google.com/open?id=1RW2B1DdXewxzyZUl9OMXLfJOjd9P-fnq" TargetMode="External"/><Relationship Id="rId1227" Type="http://schemas.openxmlformats.org/officeDocument/2006/relationships/hyperlink" Target="https://drive.google.com/open?id=1lAXmvVDkOjvFZ11oPIZWTLyhZROJm-2x" TargetMode="External"/><Relationship Id="rId4" Type="http://schemas.openxmlformats.org/officeDocument/2006/relationships/hyperlink" Target="https://drive.google.com/open?id=19BStCQrxpqV0NFxEUcH6AljNQBT5c5DE" TargetMode="External"/><Relationship Id="rId236" Type="http://schemas.openxmlformats.org/officeDocument/2006/relationships/hyperlink" Target="https://drive.google.com/open?id=1Z3utG1aCFD_MbPGGSlJM5ZWvY7b0DZjp" TargetMode="External"/><Relationship Id="rId443" Type="http://schemas.openxmlformats.org/officeDocument/2006/relationships/hyperlink" Target="https://drive.google.com/open?id=1wPD3zN-2pyvg_yrhCNT0Y6ysJcsCy1OO" TargetMode="External"/><Relationship Id="rId650" Type="http://schemas.openxmlformats.org/officeDocument/2006/relationships/hyperlink" Target="https://drive.google.com/open?id=1bPtn0mPHPKTMvuJ-Dv6x52EW0ZPgUjt-" TargetMode="External"/><Relationship Id="rId888" Type="http://schemas.openxmlformats.org/officeDocument/2006/relationships/hyperlink" Target="https://drive.google.com/open?id=1DBKOj-gp3D4ekJzbo8Fuvdb_dX8Iqwtf" TargetMode="External"/><Relationship Id="rId1073" Type="http://schemas.openxmlformats.org/officeDocument/2006/relationships/hyperlink" Target="https://drive.google.com/open?id=1rly1Epdfg3YuEIu28jPJRaGVb5I6Hw2Z" TargetMode="External"/><Relationship Id="rId303" Type="http://schemas.openxmlformats.org/officeDocument/2006/relationships/hyperlink" Target="https://drive.google.com/open?id=1_UmcfdovAHc7Trg7WY9uNkf8VqBFhE5s" TargetMode="External"/><Relationship Id="rId748" Type="http://schemas.openxmlformats.org/officeDocument/2006/relationships/hyperlink" Target="https://drive.google.com/open?id=1DjcFITIiHeJOaxZ__as3ulU_dVBVEsu1" TargetMode="External"/><Relationship Id="rId955" Type="http://schemas.openxmlformats.org/officeDocument/2006/relationships/hyperlink" Target="https://drive.google.com/open?id=1_ZRJEu1osQRKWKyiVdVFs33_A5VCU1_9" TargetMode="External"/><Relationship Id="rId1140" Type="http://schemas.openxmlformats.org/officeDocument/2006/relationships/hyperlink" Target="https://drive.google.com/open?id=1RN1TNxYPyT1vVOP2nd3VKKLv5ByX3D5R" TargetMode="External"/><Relationship Id="rId84" Type="http://schemas.openxmlformats.org/officeDocument/2006/relationships/hyperlink" Target="https://drive.google.com/open?id=1NmUN4tT_v12YHlhGXvpD2qC5CfxSjDYa" TargetMode="External"/><Relationship Id="rId387" Type="http://schemas.openxmlformats.org/officeDocument/2006/relationships/hyperlink" Target="https://drive.google.com/open?id=1_lYRQYawl2JmM5cwZtMDxoq7d1lfyz4n" TargetMode="External"/><Relationship Id="rId510" Type="http://schemas.openxmlformats.org/officeDocument/2006/relationships/hyperlink" Target="https://drive.google.com/open?id=1yAe2sD1cqBcWaV0Lm7DEmLIiyizeAO8m" TargetMode="External"/><Relationship Id="rId594" Type="http://schemas.openxmlformats.org/officeDocument/2006/relationships/hyperlink" Target="https://drive.google.com/open?id=1MMO2klqiwJmVx71SU3BM3tUGI3JYt4N6" TargetMode="External"/><Relationship Id="rId608" Type="http://schemas.openxmlformats.org/officeDocument/2006/relationships/hyperlink" Target="https://drive.google.com/open?id=113l9gmlaKPrLByxtFxLaMA3khi9h_tHL" TargetMode="External"/><Relationship Id="rId815" Type="http://schemas.openxmlformats.org/officeDocument/2006/relationships/hyperlink" Target="https://drive.google.com/open?id=1VSudDsxg1r5WFzFzgH8giYO8LOWSLRH6" TargetMode="External"/><Relationship Id="rId1238" Type="http://schemas.openxmlformats.org/officeDocument/2006/relationships/hyperlink" Target="https://drive.google.com/open?id=10WV9SiSOaUl3j0mpXQhOc7go1cgR-yhQ" TargetMode="External"/><Relationship Id="rId247" Type="http://schemas.openxmlformats.org/officeDocument/2006/relationships/hyperlink" Target="https://drive.google.com/open?id=1hh2F2csrW4UPCCmcATgiPNtJnvQi8n8V" TargetMode="External"/><Relationship Id="rId899" Type="http://schemas.openxmlformats.org/officeDocument/2006/relationships/hyperlink" Target="https://drive.google.com/open?id=13WBZoVGWNtT-Wxx2Fwb1Z26pQx6_ssNo" TargetMode="External"/><Relationship Id="rId1000" Type="http://schemas.openxmlformats.org/officeDocument/2006/relationships/hyperlink" Target="https://drive.google.com/open?id=1_jEkdbJIKf-uHEsRo4FVD_BSWnrjNMfS" TargetMode="External"/><Relationship Id="rId1084" Type="http://schemas.openxmlformats.org/officeDocument/2006/relationships/hyperlink" Target="https://drive.google.com/open?id=1x4lmzXr6oHujRi3yZsop6e-k-OtU1E4y" TargetMode="External"/><Relationship Id="rId107" Type="http://schemas.openxmlformats.org/officeDocument/2006/relationships/hyperlink" Target="https://drive.google.com/open?id=14Tr40tOTzRqjF9lt9cuqzqHNaZra9oAg" TargetMode="External"/><Relationship Id="rId454" Type="http://schemas.openxmlformats.org/officeDocument/2006/relationships/hyperlink" Target="https://drive.google.com/open?id=1_4WoNPmeGOdzuEQ5tydrLhD2UoON2KFv" TargetMode="External"/><Relationship Id="rId661" Type="http://schemas.openxmlformats.org/officeDocument/2006/relationships/hyperlink" Target="https://drive.google.com/open?id=1PjLq2RpphSPqoKZG5KH3RXcf75Mlxbmb" TargetMode="External"/><Relationship Id="rId759" Type="http://schemas.openxmlformats.org/officeDocument/2006/relationships/hyperlink" Target="https://drive.google.com/open?id=1WzWPs9CNDCFryDWpxCtSDTcM0RLZhVF5" TargetMode="External"/><Relationship Id="rId966" Type="http://schemas.openxmlformats.org/officeDocument/2006/relationships/hyperlink" Target="https://drive.google.com/open?id=1w1FE9h3C8odNYERPJndNdr2Ljho940r2" TargetMode="External"/><Relationship Id="rId11" Type="http://schemas.openxmlformats.org/officeDocument/2006/relationships/hyperlink" Target="https://drive.google.com/open?id=1yBqDdL_X3NgnZSwZOH2CQDhtX9dQR-UG" TargetMode="External"/><Relationship Id="rId314" Type="http://schemas.openxmlformats.org/officeDocument/2006/relationships/hyperlink" Target="https://drive.google.com/open?id=1Jc4GX3_xcnOoejMTxfK5VexoBcer3t25" TargetMode="External"/><Relationship Id="rId398" Type="http://schemas.openxmlformats.org/officeDocument/2006/relationships/hyperlink" Target="https://drive.google.com/open?id=1jCo6juEgdP1BHgypou3GFNK86S2kGsPR" TargetMode="External"/><Relationship Id="rId521" Type="http://schemas.openxmlformats.org/officeDocument/2006/relationships/hyperlink" Target="https://drive.google.com/open?id=1PxZ3CQdJ6MRHVAhJxcILeCY7uISOQ9sx" TargetMode="External"/><Relationship Id="rId619" Type="http://schemas.openxmlformats.org/officeDocument/2006/relationships/hyperlink" Target="https://drive.google.com/open?id=1FtRwF6YaiwM030qsAMkx-ETnQDK9dG9o" TargetMode="External"/><Relationship Id="rId1151" Type="http://schemas.openxmlformats.org/officeDocument/2006/relationships/hyperlink" Target="https://drive.google.com/open?id=1jKtuXQ62akFAt80DEAzg430UpfrocsUS" TargetMode="External"/><Relationship Id="rId1249" Type="http://schemas.openxmlformats.org/officeDocument/2006/relationships/hyperlink" Target="https://drive.google.com/open?id=1S8__T5FrTjQluvX8NdJ7Zxy-QQt1NaO8" TargetMode="External"/><Relationship Id="rId95" Type="http://schemas.openxmlformats.org/officeDocument/2006/relationships/hyperlink" Target="https://drive.google.com/open?id=1JSiSQrYagM5FVaVc-GF9ins_MRsxkqF_" TargetMode="External"/><Relationship Id="rId160" Type="http://schemas.openxmlformats.org/officeDocument/2006/relationships/hyperlink" Target="https://drive.google.com/open?id=1qSTffI8E7-YAm9smRZRKVFUei7AE-J4B" TargetMode="External"/><Relationship Id="rId826" Type="http://schemas.openxmlformats.org/officeDocument/2006/relationships/hyperlink" Target="https://drive.google.com/open?id=1BXrXuHjaYZJeGqw9UA-qrMNj4p-OSff8" TargetMode="External"/><Relationship Id="rId1011" Type="http://schemas.openxmlformats.org/officeDocument/2006/relationships/hyperlink" Target="https://drive.google.com/open?id=1ip9vWBECMYFxV2qhAwhWR5NmYv0HRpr2" TargetMode="External"/><Relationship Id="rId1109" Type="http://schemas.openxmlformats.org/officeDocument/2006/relationships/hyperlink" Target="https://drive.google.com/open?id=1jlIxOLvo0uJo5amz9ouk3SoggceXyG59" TargetMode="External"/><Relationship Id="rId258" Type="http://schemas.openxmlformats.org/officeDocument/2006/relationships/hyperlink" Target="https://drive.google.com/open?id=1SwBFeyAi2ASsIXn3FfsQkBC7CNQFwufv" TargetMode="External"/><Relationship Id="rId465" Type="http://schemas.openxmlformats.org/officeDocument/2006/relationships/hyperlink" Target="https://drive.google.com/open?id=1C2P2hf0V-cTK7IjQ5JUFe0Snd8kZluHk" TargetMode="External"/><Relationship Id="rId672" Type="http://schemas.openxmlformats.org/officeDocument/2006/relationships/hyperlink" Target="https://drive.google.com/open?id=1wZ065BbLPeQrwtJ8uMJhvQPLmiuNtZRh" TargetMode="External"/><Relationship Id="rId1095" Type="http://schemas.openxmlformats.org/officeDocument/2006/relationships/hyperlink" Target="https://drive.google.com/open?id=1iM66ZMwuhsg1pO-Wy4tnAvxs7zxVisFK" TargetMode="External"/><Relationship Id="rId22" Type="http://schemas.openxmlformats.org/officeDocument/2006/relationships/hyperlink" Target="https://drive.google.com/open?id=1nXBM2S34usx6sTXWpmwdOX8-n6O0Gbyh" TargetMode="External"/><Relationship Id="rId118" Type="http://schemas.openxmlformats.org/officeDocument/2006/relationships/hyperlink" Target="https://drive.google.com/open?id=1PGRxb7olgw3e7oqXZIE2uk6FT3NEyQdp" TargetMode="External"/><Relationship Id="rId325" Type="http://schemas.openxmlformats.org/officeDocument/2006/relationships/hyperlink" Target="https://drive.google.com/open?id=1IDPOlKsqLLNMDxIlcONnP1dhnmhpG3e2" TargetMode="External"/><Relationship Id="rId532" Type="http://schemas.openxmlformats.org/officeDocument/2006/relationships/hyperlink" Target="https://drive.google.com/open?id=1Yydyi4DgM9JB8k4WYKpKmUuokDuhxgSZ" TargetMode="External"/><Relationship Id="rId977" Type="http://schemas.openxmlformats.org/officeDocument/2006/relationships/hyperlink" Target="https://drive.google.com/open?id=1Cv7r1uLS2eUJCjY01eSU8LMLabF5C7kD" TargetMode="External"/><Relationship Id="rId1162" Type="http://schemas.openxmlformats.org/officeDocument/2006/relationships/hyperlink" Target="https://drive.google.com/open?id=148UOufZKhRIKmlNukPDlKpHOa6PanpHM" TargetMode="External"/><Relationship Id="rId171" Type="http://schemas.openxmlformats.org/officeDocument/2006/relationships/hyperlink" Target="https://drive.google.com/open?id=1hqufQh-q1vCWuf1DLSGukuzPyzGru-TE" TargetMode="External"/><Relationship Id="rId837" Type="http://schemas.openxmlformats.org/officeDocument/2006/relationships/hyperlink" Target="https://drive.google.com/open?id=1dXEzloJmecdXHvwKGbFp_K74qE3tvqG2" TargetMode="External"/><Relationship Id="rId1022" Type="http://schemas.openxmlformats.org/officeDocument/2006/relationships/hyperlink" Target="https://drive.google.com/open?id=1mrX_FSvKNetoJQUvRBaj1K0ew6TjqmjC" TargetMode="External"/><Relationship Id="rId269" Type="http://schemas.openxmlformats.org/officeDocument/2006/relationships/hyperlink" Target="https://drive.google.com/open?id=1ShbSMF9tQT0Ss9u6_L4yfr4Jp6rhQNBt" TargetMode="External"/><Relationship Id="rId476" Type="http://schemas.openxmlformats.org/officeDocument/2006/relationships/hyperlink" Target="https://drive.google.com/open?id=1z1AhKmQcGeKUtuKtyn0EVKI_6MNf_Sp_" TargetMode="External"/><Relationship Id="rId683" Type="http://schemas.openxmlformats.org/officeDocument/2006/relationships/hyperlink" Target="https://drive.google.com/open?id=1noeH7UJ21wnJce1BOLtSAJe4_l_8GfY3" TargetMode="External"/><Relationship Id="rId890" Type="http://schemas.openxmlformats.org/officeDocument/2006/relationships/hyperlink" Target="https://drive.google.com/open?id=1w6I79mOJCHybCt0hKyK6JVnHESeuK6fr" TargetMode="External"/><Relationship Id="rId904" Type="http://schemas.openxmlformats.org/officeDocument/2006/relationships/hyperlink" Target="https://drive.google.com/open?id=15N_SR_k7GpKSa6aWf0-yqsFxbtjuS8QN" TargetMode="External"/><Relationship Id="rId33" Type="http://schemas.openxmlformats.org/officeDocument/2006/relationships/hyperlink" Target="https://drive.google.com/open?id=1fRHRJTGjqD8YGngs8LKjIdGQUS1O8Iib" TargetMode="External"/><Relationship Id="rId129" Type="http://schemas.openxmlformats.org/officeDocument/2006/relationships/hyperlink" Target="https://drive.google.com/open?id=1kAnBen-b24RO3TRnscOuVW6ialw1137Z" TargetMode="External"/><Relationship Id="rId336" Type="http://schemas.openxmlformats.org/officeDocument/2006/relationships/hyperlink" Target="https://drive.google.com/open?id=1Irfq0QCOeafOKhtbWVaq3tXrBM-WPXUJ" TargetMode="External"/><Relationship Id="rId543" Type="http://schemas.openxmlformats.org/officeDocument/2006/relationships/hyperlink" Target="https://drive.google.com/open?id=1SNM4D0O4WnYwmkuTkTN5VCsW2C0cWmBM" TargetMode="External"/><Relationship Id="rId988" Type="http://schemas.openxmlformats.org/officeDocument/2006/relationships/hyperlink" Target="https://drive.google.com/open?id=1no1dQriyOFEnZD69PPmgoTdrp0pYXIxk" TargetMode="External"/><Relationship Id="rId1173" Type="http://schemas.openxmlformats.org/officeDocument/2006/relationships/hyperlink" Target="https://drive.google.com/open?id=1iI6ZSutx79BM-umg-FzqYTGQMcj2PUne" TargetMode="External"/><Relationship Id="rId182" Type="http://schemas.openxmlformats.org/officeDocument/2006/relationships/hyperlink" Target="https://drive.google.com/open?id=141_-kXZhe8-guaLC9XlJfjy4g7UpiwDe" TargetMode="External"/><Relationship Id="rId403" Type="http://schemas.openxmlformats.org/officeDocument/2006/relationships/hyperlink" Target="https://drive.google.com/open?id=17hyHFLQZYFsGy29Y3_TFCrI8XljJYZOm" TargetMode="External"/><Relationship Id="rId750" Type="http://schemas.openxmlformats.org/officeDocument/2006/relationships/hyperlink" Target="https://drive.google.com/open?id=1cUjkdAseL02rn8vGxo_Vcy0-Pik0xaxl" TargetMode="External"/><Relationship Id="rId848" Type="http://schemas.openxmlformats.org/officeDocument/2006/relationships/hyperlink" Target="https://drive.google.com/open?id=1pnh9ApM_dG3j1eF57-xFDuEs4THGV2Q0" TargetMode="External"/><Relationship Id="rId1033" Type="http://schemas.openxmlformats.org/officeDocument/2006/relationships/hyperlink" Target="https://drive.google.com/open?id=1OaxFTbc79Q8H8yuVk4baxw3Uy9Jv1_XL" TargetMode="External"/><Relationship Id="rId487" Type="http://schemas.openxmlformats.org/officeDocument/2006/relationships/hyperlink" Target="https://drive.google.com/open?id=1IHmCXj6UpzuYT5Tf4zUozICgocSzpAV-" TargetMode="External"/><Relationship Id="rId610" Type="http://schemas.openxmlformats.org/officeDocument/2006/relationships/hyperlink" Target="https://drive.google.com/open?id=16uLZJ3LGRSA-b2veqxJByic3IXhf1g16" TargetMode="External"/><Relationship Id="rId694" Type="http://schemas.openxmlformats.org/officeDocument/2006/relationships/hyperlink" Target="https://drive.google.com/open?id=1q803reKwz-ac2EcN23TT1WhoJhQNaF_N" TargetMode="External"/><Relationship Id="rId708" Type="http://schemas.openxmlformats.org/officeDocument/2006/relationships/hyperlink" Target="https://drive.google.com/open?id=1UwApHKvIJ1MwkL-YGAz-CjR_OSOXmck9" TargetMode="External"/><Relationship Id="rId915" Type="http://schemas.openxmlformats.org/officeDocument/2006/relationships/hyperlink" Target="https://drive.google.com/open?id=186y1iuhE4YBZhzsIvEl_WgkEWTWnFFAd" TargetMode="External"/><Relationship Id="rId1240" Type="http://schemas.openxmlformats.org/officeDocument/2006/relationships/hyperlink" Target="https://drive.google.com/open?id=1DSMJ93WvFsSIrxoJvCDjtWas0-Cn-_ZW" TargetMode="External"/><Relationship Id="rId347" Type="http://schemas.openxmlformats.org/officeDocument/2006/relationships/hyperlink" Target="https://drive.google.com/open?id=1GZZ-i-oASBLWM_Xd12YThhxdlE5G7yCt" TargetMode="External"/><Relationship Id="rId999" Type="http://schemas.openxmlformats.org/officeDocument/2006/relationships/hyperlink" Target="https://drive.google.com/open?id=1cCfLnDLCCOtAGP4ilT7mZ2avfn9rHegk" TargetMode="External"/><Relationship Id="rId1100" Type="http://schemas.openxmlformats.org/officeDocument/2006/relationships/hyperlink" Target="https://drive.google.com/open?id=1u37wNTDv0xz4kVPM1Qmf0Iiq7zsN7KrC" TargetMode="External"/><Relationship Id="rId1184" Type="http://schemas.openxmlformats.org/officeDocument/2006/relationships/hyperlink" Target="https://drive.google.com/open?id=1oUhfWX1gvOe0u1FaYdRCjRyQxorN4S0t" TargetMode="External"/><Relationship Id="rId44" Type="http://schemas.openxmlformats.org/officeDocument/2006/relationships/hyperlink" Target="https://drive.google.com/open?id=1mjjP_dyZHqAfVKCtQQoeHS4uo4ETLqQT" TargetMode="External"/><Relationship Id="rId554" Type="http://schemas.openxmlformats.org/officeDocument/2006/relationships/hyperlink" Target="https://drive.google.com/open?id=1MR6Xehd9yJupvdOpSpMTs_Nfote25Hda" TargetMode="External"/><Relationship Id="rId761" Type="http://schemas.openxmlformats.org/officeDocument/2006/relationships/hyperlink" Target="https://drive.google.com/open?id=1ZL5tv8lsR_dzwzLqY-AQRE8Pu6eGrUEL" TargetMode="External"/><Relationship Id="rId859" Type="http://schemas.openxmlformats.org/officeDocument/2006/relationships/hyperlink" Target="https://drive.google.com/open?id=1qJXuPJBjRiNh9akDI0_o3geRqcXUJ45A" TargetMode="External"/><Relationship Id="rId193" Type="http://schemas.openxmlformats.org/officeDocument/2006/relationships/hyperlink" Target="https://drive.google.com/open?id=1tfxblmVBuLrfJ4GwwdGicoArQ7CmZb3Q" TargetMode="External"/><Relationship Id="rId207" Type="http://schemas.openxmlformats.org/officeDocument/2006/relationships/hyperlink" Target="https://drive.google.com/open?id=1WlMWiWqDejnN1ClMkYOfyTJi62rkmelN" TargetMode="External"/><Relationship Id="rId414" Type="http://schemas.openxmlformats.org/officeDocument/2006/relationships/hyperlink" Target="https://drive.google.com/open?id=1c3xKZHPVNn6WdQ1ZW2_9f5JgWG-mBp-d" TargetMode="External"/><Relationship Id="rId498" Type="http://schemas.openxmlformats.org/officeDocument/2006/relationships/hyperlink" Target="https://drive.google.com/open?id=1cTOiSEPwzk0syQ-NXgLQHz0WQSNLLc6X" TargetMode="External"/><Relationship Id="rId621" Type="http://schemas.openxmlformats.org/officeDocument/2006/relationships/hyperlink" Target="https://drive.google.com/open?id=16NNo68FlXd88aK4LrnAR5FAT7g7Y_D9Z" TargetMode="External"/><Relationship Id="rId1044" Type="http://schemas.openxmlformats.org/officeDocument/2006/relationships/hyperlink" Target="https://drive.google.com/open?id=13rpQ9cw0kVzFoDpdHOknmEj7gJrsH0dT" TargetMode="External"/><Relationship Id="rId1251" Type="http://schemas.openxmlformats.org/officeDocument/2006/relationships/hyperlink" Target="https://drive.google.com/open?id=1k9lKfMw11Hmyl_GOZy23QzVF7BwGI25D" TargetMode="External"/><Relationship Id="rId260" Type="http://schemas.openxmlformats.org/officeDocument/2006/relationships/hyperlink" Target="https://drive.google.com/open?id=1-F6kN9gKtt4dklXzEOhQWkbzfr_aMXy5" TargetMode="External"/><Relationship Id="rId719" Type="http://schemas.openxmlformats.org/officeDocument/2006/relationships/hyperlink" Target="https://drive.google.com/open?id=14l0x7AE5VN0yYCcTy4cbnd1mEVjGwtvT" TargetMode="External"/><Relationship Id="rId926" Type="http://schemas.openxmlformats.org/officeDocument/2006/relationships/hyperlink" Target="https://drive.google.com/open?id=1J_lImwGnoi0C006EAlaME6Uslt8PXEm3" TargetMode="External"/><Relationship Id="rId1111" Type="http://schemas.openxmlformats.org/officeDocument/2006/relationships/hyperlink" Target="https://drive.google.com/open?id=1nWsddLz0YI74Wh2La9RRxAEuL8mbEleu" TargetMode="External"/><Relationship Id="rId55" Type="http://schemas.openxmlformats.org/officeDocument/2006/relationships/hyperlink" Target="https://drive.google.com/open?id=1kZ4GM5iE0HPJwjnTTeNtDpjuK8BwlFSt" TargetMode="External"/><Relationship Id="rId120" Type="http://schemas.openxmlformats.org/officeDocument/2006/relationships/hyperlink" Target="https://drive.google.com/open?id=1c1Ci2Qglbr-4Xs55MpOW-kbJeqJaAiDD" TargetMode="External"/><Relationship Id="rId358" Type="http://schemas.openxmlformats.org/officeDocument/2006/relationships/hyperlink" Target="https://drive.google.com/open?id=1zjmZW8vVWZ9eXIQdyqmPkMCaO2bFofKe" TargetMode="External"/><Relationship Id="rId565" Type="http://schemas.openxmlformats.org/officeDocument/2006/relationships/hyperlink" Target="https://drive.google.com/open?id=1mLHOl0k_jH9DZv1QaQPdVLLOqHT__zd_" TargetMode="External"/><Relationship Id="rId772" Type="http://schemas.openxmlformats.org/officeDocument/2006/relationships/hyperlink" Target="https://drive.google.com/open?id=1tphw-xGZQa4-eEuJSU5BxhMnnc5ztKGv" TargetMode="External"/><Relationship Id="rId1195" Type="http://schemas.openxmlformats.org/officeDocument/2006/relationships/hyperlink" Target="https://drive.google.com/open?id=1DBzaKSNdfcnK3J7MuErdfmcA5IVK6jSY" TargetMode="External"/><Relationship Id="rId1209" Type="http://schemas.openxmlformats.org/officeDocument/2006/relationships/hyperlink" Target="https://drive.google.com/open?id=1CoJ92naC5yJLK6qiXZmhsDbx_QUyqA52" TargetMode="External"/><Relationship Id="rId218" Type="http://schemas.openxmlformats.org/officeDocument/2006/relationships/hyperlink" Target="https://drive.google.com/open?id=1D9P96uMbk6U0vtzM8x8ZJGS0i4ENDkiR" TargetMode="External"/><Relationship Id="rId425" Type="http://schemas.openxmlformats.org/officeDocument/2006/relationships/hyperlink" Target="https://drive.google.com/open?id=1KivUsWLoJLToDIofd98zRktgO3G1ypF_" TargetMode="External"/><Relationship Id="rId632" Type="http://schemas.openxmlformats.org/officeDocument/2006/relationships/hyperlink" Target="https://drive.google.com/open?id=1OouxOWNbfUSAE8JqwRDRXpPN4id4fPJ3" TargetMode="External"/><Relationship Id="rId1055" Type="http://schemas.openxmlformats.org/officeDocument/2006/relationships/hyperlink" Target="https://drive.google.com/open?id=1ICOEYxPVu5R3ihx3VgF1jnPjXxar6Tlr" TargetMode="External"/><Relationship Id="rId271" Type="http://schemas.openxmlformats.org/officeDocument/2006/relationships/hyperlink" Target="https://drive.google.com/open?id=1uZIDBFvUiEmDUcpLLK10GUQhzS00asgT" TargetMode="External"/><Relationship Id="rId937" Type="http://schemas.openxmlformats.org/officeDocument/2006/relationships/hyperlink" Target="https://drive.google.com/open?id=1lbH6XeKk5Kp7itxZMzSOyxklrrt0Gat3" TargetMode="External"/><Relationship Id="rId1122" Type="http://schemas.openxmlformats.org/officeDocument/2006/relationships/hyperlink" Target="https://drive.google.com/open?id=1yRvulCXREgnaluLJJxxFF4K2EzMkV-Dr" TargetMode="External"/><Relationship Id="rId66" Type="http://schemas.openxmlformats.org/officeDocument/2006/relationships/hyperlink" Target="https://drive.google.com/open?id=1GRsEoRgJgOS7hhIC6mxNCBarXgho8D4R" TargetMode="External"/><Relationship Id="rId131" Type="http://schemas.openxmlformats.org/officeDocument/2006/relationships/hyperlink" Target="https://drive.google.com/open?id=105a4S3aaBiFP1tQKzwDx_-FzuKmu8CpX" TargetMode="External"/><Relationship Id="rId369" Type="http://schemas.openxmlformats.org/officeDocument/2006/relationships/hyperlink" Target="https://drive.google.com/open?id=1iUtXqJVB40o8_2D_N1MFwy-nkPPTHleL" TargetMode="External"/><Relationship Id="rId576" Type="http://schemas.openxmlformats.org/officeDocument/2006/relationships/hyperlink" Target="https://drive.google.com/open?id=1c6fabf-BBpQ7C7ChMP61eHyQl52MRqDv" TargetMode="External"/><Relationship Id="rId783" Type="http://schemas.openxmlformats.org/officeDocument/2006/relationships/hyperlink" Target="https://drive.google.com/open?id=1K8GLmBYhxX7kyJpMttKl4wxwqkQZuvwW" TargetMode="External"/><Relationship Id="rId990" Type="http://schemas.openxmlformats.org/officeDocument/2006/relationships/hyperlink" Target="https://drive.google.com/open?id=1H8zbP6ZpX_iB8kzPa2wdqTrLqh8hObT_" TargetMode="External"/><Relationship Id="rId229" Type="http://schemas.openxmlformats.org/officeDocument/2006/relationships/hyperlink" Target="https://drive.google.com/open?id=1dYOgWe1O-pyV-W0m0pILHFhCQZcmmVgg" TargetMode="External"/><Relationship Id="rId436" Type="http://schemas.openxmlformats.org/officeDocument/2006/relationships/hyperlink" Target="https://drive.google.com/open?id=1CBMtWKZzH6HVYhF9vHuwlEhq2dRPom53" TargetMode="External"/><Relationship Id="rId643" Type="http://schemas.openxmlformats.org/officeDocument/2006/relationships/hyperlink" Target="https://drive.google.com/open?id=1t9JO3J6Mn9uw2nfXtUbgcJUIaEDfpfd4" TargetMode="External"/><Relationship Id="rId1066" Type="http://schemas.openxmlformats.org/officeDocument/2006/relationships/hyperlink" Target="https://drive.google.com/open?id=17oHQ1kPpUxUPMz4J7MSB1AnABqwPUcZ4" TargetMode="External"/><Relationship Id="rId850" Type="http://schemas.openxmlformats.org/officeDocument/2006/relationships/hyperlink" Target="https://drive.google.com/open?id=1Xr6OJbh51tddmXgZF8pOqrg5TB6KmtFQ" TargetMode="External"/><Relationship Id="rId948" Type="http://schemas.openxmlformats.org/officeDocument/2006/relationships/hyperlink" Target="https://drive.google.com/open?id=1sxfhoSmbhmk9w9vn4ZjSLpFvgLvt3CJm" TargetMode="External"/><Relationship Id="rId1133" Type="http://schemas.openxmlformats.org/officeDocument/2006/relationships/hyperlink" Target="https://drive.google.com/open?id=1tAuqpUrxfohDlAFfLpwZYLKSFnaaFLI9" TargetMode="External"/><Relationship Id="rId77" Type="http://schemas.openxmlformats.org/officeDocument/2006/relationships/hyperlink" Target="https://drive.google.com/open?id=1nGcoKlQdsxkQy8hohgbnvwsRQ14jwydf" TargetMode="External"/><Relationship Id="rId282" Type="http://schemas.openxmlformats.org/officeDocument/2006/relationships/hyperlink" Target="https://drive.google.com/open?id=1oQWOuMBz7ux8B_OhG9NryIqMkKiMxm5c" TargetMode="External"/><Relationship Id="rId503" Type="http://schemas.openxmlformats.org/officeDocument/2006/relationships/hyperlink" Target="https://drive.google.com/open?id=1ew9hYnVDuazZ4MgYuhKpx8-ovo51tl_o" TargetMode="External"/><Relationship Id="rId587" Type="http://schemas.openxmlformats.org/officeDocument/2006/relationships/hyperlink" Target="https://drive.google.com/open?id=1Rwo5UibdDKr23FYYs5uFNi0kccDucLfJ" TargetMode="External"/><Relationship Id="rId710" Type="http://schemas.openxmlformats.org/officeDocument/2006/relationships/hyperlink" Target="https://drive.google.com/open?id=1BMx-Pm0tp4jLdFfsi65QUWJswpkYt6Q2" TargetMode="External"/><Relationship Id="rId808" Type="http://schemas.openxmlformats.org/officeDocument/2006/relationships/hyperlink" Target="https://drive.google.com/open?id=1Pn0bB2YpMFYQinigs8lE6P9HTHdwf7P7" TargetMode="External"/><Relationship Id="rId8" Type="http://schemas.openxmlformats.org/officeDocument/2006/relationships/hyperlink" Target="https://drive.google.com/open?id=10BCu_IYNITbJahzxTU_xGod7QWZH1IiB" TargetMode="External"/><Relationship Id="rId142" Type="http://schemas.openxmlformats.org/officeDocument/2006/relationships/hyperlink" Target="https://drive.google.com/open?id=19FKMD2bAELbikgRSremy4og5E8VNTP8x" TargetMode="External"/><Relationship Id="rId447" Type="http://schemas.openxmlformats.org/officeDocument/2006/relationships/hyperlink" Target="https://drive.google.com/open?id=1xSfqh-DHR1Rawo8iMrafNTP9XhVOIfBZ" TargetMode="External"/><Relationship Id="rId794" Type="http://schemas.openxmlformats.org/officeDocument/2006/relationships/hyperlink" Target="https://drive.google.com/open?id=189fwVhR8V35BiE1q2K8uIrXiHDBP6aac" TargetMode="External"/><Relationship Id="rId1077" Type="http://schemas.openxmlformats.org/officeDocument/2006/relationships/hyperlink" Target="https://drive.google.com/open?id=1emfQpJJ2S1-Zi2V_SPUhMCHmfT8UhFGD" TargetMode="External"/><Relationship Id="rId1200" Type="http://schemas.openxmlformats.org/officeDocument/2006/relationships/hyperlink" Target="https://drive.google.com/open?id=1x39aJ9jBieHn8K7o2-SQjG0Am-D4La3L" TargetMode="External"/><Relationship Id="rId654" Type="http://schemas.openxmlformats.org/officeDocument/2006/relationships/hyperlink" Target="https://drive.google.com/open?id=1gKnD7l2C7Hmg2IEABOsCGhK-eH6YIyzD" TargetMode="External"/><Relationship Id="rId861" Type="http://schemas.openxmlformats.org/officeDocument/2006/relationships/hyperlink" Target="https://drive.google.com/open?id=16lUF0_S-U46ytDiZYuzOFOobEqPQ0mN-" TargetMode="External"/><Relationship Id="rId959" Type="http://schemas.openxmlformats.org/officeDocument/2006/relationships/hyperlink" Target="https://drive.google.com/open?id=1K2ZxRpl4NSKuDU44lsyNt3C8sasMGbzt" TargetMode="External"/><Relationship Id="rId293" Type="http://schemas.openxmlformats.org/officeDocument/2006/relationships/hyperlink" Target="https://drive.google.com/open?id=1jc7XRc6RL2KR4Ymqr1GFempKyH_DcCym" TargetMode="External"/><Relationship Id="rId307" Type="http://schemas.openxmlformats.org/officeDocument/2006/relationships/hyperlink" Target="https://drive.google.com/open?id=1nA7K7Vhn69dboRl01c9mQeXuXl1Tskg_" TargetMode="External"/><Relationship Id="rId514" Type="http://schemas.openxmlformats.org/officeDocument/2006/relationships/hyperlink" Target="https://drive.google.com/open?id=1gj0XTcKScoi3VbTJQb61Kdfhp66i-Kbn" TargetMode="External"/><Relationship Id="rId721" Type="http://schemas.openxmlformats.org/officeDocument/2006/relationships/hyperlink" Target="https://drive.google.com/open?id=1NNbGVU_-DY0G2CbyAZ66WqQdITq8P2QX" TargetMode="External"/><Relationship Id="rId1144" Type="http://schemas.openxmlformats.org/officeDocument/2006/relationships/hyperlink" Target="https://drive.google.com/open?id=1Y3-dQwLeQVw8JtJPh21RNm3WNC9oBpti" TargetMode="External"/><Relationship Id="rId88" Type="http://schemas.openxmlformats.org/officeDocument/2006/relationships/hyperlink" Target="https://drive.google.com/open?id=1zTrVkdgsJd-CCzUGntAYriytsspOlUBH" TargetMode="External"/><Relationship Id="rId153" Type="http://schemas.openxmlformats.org/officeDocument/2006/relationships/hyperlink" Target="https://drive.google.com/open?id=1dZJp67oIfFFhxhB1EHy7S4wZpyxr28UN" TargetMode="External"/><Relationship Id="rId360" Type="http://schemas.openxmlformats.org/officeDocument/2006/relationships/hyperlink" Target="https://drive.google.com/open?id=1IaMRYSPeRnM8BPlKUZJOzUC3D2eFit66" TargetMode="External"/><Relationship Id="rId598" Type="http://schemas.openxmlformats.org/officeDocument/2006/relationships/hyperlink" Target="https://drive.google.com/open?id=1EW521o6EsqDPKN4Ls3xmI5PWrzCECI8r" TargetMode="External"/><Relationship Id="rId819" Type="http://schemas.openxmlformats.org/officeDocument/2006/relationships/hyperlink" Target="https://drive.google.com/open?id=1rqbS8g3SruQRRw9kpmc5kXg9tKJVEn5h" TargetMode="External"/><Relationship Id="rId1004" Type="http://schemas.openxmlformats.org/officeDocument/2006/relationships/hyperlink" Target="https://drive.google.com/open?id=15ZzcGDJFh9MftGT6ln-iAkBHa75MECBn" TargetMode="External"/><Relationship Id="rId1211" Type="http://schemas.openxmlformats.org/officeDocument/2006/relationships/hyperlink" Target="https://drive.google.com/open?id=1XwLN5LE9wKvAB3eAm2TKGGvJhKXzOMfb" TargetMode="External"/><Relationship Id="rId220" Type="http://schemas.openxmlformats.org/officeDocument/2006/relationships/hyperlink" Target="https://drive.google.com/open?id=1TCNu4QkCZ0O6G5m952IipJbKkehRZrS3" TargetMode="External"/><Relationship Id="rId458" Type="http://schemas.openxmlformats.org/officeDocument/2006/relationships/hyperlink" Target="https://drive.google.com/open?id=1BMWzPLbc2kuqbs6nfc0I3CyP8W0FaeOM" TargetMode="External"/><Relationship Id="rId665" Type="http://schemas.openxmlformats.org/officeDocument/2006/relationships/hyperlink" Target="https://drive.google.com/open?id=1BKlk5xZOFLrY30gVCiNIBpWm3fAZ4BZY" TargetMode="External"/><Relationship Id="rId872" Type="http://schemas.openxmlformats.org/officeDocument/2006/relationships/hyperlink" Target="https://drive.google.com/open?id=1WhrVF_rx4hT-PKRFVQpJOw2pPjxzyC8v" TargetMode="External"/><Relationship Id="rId1088" Type="http://schemas.openxmlformats.org/officeDocument/2006/relationships/hyperlink" Target="https://drive.google.com/open?id=1AezZlgKCoFA7S6vsNv-SJBgS1-9J8WOh" TargetMode="External"/><Relationship Id="rId15" Type="http://schemas.openxmlformats.org/officeDocument/2006/relationships/hyperlink" Target="https://drive.google.com/open?id=1ksCUg-CceSoaqIlWIlh-9KeUQJmeZJ7V" TargetMode="External"/><Relationship Id="rId318" Type="http://schemas.openxmlformats.org/officeDocument/2006/relationships/hyperlink" Target="https://drive.google.com/open?id=1bCHw5PhdUl_7SQCMHyLSQ-OLAhyrC2KQ" TargetMode="External"/><Relationship Id="rId525" Type="http://schemas.openxmlformats.org/officeDocument/2006/relationships/hyperlink" Target="https://drive.google.com/open?id=1Du5K4AR_-OV5I0XdOGeWWY1N1y4MqxSD" TargetMode="External"/><Relationship Id="rId732" Type="http://schemas.openxmlformats.org/officeDocument/2006/relationships/hyperlink" Target="https://drive.google.com/open?id=19JluUdbzQQhkXMtF9sL8n2UWMDSz9X5A" TargetMode="External"/><Relationship Id="rId1155" Type="http://schemas.openxmlformats.org/officeDocument/2006/relationships/hyperlink" Target="https://drive.google.com/open?id=17AZ1wKUbcAtkL4XWzz7T8URNo1aPa_Xq" TargetMode="External"/><Relationship Id="rId99" Type="http://schemas.openxmlformats.org/officeDocument/2006/relationships/hyperlink" Target="https://drive.google.com/open?id=11vkNxtoXdHjfUJmsjctH3x_1BI5bMUIT" TargetMode="External"/><Relationship Id="rId164" Type="http://schemas.openxmlformats.org/officeDocument/2006/relationships/hyperlink" Target="https://drive.google.com/open?id=1Bm-bi4PptqDIHQQXV4273urDDEgkTYli" TargetMode="External"/><Relationship Id="rId371" Type="http://schemas.openxmlformats.org/officeDocument/2006/relationships/hyperlink" Target="https://drive.google.com/open?id=1t5-pgW_hABSPnr8a7HZ4IYkNEp7OXIzt" TargetMode="External"/><Relationship Id="rId1015" Type="http://schemas.openxmlformats.org/officeDocument/2006/relationships/hyperlink" Target="https://drive.google.com/open?id=1aJPIQHdorWx-XkNR5_DSy0bwEaBsmtgU" TargetMode="External"/><Relationship Id="rId1222" Type="http://schemas.openxmlformats.org/officeDocument/2006/relationships/hyperlink" Target="https://drive.google.com/open?id=1cWRUnZpUgwaSDIQKqOJIKXY6aQxMmui4" TargetMode="External"/><Relationship Id="rId469" Type="http://schemas.openxmlformats.org/officeDocument/2006/relationships/hyperlink" Target="https://drive.google.com/open?id=1KSW7hLtpiOQ1qi4fgVxTQnodY41_YtRU" TargetMode="External"/><Relationship Id="rId676" Type="http://schemas.openxmlformats.org/officeDocument/2006/relationships/hyperlink" Target="https://drive.google.com/open?id=1iJDoe3-7w9iPF6KRl4pNvCHTVYkK6aGf" TargetMode="External"/><Relationship Id="rId883" Type="http://schemas.openxmlformats.org/officeDocument/2006/relationships/hyperlink" Target="https://drive.google.com/open?id=1mwTpCZKpholNW74NsIQlle6y-31OaVlx" TargetMode="External"/><Relationship Id="rId1099" Type="http://schemas.openxmlformats.org/officeDocument/2006/relationships/hyperlink" Target="https://drive.google.com/open?id=1ZqAvA_fnXXTJ8rkpqI6WpjXkO6fpVP_t" TargetMode="External"/><Relationship Id="rId26" Type="http://schemas.openxmlformats.org/officeDocument/2006/relationships/hyperlink" Target="https://drive.google.com/open?id=1nL_MdriRxvIGzWw4NGH7YZj2XiIp4Rmu" TargetMode="External"/><Relationship Id="rId231" Type="http://schemas.openxmlformats.org/officeDocument/2006/relationships/hyperlink" Target="https://drive.google.com/open?id=1_qlDJu7RDy76WqFQPKygbv1sfa3BDghp" TargetMode="External"/><Relationship Id="rId329" Type="http://schemas.openxmlformats.org/officeDocument/2006/relationships/hyperlink" Target="https://drive.google.com/open?id=163W2WXqlFzr4shovAoFb6uMLUbe-NSq0" TargetMode="External"/><Relationship Id="rId536" Type="http://schemas.openxmlformats.org/officeDocument/2006/relationships/hyperlink" Target="https://drive.google.com/open?id=1iGYCMu1VvjzMptAvGw8G67q-Jc7vwTFv" TargetMode="External"/><Relationship Id="rId1166" Type="http://schemas.openxmlformats.org/officeDocument/2006/relationships/hyperlink" Target="https://drive.google.com/open?id=1inV6lrTRcwhXtXK9ScSLR0YBwdYDzy9L" TargetMode="External"/><Relationship Id="rId175" Type="http://schemas.openxmlformats.org/officeDocument/2006/relationships/hyperlink" Target="https://drive.google.com/open?id=1sZIsm4RK6pRDP50knhYGPS5zUrJkMTpp" TargetMode="External"/><Relationship Id="rId743" Type="http://schemas.openxmlformats.org/officeDocument/2006/relationships/hyperlink" Target="https://drive.google.com/open?id=1xqjd-70ojgy_IfzOtPAfLQbx7oKrJiMD" TargetMode="External"/><Relationship Id="rId950" Type="http://schemas.openxmlformats.org/officeDocument/2006/relationships/hyperlink" Target="https://drive.google.com/open?id=1bTTvU-uBZeK6IXJ4uweRWDgdN3NGVZ9U" TargetMode="External"/><Relationship Id="rId1026" Type="http://schemas.openxmlformats.org/officeDocument/2006/relationships/hyperlink" Target="https://drive.google.com/open?id=1qA7cPMKPEg969t7W7Ln9vWBG1KoUhzQc" TargetMode="External"/><Relationship Id="rId382" Type="http://schemas.openxmlformats.org/officeDocument/2006/relationships/hyperlink" Target="https://drive.google.com/open?id=1KdqSSsR2mJ3MioMUCKI6jrObJcNC4JrN" TargetMode="External"/><Relationship Id="rId603" Type="http://schemas.openxmlformats.org/officeDocument/2006/relationships/hyperlink" Target="https://drive.google.com/open?id=1rznn3NDPrQrgrAcDtCH0D5xxMSEq083g" TargetMode="External"/><Relationship Id="rId687" Type="http://schemas.openxmlformats.org/officeDocument/2006/relationships/hyperlink" Target="https://drive.google.com/open?id=15M8CsaTyvOn1Nd_QfWD05Y6XawsDdtZP" TargetMode="External"/><Relationship Id="rId810" Type="http://schemas.openxmlformats.org/officeDocument/2006/relationships/hyperlink" Target="https://drive.google.com/open?id=1p38fk3S42PvlEGk6mFjgq3GOm0bAxrrz" TargetMode="External"/><Relationship Id="rId908" Type="http://schemas.openxmlformats.org/officeDocument/2006/relationships/hyperlink" Target="https://drive.google.com/open?id=1dU0BG3jMcnmdhnJZOMvEr8QT9pY12hGC" TargetMode="External"/><Relationship Id="rId1233" Type="http://schemas.openxmlformats.org/officeDocument/2006/relationships/hyperlink" Target="https://drive.google.com/open?id=1PGntLVO09mZNNVGh2Wg8ST5qJlbsw1Vq" TargetMode="External"/><Relationship Id="rId242" Type="http://schemas.openxmlformats.org/officeDocument/2006/relationships/hyperlink" Target="https://drive.google.com/open?id=1mXi3bffSwW2awQmI9DrQNQ01k6gWDsVK" TargetMode="External"/><Relationship Id="rId894" Type="http://schemas.openxmlformats.org/officeDocument/2006/relationships/hyperlink" Target="https://drive.google.com/open?id=1PqepHbxi1nYzSlL121bouAb6UfkfF0Fu" TargetMode="External"/><Relationship Id="rId1177" Type="http://schemas.openxmlformats.org/officeDocument/2006/relationships/hyperlink" Target="https://drive.google.com/open?id=1dpzIsAq-9wmPIvt_Pjw94M1ME0yQ_ZrU" TargetMode="External"/><Relationship Id="rId37" Type="http://schemas.openxmlformats.org/officeDocument/2006/relationships/hyperlink" Target="https://drive.google.com/open?id=1OiZxkYvW9eNfNtoGbvePXVD1lyYXUo8y" TargetMode="External"/><Relationship Id="rId102" Type="http://schemas.openxmlformats.org/officeDocument/2006/relationships/hyperlink" Target="https://drive.google.com/open?id=1cFx24TS0NOq2jWtg4mc-jgoUp5Yb7Dqj" TargetMode="External"/><Relationship Id="rId547" Type="http://schemas.openxmlformats.org/officeDocument/2006/relationships/hyperlink" Target="https://drive.google.com/open?id=1UtSbpdL0wgV7fYMMRFGRvdpYQqAWiXGn" TargetMode="External"/><Relationship Id="rId754" Type="http://schemas.openxmlformats.org/officeDocument/2006/relationships/hyperlink" Target="https://drive.google.com/open?id=18tJZVAsGfXKDv7Q1HFdrAi2hVfn4fFOB" TargetMode="External"/><Relationship Id="rId961" Type="http://schemas.openxmlformats.org/officeDocument/2006/relationships/hyperlink" Target="https://drive.google.com/open?id=1ROvSnot1pc5rbHgpvhE5oe9kAYb5eHA9" TargetMode="External"/><Relationship Id="rId90" Type="http://schemas.openxmlformats.org/officeDocument/2006/relationships/hyperlink" Target="https://drive.google.com/open?id=1y3-K4AbVHNKQ0DIyFeoqeC5qzhsrCp1z" TargetMode="External"/><Relationship Id="rId186" Type="http://schemas.openxmlformats.org/officeDocument/2006/relationships/hyperlink" Target="https://drive.google.com/open?id=1pXc38zh5dtxij0BDX085kp2P2MzQW1qn" TargetMode="External"/><Relationship Id="rId393" Type="http://schemas.openxmlformats.org/officeDocument/2006/relationships/hyperlink" Target="https://drive.google.com/open?id=1T2LdJWbwQ66_vThWW9HK66xSTHT4Xsgg" TargetMode="External"/><Relationship Id="rId407" Type="http://schemas.openxmlformats.org/officeDocument/2006/relationships/hyperlink" Target="https://drive.google.com/open?id=14m5-s4KWxTaiN7ms3OOXgIhhEQQqp-RI" TargetMode="External"/><Relationship Id="rId614" Type="http://schemas.openxmlformats.org/officeDocument/2006/relationships/hyperlink" Target="https://drive.google.com/open?id=1f9uojzFUBga16paETrwmlx-wGowbbVF6" TargetMode="External"/><Relationship Id="rId821" Type="http://schemas.openxmlformats.org/officeDocument/2006/relationships/hyperlink" Target="https://drive.google.com/open?id=1XLub5cc12UzZqd9_Aoee4OMX4RLAgbHI" TargetMode="External"/><Relationship Id="rId1037" Type="http://schemas.openxmlformats.org/officeDocument/2006/relationships/hyperlink" Target="https://drive.google.com/open?id=1VUTS-ioTXeEjpbHEzGcKdFNcDP7pWFPY" TargetMode="External"/><Relationship Id="rId1244" Type="http://schemas.openxmlformats.org/officeDocument/2006/relationships/hyperlink" Target="https://drive.google.com/open?id=1xQlHv0wKGuutgTTULbr2ijEtGg8ROMDj" TargetMode="External"/><Relationship Id="rId253" Type="http://schemas.openxmlformats.org/officeDocument/2006/relationships/hyperlink" Target="https://drive.google.com/open?id=1M-ll3iHlg2pmh_ncvly2faxfvmbVrKE6" TargetMode="External"/><Relationship Id="rId460" Type="http://schemas.openxmlformats.org/officeDocument/2006/relationships/hyperlink" Target="https://drive.google.com/open?id=17PVZ2u7ns_goO5NfXBNoQO-8lKOtHQTY" TargetMode="External"/><Relationship Id="rId698" Type="http://schemas.openxmlformats.org/officeDocument/2006/relationships/hyperlink" Target="https://drive.google.com/open?id=1CeoNVAH4BZ9OmuGdOzZchKfj-B1scLGX" TargetMode="External"/><Relationship Id="rId919" Type="http://schemas.openxmlformats.org/officeDocument/2006/relationships/hyperlink" Target="https://drive.google.com/open?id=1rHpAizE7KMd-f8TdmUH-BYn_99tpfAsT" TargetMode="External"/><Relationship Id="rId1090" Type="http://schemas.openxmlformats.org/officeDocument/2006/relationships/hyperlink" Target="https://drive.google.com/open?id=1MX5ygKYlHigzBF6d6c0JoLbCzWxqhOpI" TargetMode="External"/><Relationship Id="rId1104" Type="http://schemas.openxmlformats.org/officeDocument/2006/relationships/hyperlink" Target="https://drive.google.com/open?id=1vStvfhlswhf71nsb3rM4YrJ6PC6sVB_m" TargetMode="External"/><Relationship Id="rId48" Type="http://schemas.openxmlformats.org/officeDocument/2006/relationships/hyperlink" Target="https://drive.google.com/open?id=1uJ2Tnz1IAtov7rg2Zy8ssFFLF_cpaHHm" TargetMode="External"/><Relationship Id="rId113" Type="http://schemas.openxmlformats.org/officeDocument/2006/relationships/hyperlink" Target="https://drive.google.com/open?id=1AcBOPIcbguuJsC2ba6Ncc5wyBwtuxki8" TargetMode="External"/><Relationship Id="rId320" Type="http://schemas.openxmlformats.org/officeDocument/2006/relationships/hyperlink" Target="https://drive.google.com/open?id=1LcXoftxxG7-s_RW0fIpkWfv0TIkDR5It" TargetMode="External"/><Relationship Id="rId558" Type="http://schemas.openxmlformats.org/officeDocument/2006/relationships/hyperlink" Target="https://drive.google.com/open?id=1vk7iVXK4oTHRGQoO6Pw0R49Clq_9MYsO" TargetMode="External"/><Relationship Id="rId765" Type="http://schemas.openxmlformats.org/officeDocument/2006/relationships/hyperlink" Target="https://drive.google.com/open?id=1PHchAnwNklc60p--MA90KaU-Gsia--0Y" TargetMode="External"/><Relationship Id="rId972" Type="http://schemas.openxmlformats.org/officeDocument/2006/relationships/hyperlink" Target="https://drive.google.com/open?id=1O11EkbLTKjUJODHh2Y0bkc4g66d_Rm66" TargetMode="External"/><Relationship Id="rId1188" Type="http://schemas.openxmlformats.org/officeDocument/2006/relationships/hyperlink" Target="https://drive.google.com/open?id=11LqRPxfcHgcT4mkFm-Gw_pUPjTrktJfn" TargetMode="External"/><Relationship Id="rId197" Type="http://schemas.openxmlformats.org/officeDocument/2006/relationships/hyperlink" Target="https://drive.google.com/open?id=1_IuTBph6b0LcuRdz2m8PoC4-CcNMSxWs" TargetMode="External"/><Relationship Id="rId418" Type="http://schemas.openxmlformats.org/officeDocument/2006/relationships/hyperlink" Target="https://drive.google.com/open?id=1NP9PTScPLps9_NtfUPnBe5-d2VBc6v08" TargetMode="External"/><Relationship Id="rId625" Type="http://schemas.openxmlformats.org/officeDocument/2006/relationships/hyperlink" Target="https://drive.google.com/open?id=1hj4IJfbW8PqtVZ4ksSq5HayAhdtUJbhe" TargetMode="External"/><Relationship Id="rId832" Type="http://schemas.openxmlformats.org/officeDocument/2006/relationships/hyperlink" Target="https://drive.google.com/open?id=1mM4YX33mpAoiqsg4aef3Lq8LavdoMClg" TargetMode="External"/><Relationship Id="rId1048" Type="http://schemas.openxmlformats.org/officeDocument/2006/relationships/hyperlink" Target="https://drive.google.com/open?id=1iXTCl0ZT7K3H-UwPOefHAZwaCCT-8ryP" TargetMode="External"/><Relationship Id="rId1255" Type="http://schemas.openxmlformats.org/officeDocument/2006/relationships/hyperlink" Target="https://drive.google.com/open?id=1M8LU-k9XJ64obieWt5rCwvHco3Gh-1Q-" TargetMode="External"/><Relationship Id="rId264" Type="http://schemas.openxmlformats.org/officeDocument/2006/relationships/hyperlink" Target="https://drive.google.com/open?id=1RvAF1ZXQTAhNPzkAnC7zHSr3PMrc6lhu" TargetMode="External"/><Relationship Id="rId471" Type="http://schemas.openxmlformats.org/officeDocument/2006/relationships/hyperlink" Target="https://drive.google.com/open?id=1SsSI51UTy7OiOI6gEfzbjvVpapB1JBuB" TargetMode="External"/><Relationship Id="rId1115" Type="http://schemas.openxmlformats.org/officeDocument/2006/relationships/hyperlink" Target="https://drive.google.com/open?id=11V_hI3BeUB9V94vj0ojHCz4OUjyh91UG" TargetMode="External"/><Relationship Id="rId59" Type="http://schemas.openxmlformats.org/officeDocument/2006/relationships/hyperlink" Target="https://drive.google.com/open?id=17hncmyUhPoVqZ6oT6H17LlL2ZUcST_wk" TargetMode="External"/><Relationship Id="rId124" Type="http://schemas.openxmlformats.org/officeDocument/2006/relationships/hyperlink" Target="https://drive.google.com/open?id=103oK0IerRySjAnLiaL47mSiSpfyjooel" TargetMode="External"/><Relationship Id="rId569" Type="http://schemas.openxmlformats.org/officeDocument/2006/relationships/hyperlink" Target="https://drive.google.com/open?id=16-X_PSjs7JIlHm8uxtM_p7IdlbKdl69a" TargetMode="External"/><Relationship Id="rId776" Type="http://schemas.openxmlformats.org/officeDocument/2006/relationships/hyperlink" Target="https://drive.google.com/open?id=1bwBRA6ON2Lqee9hcY4B6rPpLwN2r55QC" TargetMode="External"/><Relationship Id="rId983" Type="http://schemas.openxmlformats.org/officeDocument/2006/relationships/hyperlink" Target="https://drive.google.com/open?id=1afLmqB-rbQWeHOrsULt-W8ZCdjgoE-7C" TargetMode="External"/><Relationship Id="rId1199" Type="http://schemas.openxmlformats.org/officeDocument/2006/relationships/hyperlink" Target="https://drive.google.com/open?id=14KPUaJC_3flYWo_k1WRyX0pTdAWm8_oV" TargetMode="External"/><Relationship Id="rId331" Type="http://schemas.openxmlformats.org/officeDocument/2006/relationships/hyperlink" Target="https://drive.google.com/open?id=17BEXSfx0QKUT4_TtDuQP-LMLbs554c8d" TargetMode="External"/><Relationship Id="rId429" Type="http://schemas.openxmlformats.org/officeDocument/2006/relationships/hyperlink" Target="https://drive.google.com/open?id=1JYI0AkYczb12UstO1ABPw-5VFUxW8fhn" TargetMode="External"/><Relationship Id="rId636" Type="http://schemas.openxmlformats.org/officeDocument/2006/relationships/hyperlink" Target="https://drive.google.com/open?id=1QAFhz2ElYbbHTQ8W_8HXKb0J8ASAE87W" TargetMode="External"/><Relationship Id="rId1059" Type="http://schemas.openxmlformats.org/officeDocument/2006/relationships/hyperlink" Target="https://drive.google.com/open?id=13djDLGL9aZ3nBG4CqjNscOjeR1V1Fgf1" TargetMode="External"/><Relationship Id="rId843" Type="http://schemas.openxmlformats.org/officeDocument/2006/relationships/hyperlink" Target="https://drive.google.com/open?id=1gEAnWwquEPTHpH_-BjkMD9jBfEmKgrz0" TargetMode="External"/><Relationship Id="rId1126" Type="http://schemas.openxmlformats.org/officeDocument/2006/relationships/hyperlink" Target="https://drive.google.com/open?id=1NRsBqbjPhrPvWL20W2LELyZlz3Yvf3os" TargetMode="External"/><Relationship Id="rId275" Type="http://schemas.openxmlformats.org/officeDocument/2006/relationships/hyperlink" Target="https://drive.google.com/open?id=1dax2U7aWpcGfkteyCn-_JSGcwnHSJDKf" TargetMode="External"/><Relationship Id="rId482" Type="http://schemas.openxmlformats.org/officeDocument/2006/relationships/hyperlink" Target="https://drive.google.com/open?id=1UTADVLOpFqBMJR13M3GIHYLz68beUkyu" TargetMode="External"/><Relationship Id="rId703" Type="http://schemas.openxmlformats.org/officeDocument/2006/relationships/hyperlink" Target="https://drive.google.com/open?id=1K5yaP82uARnWCrtHlziR-bnZlRn9HmkW" TargetMode="External"/><Relationship Id="rId910" Type="http://schemas.openxmlformats.org/officeDocument/2006/relationships/hyperlink" Target="https://drive.google.com/open?id=1_cBqAlVvG8rhzOYW9wI2QW__XfVQyLyC" TargetMode="External"/><Relationship Id="rId135" Type="http://schemas.openxmlformats.org/officeDocument/2006/relationships/hyperlink" Target="https://drive.google.com/open?id=1x_wwQ-zyWuXv8F1IIKx9k-S43hGuHyct" TargetMode="External"/><Relationship Id="rId342" Type="http://schemas.openxmlformats.org/officeDocument/2006/relationships/hyperlink" Target="https://drive.google.com/open?id=1IfcrmeGy2Iw2ygjQQOl3s97hYDiPdXrB" TargetMode="External"/><Relationship Id="rId787" Type="http://schemas.openxmlformats.org/officeDocument/2006/relationships/hyperlink" Target="https://drive.google.com/open?id=1VpZVDfeadsu-zCtVyzI_QawwlmJtttUb" TargetMode="External"/><Relationship Id="rId994" Type="http://schemas.openxmlformats.org/officeDocument/2006/relationships/hyperlink" Target="https://drive.google.com/open?id=1OA5cn0SIfgIcQDB0qfqTIjd7BYQw9T5D" TargetMode="External"/><Relationship Id="rId202" Type="http://schemas.openxmlformats.org/officeDocument/2006/relationships/hyperlink" Target="https://drive.google.com/open?id=1XgPJJps6YjUqeTSH7-cvSBF4cn7MAL6L" TargetMode="External"/><Relationship Id="rId647" Type="http://schemas.openxmlformats.org/officeDocument/2006/relationships/hyperlink" Target="https://drive.google.com/open?id=19oB0eka7RXUNohXYLxjFiR6mTsgtLyBY" TargetMode="External"/><Relationship Id="rId854" Type="http://schemas.openxmlformats.org/officeDocument/2006/relationships/hyperlink" Target="https://drive.google.com/open?id=1MOnapvIgYdr1i72IMc5zK9k5TVMNhl_D" TargetMode="External"/><Relationship Id="rId286" Type="http://schemas.openxmlformats.org/officeDocument/2006/relationships/hyperlink" Target="https://drive.google.com/open?id=121uf3fdsCyfF8k4KO34fgQdYmOJXrazd" TargetMode="External"/><Relationship Id="rId493" Type="http://schemas.openxmlformats.org/officeDocument/2006/relationships/hyperlink" Target="https://drive.google.com/open?id=1lK5a1AvKPLqanKH_ycr0id4qESA8lyFy" TargetMode="External"/><Relationship Id="rId507" Type="http://schemas.openxmlformats.org/officeDocument/2006/relationships/hyperlink" Target="https://drive.google.com/open?id=1XohfkH1kyZdLJBcurOVOABNzd9VZckoM" TargetMode="External"/><Relationship Id="rId714" Type="http://schemas.openxmlformats.org/officeDocument/2006/relationships/hyperlink" Target="https://drive.google.com/open?id=1MRekJoKTQarKm5u102k8SdEBQBxp7q3L" TargetMode="External"/><Relationship Id="rId921" Type="http://schemas.openxmlformats.org/officeDocument/2006/relationships/hyperlink" Target="https://drive.google.com/open?id=1LmiMt_sCydMNGUYyOrmKOGo917nWIT3b" TargetMode="External"/><Relationship Id="rId1137" Type="http://schemas.openxmlformats.org/officeDocument/2006/relationships/hyperlink" Target="https://drive.google.com/open?id=1aOCYe--EDUqAI9YSpToOXiRT01K95Q80" TargetMode="External"/><Relationship Id="rId50" Type="http://schemas.openxmlformats.org/officeDocument/2006/relationships/hyperlink" Target="https://drive.google.com/open?id=1NNtYx1_XHeKs4RyvY8baZIYE_PLbD-1T" TargetMode="External"/><Relationship Id="rId146" Type="http://schemas.openxmlformats.org/officeDocument/2006/relationships/hyperlink" Target="https://drive.google.com/open?id=12xzHO5UXrZ8wzzy7ZE9ybJRu9dmVrEKJ" TargetMode="External"/><Relationship Id="rId353" Type="http://schemas.openxmlformats.org/officeDocument/2006/relationships/hyperlink" Target="https://drive.google.com/open?id=1wq0UPsQPRRJJi6aCaOsYlDy2iVOIzeV2" TargetMode="External"/><Relationship Id="rId560" Type="http://schemas.openxmlformats.org/officeDocument/2006/relationships/hyperlink" Target="https://drive.google.com/open?id=12SSXRqShHzQxlToSS9ggufQz1OLWAqet" TargetMode="External"/><Relationship Id="rId798" Type="http://schemas.openxmlformats.org/officeDocument/2006/relationships/hyperlink" Target="https://drive.google.com/open?id=1zD8EW76dp_9gXqucDWTvNv6-z8Yhxxt0" TargetMode="External"/><Relationship Id="rId1190" Type="http://schemas.openxmlformats.org/officeDocument/2006/relationships/hyperlink" Target="https://drive.google.com/open?id=1mbKm4wvTq778sg55aqa-TwwqSc2_OFE1" TargetMode="External"/><Relationship Id="rId1204" Type="http://schemas.openxmlformats.org/officeDocument/2006/relationships/hyperlink" Target="https://drive.google.com/open?id=1BV2HTCiXKYn2wmAQnZwAqOKCaR3qA1en" TargetMode="External"/><Relationship Id="rId213" Type="http://schemas.openxmlformats.org/officeDocument/2006/relationships/hyperlink" Target="https://drive.google.com/open?id=1n9mTR-JPcaAMsbSqKWLbR3yxgierLPRW" TargetMode="External"/><Relationship Id="rId420" Type="http://schemas.openxmlformats.org/officeDocument/2006/relationships/hyperlink" Target="https://drive.google.com/open?id=1-CkXnJchq4dIj2pgPHRfaPhDXGfLlDB_" TargetMode="External"/><Relationship Id="rId658" Type="http://schemas.openxmlformats.org/officeDocument/2006/relationships/hyperlink" Target="https://drive.google.com/open?id=18W0G8EIy_YLVPx8v9TgJCfE1YdC6_umm" TargetMode="External"/><Relationship Id="rId865" Type="http://schemas.openxmlformats.org/officeDocument/2006/relationships/hyperlink" Target="https://drive.google.com/open?id=1JSZcXWLnYl8j6-LQdZNeck8lLfMu4hqU" TargetMode="External"/><Relationship Id="rId1050" Type="http://schemas.openxmlformats.org/officeDocument/2006/relationships/hyperlink" Target="https://drive.google.com/open?id=17nkOOAg0Sg0LeygPyWusewgSNjrRgKAI" TargetMode="External"/><Relationship Id="rId297" Type="http://schemas.openxmlformats.org/officeDocument/2006/relationships/hyperlink" Target="https://drive.google.com/open?id=1ZB3b1wvCIUVqcEN_8ln5cO0-pJktbop2" TargetMode="External"/><Relationship Id="rId518" Type="http://schemas.openxmlformats.org/officeDocument/2006/relationships/hyperlink" Target="https://drive.google.com/open?id=17m0KfdZXqUUUl9GK087cBC0EYQ7_NaxY" TargetMode="External"/><Relationship Id="rId725" Type="http://schemas.openxmlformats.org/officeDocument/2006/relationships/hyperlink" Target="https://drive.google.com/open?id=1RFsSR3HqRh5_BmklxL-_yRHrIunC-4DW" TargetMode="External"/><Relationship Id="rId932" Type="http://schemas.openxmlformats.org/officeDocument/2006/relationships/hyperlink" Target="https://drive.google.com/open?id=1vzOw3FzKVSVE-vq7vQbOXk79ucHrj0Rr" TargetMode="External"/><Relationship Id="rId1148" Type="http://schemas.openxmlformats.org/officeDocument/2006/relationships/hyperlink" Target="https://drive.google.com/open?id=16j46gsYMj1Sf5L0jdCnjxXwbDogxKpfE" TargetMode="External"/><Relationship Id="rId157" Type="http://schemas.openxmlformats.org/officeDocument/2006/relationships/hyperlink" Target="https://drive.google.com/open?id=1mjTc1JHntm-x-x_HKvEyEZVVcuOBJzRX" TargetMode="External"/><Relationship Id="rId364" Type="http://schemas.openxmlformats.org/officeDocument/2006/relationships/hyperlink" Target="https://drive.google.com/open?id=1zV0AxzFWbckwNf0kiz2DTMLGHOlco-wW" TargetMode="External"/><Relationship Id="rId1008" Type="http://schemas.openxmlformats.org/officeDocument/2006/relationships/hyperlink" Target="https://drive.google.com/open?id=1tR2s-a6yp1tI3UwCqoQM1JtMs3qLNzFm" TargetMode="External"/><Relationship Id="rId1215" Type="http://schemas.openxmlformats.org/officeDocument/2006/relationships/hyperlink" Target="https://drive.google.com/open?id=1_evaqKEcYffiZxvGnqvJ85ZEqfiGE1es" TargetMode="External"/><Relationship Id="rId61" Type="http://schemas.openxmlformats.org/officeDocument/2006/relationships/hyperlink" Target="https://drive.google.com/open?id=1ETP_p9zIwV9X1V2R0wOvJol3B0ODK6RQ" TargetMode="External"/><Relationship Id="rId571" Type="http://schemas.openxmlformats.org/officeDocument/2006/relationships/hyperlink" Target="https://drive.google.com/open?id=1Nd5nggmZWYpCISXzVPp4HxV7W7AErtPs" TargetMode="External"/><Relationship Id="rId669" Type="http://schemas.openxmlformats.org/officeDocument/2006/relationships/hyperlink" Target="https://drive.google.com/open?id=1t8UyoqDm71ShyxjJ3yxhyuXWHo-fQ3EP" TargetMode="External"/><Relationship Id="rId876" Type="http://schemas.openxmlformats.org/officeDocument/2006/relationships/hyperlink" Target="https://drive.google.com/open?id=1Dkl1dCD_48wtYXTlDNzNeN9-iHEQICdS" TargetMode="External"/><Relationship Id="rId19" Type="http://schemas.openxmlformats.org/officeDocument/2006/relationships/hyperlink" Target="https://drive.google.com/open?id=1dxPGWja7awTvQtuMPvabUpgHGUayNGYo" TargetMode="External"/><Relationship Id="rId224" Type="http://schemas.openxmlformats.org/officeDocument/2006/relationships/hyperlink" Target="https://drive.google.com/open?id=1exBYferXs8GDoXsp3oSySpjuWbw1PuLw" TargetMode="External"/><Relationship Id="rId431" Type="http://schemas.openxmlformats.org/officeDocument/2006/relationships/hyperlink" Target="https://drive.google.com/open?id=1tvPZtgVdqyzF4tUBy6q6tORQC-npp6WN" TargetMode="External"/><Relationship Id="rId529" Type="http://schemas.openxmlformats.org/officeDocument/2006/relationships/hyperlink" Target="https://drive.google.com/open?id=1SYeFmtmRykFwc-pi5hsOEnlYvWqTKBIB" TargetMode="External"/><Relationship Id="rId736" Type="http://schemas.openxmlformats.org/officeDocument/2006/relationships/hyperlink" Target="https://drive.google.com/open?id=1jF1dg5PkTJKlvdkAPTXnlbpBmEve2yJn" TargetMode="External"/><Relationship Id="rId1061" Type="http://schemas.openxmlformats.org/officeDocument/2006/relationships/hyperlink" Target="https://drive.google.com/open?id=1O6yBtPHdb7YbIMbF_FdQQJ_VceaPWagI" TargetMode="External"/><Relationship Id="rId1159" Type="http://schemas.openxmlformats.org/officeDocument/2006/relationships/hyperlink" Target="https://drive.google.com/open?id=1m0UZZFmBQuvUvxzWXfK6g2bCMwoarxEU" TargetMode="External"/><Relationship Id="rId168" Type="http://schemas.openxmlformats.org/officeDocument/2006/relationships/hyperlink" Target="https://drive.google.com/open?id=1g9JacU6s_xR1ar9T3jhPjp8RAo4E9PiE" TargetMode="External"/><Relationship Id="rId943" Type="http://schemas.openxmlformats.org/officeDocument/2006/relationships/hyperlink" Target="https://drive.google.com/open?id=1Cd5Q_X5ZuAtqUlIIpDK7iz6NCxM8qO-H" TargetMode="External"/><Relationship Id="rId1019" Type="http://schemas.openxmlformats.org/officeDocument/2006/relationships/hyperlink" Target="https://drive.google.com/open?id=1PgCUXrBNggjGWH8mGvNz9w_57GVRtP25" TargetMode="External"/><Relationship Id="rId72" Type="http://schemas.openxmlformats.org/officeDocument/2006/relationships/hyperlink" Target="https://drive.google.com/open?id=1YyHL29HnmiTj9QNnRo7Rgh2QtnbKbNJ4" TargetMode="External"/><Relationship Id="rId375" Type="http://schemas.openxmlformats.org/officeDocument/2006/relationships/hyperlink" Target="https://drive.google.com/open?id=1K9rlE9_aoGuK_-lfK9OA8eSSCxyVgcI3" TargetMode="External"/><Relationship Id="rId582" Type="http://schemas.openxmlformats.org/officeDocument/2006/relationships/hyperlink" Target="https://drive.google.com/open?id=1G054BX5vZlNLCG-TAWB89PBRP1XdIkde" TargetMode="External"/><Relationship Id="rId803" Type="http://schemas.openxmlformats.org/officeDocument/2006/relationships/hyperlink" Target="https://drive.google.com/open?id=1d5EjbDT674DggQmyoVLHMTlJ4z_4NfOS" TargetMode="External"/><Relationship Id="rId1226" Type="http://schemas.openxmlformats.org/officeDocument/2006/relationships/hyperlink" Target="https://drive.google.com/open?id=1ScRqTIPYgE-rvrZeA8a5rHBV32L7JJbb" TargetMode="External"/><Relationship Id="rId3" Type="http://schemas.openxmlformats.org/officeDocument/2006/relationships/hyperlink" Target="https://drive.google.com/open?id=1bYO9J67tZoSNvzA3hxF2HfQuDErGybRO" TargetMode="External"/><Relationship Id="rId235" Type="http://schemas.openxmlformats.org/officeDocument/2006/relationships/hyperlink" Target="https://drive.google.com/open?id=1-bjF8npaSCQ5_i8t3zCJewHrRiI_4NRX" TargetMode="External"/><Relationship Id="rId442" Type="http://schemas.openxmlformats.org/officeDocument/2006/relationships/hyperlink" Target="https://drive.google.com/open?id=1MWfb7ytxGKfDpJdZDJ7snm7-mt6DeBrK" TargetMode="External"/><Relationship Id="rId887" Type="http://schemas.openxmlformats.org/officeDocument/2006/relationships/hyperlink" Target="https://drive.google.com/open?id=1gb45hExXzBCFxwNxE4z5PWIiFAyZT6Is" TargetMode="External"/><Relationship Id="rId1072" Type="http://schemas.openxmlformats.org/officeDocument/2006/relationships/hyperlink" Target="https://drive.google.com/open?id=1HFZnhy3nirBh46hG9mOOdZOkmUDJt1ut" TargetMode="External"/><Relationship Id="rId302" Type="http://schemas.openxmlformats.org/officeDocument/2006/relationships/hyperlink" Target="https://drive.google.com/open?id=1eyFNDi4MB_1xPTC-gX0YL_KxVahP6vLs" TargetMode="External"/><Relationship Id="rId747" Type="http://schemas.openxmlformats.org/officeDocument/2006/relationships/hyperlink" Target="https://drive.google.com/open?id=1gBGPHVhSQscehQZeM2kMNvmmLUukyJ6f" TargetMode="External"/><Relationship Id="rId954" Type="http://schemas.openxmlformats.org/officeDocument/2006/relationships/hyperlink" Target="https://drive.google.com/open?id=1-hhkx-VmaIXrvOKqSDXO0NklzIh5B9Oh" TargetMode="External"/><Relationship Id="rId83" Type="http://schemas.openxmlformats.org/officeDocument/2006/relationships/hyperlink" Target="https://drive.google.com/open?id=1HSs4v7l1aRopFuc0aEA6SJIgnhfFyhq-" TargetMode="External"/><Relationship Id="rId179" Type="http://schemas.openxmlformats.org/officeDocument/2006/relationships/hyperlink" Target="https://drive.google.com/open?id=1H2v3Ug63VNP27c9F8cv6Hiys9NuNaT9g" TargetMode="External"/><Relationship Id="rId386" Type="http://schemas.openxmlformats.org/officeDocument/2006/relationships/hyperlink" Target="https://drive.google.com/open?id=1J_TORVxap7GBA_AwRZRpg-RFm-7C5ADs" TargetMode="External"/><Relationship Id="rId593" Type="http://schemas.openxmlformats.org/officeDocument/2006/relationships/hyperlink" Target="https://drive.google.com/open?id=1wwwobvHURW1OuA9Svdor_ihBk0_vqV3F" TargetMode="External"/><Relationship Id="rId607" Type="http://schemas.openxmlformats.org/officeDocument/2006/relationships/hyperlink" Target="https://drive.google.com/open?id=1t4W2DmEesY7z3Tqr2toaONyeH4hfV1Zb" TargetMode="External"/><Relationship Id="rId814" Type="http://schemas.openxmlformats.org/officeDocument/2006/relationships/hyperlink" Target="https://drive.google.com/open?id=1qk-hU3f_Y-ewYWWPOQuhbepyr7Jou1J5" TargetMode="External"/><Relationship Id="rId1237" Type="http://schemas.openxmlformats.org/officeDocument/2006/relationships/hyperlink" Target="https://drive.google.com/open?id=1Ev8r4YRvGFtj_MjV20pXdpBwpKBww84l" TargetMode="External"/><Relationship Id="rId246" Type="http://schemas.openxmlformats.org/officeDocument/2006/relationships/hyperlink" Target="https://drive.google.com/open?id=1Jok_fEwRabdz_E9mE-xT7nlyBy0M0u8M" TargetMode="External"/><Relationship Id="rId453" Type="http://schemas.openxmlformats.org/officeDocument/2006/relationships/hyperlink" Target="https://drive.google.com/open?id=187IFV9QFG8b4cFl3fGsuxjgquLu6CqcM" TargetMode="External"/><Relationship Id="rId660" Type="http://schemas.openxmlformats.org/officeDocument/2006/relationships/hyperlink" Target="https://drive.google.com/open?id=15NoC7VNe9Z6njqvWCuFxaAcAt7_AbdnB" TargetMode="External"/><Relationship Id="rId898" Type="http://schemas.openxmlformats.org/officeDocument/2006/relationships/hyperlink" Target="https://drive.google.com/open?id=1p2C33kgSXqg7UvKAnLV8zOz-FMw3COmU" TargetMode="External"/><Relationship Id="rId1083" Type="http://schemas.openxmlformats.org/officeDocument/2006/relationships/hyperlink" Target="https://drive.google.com/open?id=1E8yHuBxjxmThHdn98AXdsikH1pybkLb4" TargetMode="External"/><Relationship Id="rId106" Type="http://schemas.openxmlformats.org/officeDocument/2006/relationships/hyperlink" Target="https://drive.google.com/open?id=10MGcTO0xDN8MqEdqbL5REBoEujopqNK_" TargetMode="External"/><Relationship Id="rId313" Type="http://schemas.openxmlformats.org/officeDocument/2006/relationships/hyperlink" Target="https://drive.google.com/open?id=1P0r-M7OY6zhalS5Zz_B1BUsyhp_2NwGq" TargetMode="External"/><Relationship Id="rId758" Type="http://schemas.openxmlformats.org/officeDocument/2006/relationships/hyperlink" Target="https://drive.google.com/open?id=1Tntlxqh2C2FsD_grEQ1T3KwOZ0JlZP0L" TargetMode="External"/><Relationship Id="rId965" Type="http://schemas.openxmlformats.org/officeDocument/2006/relationships/hyperlink" Target="https://drive.google.com/open?id=1-qh4U8-ulmDbSlAf8DHpfk4hyK0U_hmS" TargetMode="External"/><Relationship Id="rId1150" Type="http://schemas.openxmlformats.org/officeDocument/2006/relationships/hyperlink" Target="https://drive.google.com/open?id=1ps4Mr_LqEqUyFmR7QtjOPV1aXm4I_SZV" TargetMode="External"/><Relationship Id="rId10" Type="http://schemas.openxmlformats.org/officeDocument/2006/relationships/hyperlink" Target="https://drive.google.com/open?id=1rqJz1EoC93nx1MIcNLhtYglfQcnI9_i2" TargetMode="External"/><Relationship Id="rId94" Type="http://schemas.openxmlformats.org/officeDocument/2006/relationships/hyperlink" Target="https://drive.google.com/open?id=1yl6Vt1PEuvIOYMTb_KmStN6GYx3rXXmy" TargetMode="External"/><Relationship Id="rId397" Type="http://schemas.openxmlformats.org/officeDocument/2006/relationships/hyperlink" Target="https://drive.google.com/open?id=1l0NCZO7CCzlPVntDbJUMIJyxlLwMpjnz" TargetMode="External"/><Relationship Id="rId520" Type="http://schemas.openxmlformats.org/officeDocument/2006/relationships/hyperlink" Target="https://drive.google.com/open?id=1hdIp_z_on1rF6kBAOldgAodt6TO01WaA" TargetMode="External"/><Relationship Id="rId618" Type="http://schemas.openxmlformats.org/officeDocument/2006/relationships/hyperlink" Target="https://drive.google.com/open?id=1lc7a2obXdIsBaGGxvJP4NhfonvjjAH7f" TargetMode="External"/><Relationship Id="rId825" Type="http://schemas.openxmlformats.org/officeDocument/2006/relationships/hyperlink" Target="https://drive.google.com/open?id=1BnIu12-0_4YyTk4FicrqbO-V2xUcTWGd" TargetMode="External"/><Relationship Id="rId1248" Type="http://schemas.openxmlformats.org/officeDocument/2006/relationships/hyperlink" Target="https://drive.google.com/open?id=1MJVRzstYpkFvmRGfnS-pSO8Ohbkzuik6" TargetMode="External"/><Relationship Id="rId257" Type="http://schemas.openxmlformats.org/officeDocument/2006/relationships/hyperlink" Target="https://drive.google.com/open?id=1H9Br6RD5GcMcrwUbLCEvuklQZMCp-2bI" TargetMode="External"/><Relationship Id="rId464" Type="http://schemas.openxmlformats.org/officeDocument/2006/relationships/hyperlink" Target="https://drive.google.com/open?id=1dqhgcS1zXIflOrXsmk3VKr3VWfieqii8" TargetMode="External"/><Relationship Id="rId1010" Type="http://schemas.openxmlformats.org/officeDocument/2006/relationships/hyperlink" Target="https://drive.google.com/open?id=1QTrtiCGlEUGtvDjEJvS_8PVcWVBHSv1L" TargetMode="External"/><Relationship Id="rId1094" Type="http://schemas.openxmlformats.org/officeDocument/2006/relationships/hyperlink" Target="https://drive.google.com/open?id=1JOHVDBf4KA27mp2C68Rhyt9Mbb_MS9y9" TargetMode="External"/><Relationship Id="rId1108" Type="http://schemas.openxmlformats.org/officeDocument/2006/relationships/hyperlink" Target="https://drive.google.com/open?id=1vUZXf3IRYERfMH2CJSjtmKMHQg6n4_PT" TargetMode="External"/><Relationship Id="rId117" Type="http://schemas.openxmlformats.org/officeDocument/2006/relationships/hyperlink" Target="https://drive.google.com/open?id=1wn97_4hQklnuxd0j-6m3LTvXLUitpRGK" TargetMode="External"/><Relationship Id="rId671" Type="http://schemas.openxmlformats.org/officeDocument/2006/relationships/hyperlink" Target="https://drive.google.com/open?id=1LSSfc8W7cR_6pTdqatT6ksPKn0Xu4u5K" TargetMode="External"/><Relationship Id="rId769" Type="http://schemas.openxmlformats.org/officeDocument/2006/relationships/hyperlink" Target="https://drive.google.com/open?id=1KKrJoXZKWxw882rMIlPcxrmuN_X12uRP" TargetMode="External"/><Relationship Id="rId976" Type="http://schemas.openxmlformats.org/officeDocument/2006/relationships/hyperlink" Target="https://drive.google.com/open?id=1a0l6cevKRb-KYwHqkNJ6ZGr5KZBnn9dC" TargetMode="External"/><Relationship Id="rId324" Type="http://schemas.openxmlformats.org/officeDocument/2006/relationships/hyperlink" Target="https://drive.google.com/open?id=1TgeOOunnCUA52DvmInUyOOn3Qe24sM7d" TargetMode="External"/><Relationship Id="rId531" Type="http://schemas.openxmlformats.org/officeDocument/2006/relationships/hyperlink" Target="https://drive.google.com/open?id=1emqedl2UEuxo5dzjZ7EUstQuMBccP_Qb" TargetMode="External"/><Relationship Id="rId629" Type="http://schemas.openxmlformats.org/officeDocument/2006/relationships/hyperlink" Target="https://drive.google.com/open?id=1cx_WMwcybjZYxR0Bz0j9MfQ-SlTReg61" TargetMode="External"/><Relationship Id="rId1161" Type="http://schemas.openxmlformats.org/officeDocument/2006/relationships/hyperlink" Target="https://drive.google.com/open?id=1G-5ZRtKZlGLeemvGCiEAebM-ps_L6waY" TargetMode="External"/><Relationship Id="rId836" Type="http://schemas.openxmlformats.org/officeDocument/2006/relationships/hyperlink" Target="https://drive.google.com/open?id=1xP8Vq7nyW9tYprEz8IwV9uC8mpslKfEZ" TargetMode="External"/><Relationship Id="rId1021" Type="http://schemas.openxmlformats.org/officeDocument/2006/relationships/hyperlink" Target="https://drive.google.com/open?id=1OW9lMnso2B6-YDyyyGzgDBwAaHHYq33E" TargetMode="External"/><Relationship Id="rId1119" Type="http://schemas.openxmlformats.org/officeDocument/2006/relationships/hyperlink" Target="https://drive.google.com/open?id=1tvvzaugZ5VbtZzFb1wc0vf7KdoIJmg4V" TargetMode="External"/><Relationship Id="rId903" Type="http://schemas.openxmlformats.org/officeDocument/2006/relationships/hyperlink" Target="https://drive.google.com/open?id=1r88GRgIYs_neCl80_HEvAc6T_cslSymQ" TargetMode="External"/><Relationship Id="rId32" Type="http://schemas.openxmlformats.org/officeDocument/2006/relationships/hyperlink" Target="https://drive.google.com/open?id=1sj6Joq101SF0xpq64DlIsoYxgLlEiN6T" TargetMode="External"/><Relationship Id="rId181" Type="http://schemas.openxmlformats.org/officeDocument/2006/relationships/hyperlink" Target="https://drive.google.com/open?id=1A3THuJSMXsVHjhKJUKE1ikhCXL9pZsur" TargetMode="External"/><Relationship Id="rId279" Type="http://schemas.openxmlformats.org/officeDocument/2006/relationships/hyperlink" Target="https://drive.google.com/open?id=1r8lBLcsjTzwERANNjbJQpg6B_vw-bgw0" TargetMode="External"/><Relationship Id="rId486" Type="http://schemas.openxmlformats.org/officeDocument/2006/relationships/hyperlink" Target="https://drive.google.com/open?id=1UtN_BuOY7kGce6qz6sjJbuMFyVz2Z9yy" TargetMode="External"/><Relationship Id="rId693" Type="http://schemas.openxmlformats.org/officeDocument/2006/relationships/hyperlink" Target="https://drive.google.com/open?id=1ICvqP6NkPQyO07iyE1mUOgM9BQxmY44S" TargetMode="External"/><Relationship Id="rId139" Type="http://schemas.openxmlformats.org/officeDocument/2006/relationships/hyperlink" Target="https://drive.google.com/open?id=1eLhhAP7GQ6kez47gCIPsmrzFy4JRsyg7" TargetMode="External"/><Relationship Id="rId346" Type="http://schemas.openxmlformats.org/officeDocument/2006/relationships/hyperlink" Target="https://drive.google.com/open?id=1xdWm_hEkgsfxEmhh6q4r-C41nCQ2gZfO" TargetMode="External"/><Relationship Id="rId553" Type="http://schemas.openxmlformats.org/officeDocument/2006/relationships/hyperlink" Target="https://drive.google.com/open?id=1GCGMDJf8Nawi7L4r0390eIF5MEyTD17o" TargetMode="External"/><Relationship Id="rId760" Type="http://schemas.openxmlformats.org/officeDocument/2006/relationships/hyperlink" Target="https://drive.google.com/open?id=1iLqTZTrmVVMa6etabTwtBfSkFFCL6fuw" TargetMode="External"/><Relationship Id="rId998" Type="http://schemas.openxmlformats.org/officeDocument/2006/relationships/hyperlink" Target="https://drive.google.com/open?id=1qjANP-bC65keUysLdeGH2aglhl6BCfsL" TargetMode="External"/><Relationship Id="rId1183" Type="http://schemas.openxmlformats.org/officeDocument/2006/relationships/hyperlink" Target="https://drive.google.com/open?id=10u2DFHfijECTagiMR7uYmYSeIaqEw-jj" TargetMode="External"/><Relationship Id="rId206" Type="http://schemas.openxmlformats.org/officeDocument/2006/relationships/hyperlink" Target="https://drive.google.com/open?id=190I0S-n6-6cjhjBmn5JpP7jJLMXuxqxG" TargetMode="External"/><Relationship Id="rId413" Type="http://schemas.openxmlformats.org/officeDocument/2006/relationships/hyperlink" Target="https://drive.google.com/open?id=1apeGzQjqsRX5_mRKHRLphzoZ5xItuB0T" TargetMode="External"/><Relationship Id="rId858" Type="http://schemas.openxmlformats.org/officeDocument/2006/relationships/hyperlink" Target="https://drive.google.com/open?id=1d5k41ygMvz5aKL0CZ4ya9w9eJnf6hBcS" TargetMode="External"/><Relationship Id="rId1043" Type="http://schemas.openxmlformats.org/officeDocument/2006/relationships/hyperlink" Target="https://drive.google.com/open?id=1XH-Aybx--zW_HnGcDLMJQDlkBUkiVLLK" TargetMode="External"/><Relationship Id="rId620" Type="http://schemas.openxmlformats.org/officeDocument/2006/relationships/hyperlink" Target="https://drive.google.com/open?id=1AGCuvHP1Q6-XOLF4trIzhhT5b6UvDNrb" TargetMode="External"/><Relationship Id="rId718" Type="http://schemas.openxmlformats.org/officeDocument/2006/relationships/hyperlink" Target="https://drive.google.com/open?id=1UwcQbSlEDyygX67oT-QsRVIJKwE4WTF8" TargetMode="External"/><Relationship Id="rId925" Type="http://schemas.openxmlformats.org/officeDocument/2006/relationships/hyperlink" Target="https://drive.google.com/open?id=1_M2TNW-kSfrTVo7-9aQlUHoigYsR4Gzb" TargetMode="External"/><Relationship Id="rId1250" Type="http://schemas.openxmlformats.org/officeDocument/2006/relationships/hyperlink" Target="https://drive.google.com/open?id=1Dol4CxgNj8IsB9a---8v7Qc24Mqb8LM5" TargetMode="External"/><Relationship Id="rId1110" Type="http://schemas.openxmlformats.org/officeDocument/2006/relationships/hyperlink" Target="https://drive.google.com/open?id=1RbO5yxLs2ivCVf4Yqe_lcbxJvstkcr5E" TargetMode="External"/><Relationship Id="rId1208" Type="http://schemas.openxmlformats.org/officeDocument/2006/relationships/hyperlink" Target="https://drive.google.com/open?id=1xwb8CbIjm8hC3RA7W8fjshQprPjZssXU" TargetMode="External"/><Relationship Id="rId54" Type="http://schemas.openxmlformats.org/officeDocument/2006/relationships/hyperlink" Target="https://drive.google.com/open?id=1eFxh92GSbfyDr8T995XvcEU4mk8oCIe1" TargetMode="External"/><Relationship Id="rId270" Type="http://schemas.openxmlformats.org/officeDocument/2006/relationships/hyperlink" Target="https://drive.google.com/open?id=1KdN_XhpgNKqbvvGLDLxUbce1lK8B70Ku" TargetMode="External"/><Relationship Id="rId130" Type="http://schemas.openxmlformats.org/officeDocument/2006/relationships/hyperlink" Target="https://drive.google.com/open?id=1s4oiVLIf4obBxaksvoCKwr6sgYmDAPkM" TargetMode="External"/><Relationship Id="rId368" Type="http://schemas.openxmlformats.org/officeDocument/2006/relationships/hyperlink" Target="https://drive.google.com/open?id=1-lpECFek7Fi4mZZ7d2yurXBNdeatoj5j" TargetMode="External"/><Relationship Id="rId575" Type="http://schemas.openxmlformats.org/officeDocument/2006/relationships/hyperlink" Target="https://drive.google.com/open?id=1INN_8HLDZA_E5yBd1V43olBLNB_wbXg_" TargetMode="External"/><Relationship Id="rId782" Type="http://schemas.openxmlformats.org/officeDocument/2006/relationships/hyperlink" Target="https://drive.google.com/open?id=1UzaoSXBMO4CfGq1iiIntbd9aRE6JILEH" TargetMode="External"/><Relationship Id="rId228" Type="http://schemas.openxmlformats.org/officeDocument/2006/relationships/hyperlink" Target="https://drive.google.com/open?id=1P2qw0kC1jGp2PTeOxyo1m9lpF18cb-hf" TargetMode="External"/><Relationship Id="rId435" Type="http://schemas.openxmlformats.org/officeDocument/2006/relationships/hyperlink" Target="https://drive.google.com/open?id=1VsNvtPUkM0VfGL8x_pbdCKipe-CAwbwd" TargetMode="External"/><Relationship Id="rId642" Type="http://schemas.openxmlformats.org/officeDocument/2006/relationships/hyperlink" Target="https://drive.google.com/open?id=11eK_eDZNyE3fMVssAzG1H_2ueaOlRrXj" TargetMode="External"/><Relationship Id="rId1065" Type="http://schemas.openxmlformats.org/officeDocument/2006/relationships/hyperlink" Target="https://drive.google.com/open?id=1YLcivcO5tQcygMUMpb7O4ViTlmUkuIx8" TargetMode="External"/><Relationship Id="rId502" Type="http://schemas.openxmlformats.org/officeDocument/2006/relationships/hyperlink" Target="https://drive.google.com/open?id=1lqSr7hotTE5eTp9mKVBsZe0V9TAtCz87" TargetMode="External"/><Relationship Id="rId947" Type="http://schemas.openxmlformats.org/officeDocument/2006/relationships/hyperlink" Target="https://drive.google.com/open?id=169lJExNhR59CbZKDEYMqFCSmXff9qVbW" TargetMode="External"/><Relationship Id="rId1132" Type="http://schemas.openxmlformats.org/officeDocument/2006/relationships/hyperlink" Target="https://drive.google.com/open?id=15w7mSZl_-rBNwF8GAtETBqrH0g5t_L-y" TargetMode="External"/><Relationship Id="rId76" Type="http://schemas.openxmlformats.org/officeDocument/2006/relationships/hyperlink" Target="https://drive.google.com/open?id=11d8MrFEVuWRZHhl0abhcarhKeDAY2OBv" TargetMode="External"/><Relationship Id="rId807" Type="http://schemas.openxmlformats.org/officeDocument/2006/relationships/hyperlink" Target="https://drive.google.com/open?id=1ZT9tO5DoTRWCgtQGWggkPxctvUpx9xuL" TargetMode="External"/><Relationship Id="rId292" Type="http://schemas.openxmlformats.org/officeDocument/2006/relationships/hyperlink" Target="https://drive.google.com/open?id=1KR04N0QlqrkKD0d91gz231YeZUkB5O2O" TargetMode="External"/><Relationship Id="rId597" Type="http://schemas.openxmlformats.org/officeDocument/2006/relationships/hyperlink" Target="https://drive.google.com/open?id=1dReAwzubtvA1aM2eVHwqdU-GcDKZbst4" TargetMode="External"/><Relationship Id="rId152" Type="http://schemas.openxmlformats.org/officeDocument/2006/relationships/hyperlink" Target="https://drive.google.com/open?id=1Rc2lmFzMPm4Ok6YmM0v13J2-BOOapnD2" TargetMode="External"/><Relationship Id="rId457" Type="http://schemas.openxmlformats.org/officeDocument/2006/relationships/hyperlink" Target="https://drive.google.com/open?id=1BvsqiOgrESwb3DnRjhzC0xoNhdLDea7P" TargetMode="External"/><Relationship Id="rId1087" Type="http://schemas.openxmlformats.org/officeDocument/2006/relationships/hyperlink" Target="https://drive.google.com/open?id=1pmqE0-35dJcNpE3ZPN_I7KLiURq3c3be" TargetMode="External"/><Relationship Id="rId664" Type="http://schemas.openxmlformats.org/officeDocument/2006/relationships/hyperlink" Target="https://drive.google.com/open?id=1RgOEnqncxiwz0uPnMw6askGZVose1ex_" TargetMode="External"/><Relationship Id="rId871" Type="http://schemas.openxmlformats.org/officeDocument/2006/relationships/hyperlink" Target="https://drive.google.com/open?id=1P-Fz8qlq7qQKWyl9Mk27PQTbzfkv-NTR" TargetMode="External"/><Relationship Id="rId969" Type="http://schemas.openxmlformats.org/officeDocument/2006/relationships/hyperlink" Target="https://drive.google.com/open?id=1Hi1CfKUnUVD6UxfylvEPJfAcDcl5tB0Z" TargetMode="External"/><Relationship Id="rId317" Type="http://schemas.openxmlformats.org/officeDocument/2006/relationships/hyperlink" Target="https://drive.google.com/open?id=1kuZMBgh2CGjHIIJlwndV9ItZRH7njz0Z" TargetMode="External"/><Relationship Id="rId524" Type="http://schemas.openxmlformats.org/officeDocument/2006/relationships/hyperlink" Target="https://drive.google.com/open?id=1tum6Kd_DrW-48EL4cRjW1SFoo-t_mtkA" TargetMode="External"/><Relationship Id="rId731" Type="http://schemas.openxmlformats.org/officeDocument/2006/relationships/hyperlink" Target="https://drive.google.com/open?id=1EkDv41M5jteLpPVBSyi2CITBxGHqnW7k" TargetMode="External"/><Relationship Id="rId1154" Type="http://schemas.openxmlformats.org/officeDocument/2006/relationships/hyperlink" Target="https://drive.google.com/open?id=1YKlFWxBwgZHNewtrzHHtpZYHTFxwdSjS" TargetMode="External"/><Relationship Id="rId98" Type="http://schemas.openxmlformats.org/officeDocument/2006/relationships/hyperlink" Target="https://drive.google.com/open?id=1v0JwiAz4Ym2idhRpw1qFBVffnXiRqlfk" TargetMode="External"/><Relationship Id="rId829" Type="http://schemas.openxmlformats.org/officeDocument/2006/relationships/hyperlink" Target="https://drive.google.com/open?id=1L0aqAVzDbd-ezi7-K_Ox2td54tNM0ufq" TargetMode="External"/><Relationship Id="rId1014" Type="http://schemas.openxmlformats.org/officeDocument/2006/relationships/hyperlink" Target="https://drive.google.com/open?id=19y6GLunpGf0t38O3H7PFbqJdID91kUTU" TargetMode="External"/><Relationship Id="rId1221" Type="http://schemas.openxmlformats.org/officeDocument/2006/relationships/hyperlink" Target="https://drive.google.com/open?id=1rPSGxBx8ACS2FijTLvbAw1UTdVWKaPVf" TargetMode="External"/><Relationship Id="rId25" Type="http://schemas.openxmlformats.org/officeDocument/2006/relationships/hyperlink" Target="https://drive.google.com/open?id=1TqEvj-_xzHEqxS2ZEpTVOmSYQhoNoZWi" TargetMode="External"/><Relationship Id="rId174" Type="http://schemas.openxmlformats.org/officeDocument/2006/relationships/hyperlink" Target="https://drive.google.com/open?id=1MKCVPoxnXw_GTRTi_o85ec9tcfeUe4Dh" TargetMode="External"/><Relationship Id="rId381" Type="http://schemas.openxmlformats.org/officeDocument/2006/relationships/hyperlink" Target="https://drive.google.com/open?id=1tBlBanfye4TNBESciWvi3zelC-fJNu68" TargetMode="External"/><Relationship Id="rId241" Type="http://schemas.openxmlformats.org/officeDocument/2006/relationships/hyperlink" Target="https://drive.google.com/open?id=1njFMEKLvm1xukLYIIskrx-QsnRs-ZoGk" TargetMode="External"/><Relationship Id="rId479" Type="http://schemas.openxmlformats.org/officeDocument/2006/relationships/hyperlink" Target="https://drive.google.com/open?id=1S1aP9MNRxraI0Wqe-6fa3C_h6y1Ybksb" TargetMode="External"/><Relationship Id="rId686" Type="http://schemas.openxmlformats.org/officeDocument/2006/relationships/hyperlink" Target="https://drive.google.com/open?id=1gdURw4CmZk3HF2VhB7U0CB7g4CGvk8s2" TargetMode="External"/><Relationship Id="rId893" Type="http://schemas.openxmlformats.org/officeDocument/2006/relationships/hyperlink" Target="https://drive.google.com/open?id=1zzlyEGUn4GAT5xArnPjkRqKjCwSMxILu" TargetMode="External"/><Relationship Id="rId339" Type="http://schemas.openxmlformats.org/officeDocument/2006/relationships/hyperlink" Target="https://drive.google.com/open?id=19m7N2P7Kz6V_Lh_mwGaHlutjXk_Ju26h" TargetMode="External"/><Relationship Id="rId546" Type="http://schemas.openxmlformats.org/officeDocument/2006/relationships/hyperlink" Target="https://drive.google.com/open?id=1N-metQOioBkML6eHKGqkjOa-ojxspUaw" TargetMode="External"/><Relationship Id="rId753" Type="http://schemas.openxmlformats.org/officeDocument/2006/relationships/hyperlink" Target="https://drive.google.com/open?id=1iaLGZD6F9dKl7045TcTWSevQMBwETiwN" TargetMode="External"/><Relationship Id="rId1176" Type="http://schemas.openxmlformats.org/officeDocument/2006/relationships/hyperlink" Target="https://drive.google.com/open?id=1yJvBeOwD-F-4dIZIhDoBMHN8crOkSoI2" TargetMode="External"/><Relationship Id="rId101" Type="http://schemas.openxmlformats.org/officeDocument/2006/relationships/hyperlink" Target="https://drive.google.com/open?id=1mT2SksD33iFG6_LxsPUq4kzzOJikzQ20" TargetMode="External"/><Relationship Id="rId406" Type="http://schemas.openxmlformats.org/officeDocument/2006/relationships/hyperlink" Target="https://drive.google.com/open?id=1rIOzm-is4ZxVw_l0QDmvk6lT5KejVU5V" TargetMode="External"/><Relationship Id="rId960" Type="http://schemas.openxmlformats.org/officeDocument/2006/relationships/hyperlink" Target="https://drive.google.com/open?id=1l1VGAxcym1NIGuJqO-Qq1MMZ1FSJtXdP" TargetMode="External"/><Relationship Id="rId1036" Type="http://schemas.openxmlformats.org/officeDocument/2006/relationships/hyperlink" Target="https://drive.google.com/open?id=18zQiweTjfaFmB5cIqOU2xagbjcQ-PUpz" TargetMode="External"/><Relationship Id="rId1243" Type="http://schemas.openxmlformats.org/officeDocument/2006/relationships/hyperlink" Target="https://drive.google.com/open?id=1pO0BXfAWh9zzaLdGT-CZT_RLgIkUgcyl" TargetMode="External"/><Relationship Id="rId613" Type="http://schemas.openxmlformats.org/officeDocument/2006/relationships/hyperlink" Target="https://drive.google.com/open?id=1GT-uxLYPudOJ-mK7Uzgu157fiUgjih8p" TargetMode="External"/><Relationship Id="rId820" Type="http://schemas.openxmlformats.org/officeDocument/2006/relationships/hyperlink" Target="https://drive.google.com/open?id=18qYOj2RLcPuqUiBf48El9kIZ0IB7xsnu" TargetMode="External"/><Relationship Id="rId918" Type="http://schemas.openxmlformats.org/officeDocument/2006/relationships/hyperlink" Target="https://drive.google.com/open?id=1VwwnEvjGBcqcXqbh0DdmbKbP75gl9cBL" TargetMode="External"/><Relationship Id="rId1103" Type="http://schemas.openxmlformats.org/officeDocument/2006/relationships/hyperlink" Target="https://drive.google.com/open?id=1iOawUTPXK4W78T_5hvMfEVuv-4bome85" TargetMode="External"/><Relationship Id="rId47" Type="http://schemas.openxmlformats.org/officeDocument/2006/relationships/hyperlink" Target="https://drive.google.com/open?id=1m-lAE-7eKa5RAn2XlWToZIg33ieDGnkt" TargetMode="External"/><Relationship Id="rId196" Type="http://schemas.openxmlformats.org/officeDocument/2006/relationships/hyperlink" Target="https://drive.google.com/open?id=1iK83x2bZtPj6h4jZwzkEZ3KYygpQfFwl" TargetMode="External"/><Relationship Id="rId263" Type="http://schemas.openxmlformats.org/officeDocument/2006/relationships/hyperlink" Target="https://drive.google.com/open?id=12M45VCqY3ZclybLgAFdKSvpbvf-wZuMC" TargetMode="External"/><Relationship Id="rId470" Type="http://schemas.openxmlformats.org/officeDocument/2006/relationships/hyperlink" Target="https://drive.google.com/open?id=1X3sB_oLKEJQhf_Mkqpqp-BdeKCJ2Ie-v" TargetMode="External"/><Relationship Id="rId123" Type="http://schemas.openxmlformats.org/officeDocument/2006/relationships/hyperlink" Target="https://drive.google.com/open?id=1JA1dW5iyyPPemuvxqK2A0tyzl0ny3Ne5" TargetMode="External"/><Relationship Id="rId330" Type="http://schemas.openxmlformats.org/officeDocument/2006/relationships/hyperlink" Target="https://drive.google.com/open?id=1BnIVncCOcdJF6v84NxGLYeyKkujImA0X" TargetMode="External"/><Relationship Id="rId568" Type="http://schemas.openxmlformats.org/officeDocument/2006/relationships/hyperlink" Target="https://drive.google.com/open?id=1nEhyjOkz0VE0PBQIhqFTJpv1fKyUfA56" TargetMode="External"/><Relationship Id="rId775" Type="http://schemas.openxmlformats.org/officeDocument/2006/relationships/hyperlink" Target="https://drive.google.com/open?id=1l93mWrG5nsk37PxUH--elC6lb_9Jb_h1" TargetMode="External"/><Relationship Id="rId982" Type="http://schemas.openxmlformats.org/officeDocument/2006/relationships/hyperlink" Target="https://drive.google.com/open?id=1w7vvv5sh2UHaqA0gcixjrIs6S1G0LYyC" TargetMode="External"/><Relationship Id="rId1198" Type="http://schemas.openxmlformats.org/officeDocument/2006/relationships/hyperlink" Target="https://drive.google.com/open?id=1LPEwFQbYSLJ5vn2rLrDHFvEWINztFNb9" TargetMode="External"/><Relationship Id="rId428" Type="http://schemas.openxmlformats.org/officeDocument/2006/relationships/hyperlink" Target="https://drive.google.com/open?id=1SKY1-J0MB8tMrNO_BLS3MotISjmE-3ez" TargetMode="External"/><Relationship Id="rId635" Type="http://schemas.openxmlformats.org/officeDocument/2006/relationships/hyperlink" Target="https://drive.google.com/open?id=1fXFGkkYkeAFnDWvMCDSdqYbdS41YGTtW" TargetMode="External"/><Relationship Id="rId842" Type="http://schemas.openxmlformats.org/officeDocument/2006/relationships/hyperlink" Target="https://drive.google.com/open?id=1miuejRbZv0h_tkc8vGK9trg32wzdrL5X" TargetMode="External"/><Relationship Id="rId1058" Type="http://schemas.openxmlformats.org/officeDocument/2006/relationships/hyperlink" Target="https://drive.google.com/open?id=1SPlITfoSox2GcK4pyBYTBHMQZ8G-F0aJ" TargetMode="External"/><Relationship Id="rId702" Type="http://schemas.openxmlformats.org/officeDocument/2006/relationships/hyperlink" Target="https://drive.google.com/open?id=1VvnBOgVshJm1BygDw5_L2TYFyrikjPuC" TargetMode="External"/><Relationship Id="rId1125" Type="http://schemas.openxmlformats.org/officeDocument/2006/relationships/hyperlink" Target="https://drive.google.com/open?id=1egLeqvU7WGcD3K2GouQhPr3rD00laTK0" TargetMode="External"/><Relationship Id="rId69" Type="http://schemas.openxmlformats.org/officeDocument/2006/relationships/hyperlink" Target="https://drive.google.com/open?id=1rC2DeidS_gZ4qhktSYT902EFM59Kxjok" TargetMode="External"/><Relationship Id="rId285" Type="http://schemas.openxmlformats.org/officeDocument/2006/relationships/hyperlink" Target="https://drive.google.com/open?id=1KjCZihFNGzKiKLdTI-6AVeBy_kpI712m" TargetMode="External"/><Relationship Id="rId492" Type="http://schemas.openxmlformats.org/officeDocument/2006/relationships/hyperlink" Target="https://drive.google.com/open?id=1DJ67IZK9fbkroKFZfxHfzWwJry6OlMZc" TargetMode="External"/><Relationship Id="rId797" Type="http://schemas.openxmlformats.org/officeDocument/2006/relationships/hyperlink" Target="https://drive.google.com/open?id=1SSh_Hhr0Fu9Jb62TEbgxdGEsRKFykRYt" TargetMode="External"/><Relationship Id="rId145" Type="http://schemas.openxmlformats.org/officeDocument/2006/relationships/hyperlink" Target="https://drive.google.com/open?id=1U7UO4PV0AasvGV1m0QX2wSyzQW8MKRzS" TargetMode="External"/><Relationship Id="rId352" Type="http://schemas.openxmlformats.org/officeDocument/2006/relationships/hyperlink" Target="https://drive.google.com/open?id=1osmXkI567a34b2AyD5AqFVQKABHH_t9_" TargetMode="External"/><Relationship Id="rId212" Type="http://schemas.openxmlformats.org/officeDocument/2006/relationships/hyperlink" Target="https://drive.google.com/open?id=1bMwI81yjtrBruUn1600VoY9sbVL6Ft1c" TargetMode="External"/><Relationship Id="rId657" Type="http://schemas.openxmlformats.org/officeDocument/2006/relationships/hyperlink" Target="https://drive.google.com/open?id=18Epq500tcInZOdyxjts7YvFMq-JZkXks" TargetMode="External"/><Relationship Id="rId864" Type="http://schemas.openxmlformats.org/officeDocument/2006/relationships/hyperlink" Target="https://drive.google.com/open?id=1UdiyFTp4_I4HcWIwuF1AMlC9wZWh8Hnj" TargetMode="External"/><Relationship Id="rId517" Type="http://schemas.openxmlformats.org/officeDocument/2006/relationships/hyperlink" Target="https://drive.google.com/open?id=1Ok-VdvWDlv7pFaDiLIizN1izbYt3F68w" TargetMode="External"/><Relationship Id="rId724" Type="http://schemas.openxmlformats.org/officeDocument/2006/relationships/hyperlink" Target="https://drive.google.com/open?id=1_-Yh7iy6hHbvFizBk15vMm4zVCOBYwoK" TargetMode="External"/><Relationship Id="rId931" Type="http://schemas.openxmlformats.org/officeDocument/2006/relationships/hyperlink" Target="https://drive.google.com/open?id=1Sk4i-MveCr82K5UphogUwRXU77SPW9W4" TargetMode="External"/><Relationship Id="rId1147" Type="http://schemas.openxmlformats.org/officeDocument/2006/relationships/hyperlink" Target="https://drive.google.com/open?id=15PyTZKySg0d-5tuWMFzHLDp_SPPpB-PZ" TargetMode="External"/><Relationship Id="rId60" Type="http://schemas.openxmlformats.org/officeDocument/2006/relationships/hyperlink" Target="https://drive.google.com/open?id=11znKl67m_2PZHfdThT2qgAufcskTJMY3" TargetMode="External"/><Relationship Id="rId1007" Type="http://schemas.openxmlformats.org/officeDocument/2006/relationships/hyperlink" Target="https://drive.google.com/open?id=1ZHrq6NG_c2QaTjtgG2xhvrDczyKNXxZs" TargetMode="External"/><Relationship Id="rId1214" Type="http://schemas.openxmlformats.org/officeDocument/2006/relationships/hyperlink" Target="https://drive.google.com/open?id=16VQ6d89mL9Ny3J2oUO_K1njnkP0hGXO-" TargetMode="External"/><Relationship Id="rId18" Type="http://schemas.openxmlformats.org/officeDocument/2006/relationships/hyperlink" Target="https://drive.google.com/open?id=1SFZ2gXIfydpYWM5Z6zHuB5S99MPKqyws" TargetMode="External"/><Relationship Id="rId167" Type="http://schemas.openxmlformats.org/officeDocument/2006/relationships/hyperlink" Target="https://drive.google.com/open?id=1RI1cqzoP_imh7l3aHSQtGSCz1PhUBM-I" TargetMode="External"/><Relationship Id="rId374" Type="http://schemas.openxmlformats.org/officeDocument/2006/relationships/hyperlink" Target="https://drive.google.com/open?id=1y7TOegs3z_T7eIDnSdP-ssisxEsS-w7Y" TargetMode="External"/><Relationship Id="rId581" Type="http://schemas.openxmlformats.org/officeDocument/2006/relationships/hyperlink" Target="https://drive.google.com/open?id=1IZUczFmSsSUx3cFTANtXrp3D_qMwm_9P" TargetMode="External"/><Relationship Id="rId234" Type="http://schemas.openxmlformats.org/officeDocument/2006/relationships/hyperlink" Target="https://drive.google.com/open?id=1C1DYe35buiCe02jhcsudyziRCb-mhwwz" TargetMode="External"/><Relationship Id="rId679" Type="http://schemas.openxmlformats.org/officeDocument/2006/relationships/hyperlink" Target="https://drive.google.com/open?id=1oe6aJSIhzEH_PJBxOTWdBSkjbnVbcx7u" TargetMode="External"/><Relationship Id="rId886" Type="http://schemas.openxmlformats.org/officeDocument/2006/relationships/hyperlink" Target="https://drive.google.com/open?id=1jX4R6e_bWWmcHX7sBkk6e1xjPA2-7Q_w" TargetMode="External"/><Relationship Id="rId2" Type="http://schemas.openxmlformats.org/officeDocument/2006/relationships/hyperlink" Target="https://drive.google.com/open?id=1gNHqS2p65BiUpAAVfBk_yQTxR18tevxC" TargetMode="External"/><Relationship Id="rId441" Type="http://schemas.openxmlformats.org/officeDocument/2006/relationships/hyperlink" Target="https://drive.google.com/open?id=1RGztSfMTytFn7nu9Od7sVqan9VrhPsvP" TargetMode="External"/><Relationship Id="rId539" Type="http://schemas.openxmlformats.org/officeDocument/2006/relationships/hyperlink" Target="https://drive.google.com/open?id=1kGS2UfMW4YwWBWHHWgz84TahRH_405Dc" TargetMode="External"/><Relationship Id="rId746" Type="http://schemas.openxmlformats.org/officeDocument/2006/relationships/hyperlink" Target="https://drive.google.com/open?id=1WqlYFnYgAGeQogRBuMHeib6XYr8ylaJr" TargetMode="External"/><Relationship Id="rId1071" Type="http://schemas.openxmlformats.org/officeDocument/2006/relationships/hyperlink" Target="https://drive.google.com/open?id=15SD-nL8ja52WTD7XlmS0gVxuEpwSAa9b" TargetMode="External"/><Relationship Id="rId1169" Type="http://schemas.openxmlformats.org/officeDocument/2006/relationships/hyperlink" Target="https://drive.google.com/open?id=1JQAy26rehS8yrOuwl36xjpaSir7DOcvn" TargetMode="External"/><Relationship Id="rId301" Type="http://schemas.openxmlformats.org/officeDocument/2006/relationships/hyperlink" Target="https://drive.google.com/open?id=11tlUaWLx5fLi9jgWlR9PHYbkseFLdBic" TargetMode="External"/><Relationship Id="rId953" Type="http://schemas.openxmlformats.org/officeDocument/2006/relationships/hyperlink" Target="https://drive.google.com/open?id=1bZbp3VN_ycWhXRS5Uwh8hcWBu1y-Oata" TargetMode="External"/><Relationship Id="rId1029" Type="http://schemas.openxmlformats.org/officeDocument/2006/relationships/hyperlink" Target="https://drive.google.com/open?id=1sVBN6kG4CaADF7qXRIce-c-9J7SAa0O6" TargetMode="External"/><Relationship Id="rId1236" Type="http://schemas.openxmlformats.org/officeDocument/2006/relationships/hyperlink" Target="https://drive.google.com/open?id=1R4PWhm3rHCO6b90NRo15gIoSvxpHYjoV" TargetMode="External"/><Relationship Id="rId82" Type="http://schemas.openxmlformats.org/officeDocument/2006/relationships/hyperlink" Target="https://drive.google.com/open?id=1TRKHfvNgnn5Lz9WZeyZBy3xA-WKK-upj" TargetMode="External"/><Relationship Id="rId606" Type="http://schemas.openxmlformats.org/officeDocument/2006/relationships/hyperlink" Target="https://drive.google.com/open?id=1VeJNlV_NkR2K-yCn7sqXIiVDRaLovyQ7" TargetMode="External"/><Relationship Id="rId813" Type="http://schemas.openxmlformats.org/officeDocument/2006/relationships/hyperlink" Target="https://drive.google.com/open?id=1JYWXzbtHVhgeBJDkoS4ELCeERGbh8m-Z" TargetMode="External"/><Relationship Id="rId189" Type="http://schemas.openxmlformats.org/officeDocument/2006/relationships/hyperlink" Target="https://drive.google.com/open?id=1kYFMCsLvLd1EFB_YNHoCdtJ7xpNHVq76" TargetMode="External"/><Relationship Id="rId396" Type="http://schemas.openxmlformats.org/officeDocument/2006/relationships/hyperlink" Target="https://drive.google.com/open?id=1vFqfqkqPanRcAZDgO2uSpqwtah68n5Y3" TargetMode="External"/><Relationship Id="rId256" Type="http://schemas.openxmlformats.org/officeDocument/2006/relationships/hyperlink" Target="https://drive.google.com/open?id=1ba8IzUY3jxtabRMbik3CoN0rlp12-m3h" TargetMode="External"/><Relationship Id="rId463" Type="http://schemas.openxmlformats.org/officeDocument/2006/relationships/hyperlink" Target="https://drive.google.com/open?id=1WtN9DGNOJWmV5jprpHk0Hp3HfwfopWiy" TargetMode="External"/><Relationship Id="rId670" Type="http://schemas.openxmlformats.org/officeDocument/2006/relationships/hyperlink" Target="https://drive.google.com/open?id=1gP4OvqoeqPRl-wmq9p-h3uvODzFM4-yl" TargetMode="External"/><Relationship Id="rId1093" Type="http://schemas.openxmlformats.org/officeDocument/2006/relationships/hyperlink" Target="https://drive.google.com/open?id=1fwESmfwDEc0rKUi6XHSCOGFwQ68ArZu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36"/>
  <sheetViews>
    <sheetView tabSelected="1" zoomScale="115" zoomScaleNormal="115" workbookViewId="0">
      <pane xSplit="1" ySplit="1" topLeftCell="B2" activePane="bottomRight" state="frozen"/>
      <selection pane="topRight" activeCell="D1" sqref="D1"/>
      <selection pane="bottomLeft" activeCell="A2" sqref="A2"/>
      <selection pane="bottomRight" activeCell="G142" sqref="G142"/>
    </sheetView>
  </sheetViews>
  <sheetFormatPr defaultColWidth="12.54296875" defaultRowHeight="15" customHeight="1" x14ac:dyDescent="0.25"/>
  <cols>
    <col min="1" max="1" width="13.1796875" customWidth="1"/>
    <col min="2" max="3" width="26.26953125" bestFit="1" customWidth="1"/>
    <col min="4" max="4" width="19.7265625" bestFit="1" customWidth="1"/>
    <col min="5" max="5" width="26.26953125" bestFit="1" customWidth="1"/>
    <col min="6" max="6" width="30.90625" bestFit="1" customWidth="1"/>
    <col min="7" max="7" width="12.08984375" bestFit="1" customWidth="1"/>
    <col min="8" max="8" width="14.90625" bestFit="1" customWidth="1"/>
  </cols>
  <sheetData>
    <row r="1" spans="1:8" ht="16.5" x14ac:dyDescent="0.35">
      <c r="A1" s="57" t="s">
        <v>1</v>
      </c>
      <c r="B1" s="61" t="s">
        <v>2625</v>
      </c>
      <c r="C1" s="61" t="s">
        <v>2626</v>
      </c>
      <c r="D1" s="61" t="s">
        <v>2627</v>
      </c>
      <c r="E1" s="61" t="s">
        <v>2628</v>
      </c>
      <c r="F1" s="61" t="s">
        <v>2629</v>
      </c>
      <c r="G1" s="61" t="s">
        <v>2630</v>
      </c>
      <c r="H1" s="61" t="s">
        <v>3</v>
      </c>
    </row>
    <row r="2" spans="1:8" ht="15.75" customHeight="1" x14ac:dyDescent="0.35">
      <c r="A2" s="58" t="s">
        <v>4</v>
      </c>
      <c r="B2" t="str">
        <f>VLOOKUP($A2,'[1]Phân công'!$B$2:$S$256,16,FALSE)</f>
        <v>TS Nguyễn Thanh Liêm</v>
      </c>
      <c r="C2" t="str">
        <f>VLOOKUP($A2,'[1]Phân công'!$B$2:$S$256,13,FALSE)</f>
        <v>TS Nguyễn Thanh Liêm</v>
      </c>
      <c r="D2" t="str">
        <f>VLOOKUP($A2,'[1]Phân công'!$B$2:$S$256,14,FALSE)</f>
        <v>TS Nguyễn Trung Hiếu</v>
      </c>
      <c r="E2" t="str">
        <f>VLOOKUP($A2,'[1]Phân công'!$B$2:$S$256,15,FALSE)</f>
        <v>ThS Ngô Phú Thanh</v>
      </c>
      <c r="F2" t="str">
        <f>VLOOKUP($A2,'[1]Phân công'!$B$2:$S$256,18,FALSE)</f>
        <v>8h00 sáng thứ năm ngày 05/3/2026</v>
      </c>
      <c r="G2" t="s">
        <v>2631</v>
      </c>
      <c r="H2" t="s">
        <v>2635</v>
      </c>
    </row>
    <row r="3" spans="1:8" ht="15.75" customHeight="1" x14ac:dyDescent="0.35">
      <c r="A3" s="58" t="s">
        <v>12</v>
      </c>
      <c r="B3" t="str">
        <f>VLOOKUP($A3,'[1]Phân công'!$B$2:$S$256,16,FALSE)</f>
        <v>TS Nguyễn Trung Hiếu</v>
      </c>
      <c r="C3" t="str">
        <f>VLOOKUP($A3,'[1]Phân công'!$B$2:$S$256,13,FALSE)</f>
        <v>TS Nguyễn Thanh Liêm</v>
      </c>
      <c r="D3" t="str">
        <f>VLOOKUP($A3,'[1]Phân công'!$B$2:$S$256,14,FALSE)</f>
        <v>TS Nguyễn Trung Hiếu</v>
      </c>
      <c r="E3" t="str">
        <f>VLOOKUP($A3,'[1]Phân công'!$B$2:$S$256,15,FALSE)</f>
        <v>ThS Ngô Phú Thanh</v>
      </c>
      <c r="F3" t="str">
        <f>VLOOKUP($A3,'[1]Phân công'!$B$2:$S$256,18,FALSE)</f>
        <v>8h00 sáng thứ năm ngày 05/3/2026</v>
      </c>
      <c r="G3" t="s">
        <v>2631</v>
      </c>
      <c r="H3" t="s">
        <v>2635</v>
      </c>
    </row>
    <row r="4" spans="1:8" ht="15.75" customHeight="1" x14ac:dyDescent="0.35">
      <c r="A4" s="58" t="s">
        <v>15</v>
      </c>
      <c r="B4" t="str">
        <f>VLOOKUP($A4,'[1]Phân công'!$B$2:$S$256,16,FALSE)</f>
        <v>TS Nguyễn Trung Hiếu</v>
      </c>
      <c r="C4" t="str">
        <f>VLOOKUP($A4,'[1]Phân công'!$B$2:$S$256,13,FALSE)</f>
        <v>TS Nguyễn Thanh Liêm</v>
      </c>
      <c r="D4" t="str">
        <f>VLOOKUP($A4,'[1]Phân công'!$B$2:$S$256,14,FALSE)</f>
        <v>TS Nguyễn Trung Hiếu</v>
      </c>
      <c r="E4" t="str">
        <f>VLOOKUP($A4,'[1]Phân công'!$B$2:$S$256,15,FALSE)</f>
        <v>ThS Ngô Phú Thanh</v>
      </c>
      <c r="F4" t="str">
        <f>VLOOKUP($A4,'[1]Phân công'!$B$2:$S$256,18,FALSE)</f>
        <v>8h00 sáng thứ năm ngày 05/3/2026</v>
      </c>
      <c r="G4" t="s">
        <v>2631</v>
      </c>
      <c r="H4" t="s">
        <v>2635</v>
      </c>
    </row>
    <row r="5" spans="1:8" ht="15.75" customHeight="1" x14ac:dyDescent="0.35">
      <c r="A5" s="58" t="s">
        <v>20</v>
      </c>
      <c r="B5" t="str">
        <f>VLOOKUP($A5,'[1]Phân công'!$B$2:$S$256,16,FALSE)</f>
        <v>ThS Ngô Phú Thanh</v>
      </c>
      <c r="C5" t="str">
        <f>VLOOKUP($A5,'[1]Phân công'!$B$2:$S$256,13,FALSE)</f>
        <v>TS Nguyễn Thanh Liêm</v>
      </c>
      <c r="D5" t="str">
        <f>VLOOKUP($A5,'[1]Phân công'!$B$2:$S$256,14,FALSE)</f>
        <v>TS Nguyễn Trung Hiếu</v>
      </c>
      <c r="E5" t="str">
        <f>VLOOKUP($A5,'[1]Phân công'!$B$2:$S$256,15,FALSE)</f>
        <v>ThS Ngô Phú Thanh</v>
      </c>
      <c r="F5" t="str">
        <f>VLOOKUP($A5,'[1]Phân công'!$B$2:$S$256,18,FALSE)</f>
        <v>8h00 sáng thứ năm ngày 05/3/2026</v>
      </c>
      <c r="G5" t="s">
        <v>2631</v>
      </c>
      <c r="H5" t="s">
        <v>2635</v>
      </c>
    </row>
    <row r="6" spans="1:8" ht="15.75" customHeight="1" x14ac:dyDescent="0.35">
      <c r="A6" s="58" t="s">
        <v>23</v>
      </c>
      <c r="B6" t="str">
        <f>VLOOKUP($A6,'[1]Phân công'!$B$2:$S$256,16,FALSE)</f>
        <v>TS Nguyễn Thanh Liêm</v>
      </c>
      <c r="C6" t="str">
        <f>VLOOKUP($A6,'[1]Phân công'!$B$2:$S$256,13,FALSE)</f>
        <v>TS Nguyễn Thanh Liêm</v>
      </c>
      <c r="D6" t="str">
        <f>VLOOKUP($A6,'[1]Phân công'!$B$2:$S$256,14,FALSE)</f>
        <v>TS Nguyễn Trung Hiếu</v>
      </c>
      <c r="E6" t="str">
        <f>VLOOKUP($A6,'[1]Phân công'!$B$2:$S$256,15,FALSE)</f>
        <v>ThS Ngô Phú Thanh</v>
      </c>
      <c r="F6" t="str">
        <f>VLOOKUP($A6,'[1]Phân công'!$B$2:$S$256,18,FALSE)</f>
        <v>8h00 sáng thứ năm ngày 05/3/2026</v>
      </c>
      <c r="G6" t="s">
        <v>2631</v>
      </c>
      <c r="H6" t="s">
        <v>2635</v>
      </c>
    </row>
    <row r="7" spans="1:8" ht="15.75" customHeight="1" x14ac:dyDescent="0.35">
      <c r="A7" s="58" t="s">
        <v>35</v>
      </c>
      <c r="B7" t="str">
        <f>VLOOKUP($A7,'[1]Phân công'!$B$2:$S$256,16,FALSE)</f>
        <v>TS Nguyễn Trung Hiếu</v>
      </c>
      <c r="C7" t="str">
        <f>VLOOKUP($A7,'[1]Phân công'!$B$2:$S$256,13,FALSE)</f>
        <v>TS Nguyễn Thanh Liêm</v>
      </c>
      <c r="D7" t="str">
        <f>VLOOKUP($A7,'[1]Phân công'!$B$2:$S$256,14,FALSE)</f>
        <v>TS Nguyễn Trung Hiếu</v>
      </c>
      <c r="E7" t="str">
        <f>VLOOKUP($A7,'[1]Phân công'!$B$2:$S$256,15,FALSE)</f>
        <v>ThS Ngô Phú Thanh</v>
      </c>
      <c r="F7" t="str">
        <f>VLOOKUP($A7,'[1]Phân công'!$B$2:$S$256,18,FALSE)</f>
        <v>8h00 sáng thứ năm ngày 05/3/2026</v>
      </c>
      <c r="G7" t="s">
        <v>2631</v>
      </c>
      <c r="H7" t="s">
        <v>2635</v>
      </c>
    </row>
    <row r="8" spans="1:8" ht="15.75" customHeight="1" x14ac:dyDescent="0.35">
      <c r="A8" s="58" t="s">
        <v>38</v>
      </c>
      <c r="B8" t="str">
        <f>VLOOKUP($A8,'[1]Phân công'!$B$2:$S$256,16,FALSE)</f>
        <v>ThS Ngô Phú Thanh</v>
      </c>
      <c r="C8" t="str">
        <f>VLOOKUP($A8,'[1]Phân công'!$B$2:$S$256,13,FALSE)</f>
        <v>TS Nguyễn Thanh Liêm</v>
      </c>
      <c r="D8" t="str">
        <f>VLOOKUP($A8,'[1]Phân công'!$B$2:$S$256,14,FALSE)</f>
        <v>TS Nguyễn Trung Hiếu</v>
      </c>
      <c r="E8" t="str">
        <f>VLOOKUP($A8,'[1]Phân công'!$B$2:$S$256,15,FALSE)</f>
        <v>ThS Ngô Phú Thanh</v>
      </c>
      <c r="F8" t="str">
        <f>VLOOKUP($A8,'[1]Phân công'!$B$2:$S$256,18,FALSE)</f>
        <v>8h00 sáng thứ năm ngày 05/3/2026</v>
      </c>
      <c r="G8" t="s">
        <v>2631</v>
      </c>
      <c r="H8" t="s">
        <v>2635</v>
      </c>
    </row>
    <row r="9" spans="1:8" ht="15.75" customHeight="1" x14ac:dyDescent="0.35">
      <c r="A9" s="58" t="s">
        <v>40</v>
      </c>
      <c r="B9" t="str">
        <f>VLOOKUP($A9,'[1]Phân công'!$B$2:$S$256,16,FALSE)</f>
        <v>TS Nguyễn Thanh Liêm</v>
      </c>
      <c r="C9" t="str">
        <f>VLOOKUP($A9,'[1]Phân công'!$B$2:$S$256,13,FALSE)</f>
        <v>TS Nguyễn Thanh Liêm</v>
      </c>
      <c r="D9" t="str">
        <f>VLOOKUP($A9,'[1]Phân công'!$B$2:$S$256,14,FALSE)</f>
        <v>TS Nguyễn Trung Hiếu</v>
      </c>
      <c r="E9" t="str">
        <f>VLOOKUP($A9,'[1]Phân công'!$B$2:$S$256,15,FALSE)</f>
        <v>ThS Ngô Phú Thanh</v>
      </c>
      <c r="F9" t="str">
        <f>VLOOKUP($A9,'[1]Phân công'!$B$2:$S$256,18,FALSE)</f>
        <v>8h00 sáng thứ năm ngày 05/3/2026</v>
      </c>
      <c r="G9" t="s">
        <v>2631</v>
      </c>
      <c r="H9" t="s">
        <v>2635</v>
      </c>
    </row>
    <row r="10" spans="1:8" ht="15.75" customHeight="1" x14ac:dyDescent="0.35">
      <c r="A10" s="58" t="s">
        <v>43</v>
      </c>
      <c r="B10" t="str">
        <f>VLOOKUP($A10,'[1]Phân công'!$B$2:$S$256,16,FALSE)</f>
        <v>TS Nguyễn Trung Hiếu</v>
      </c>
      <c r="C10" t="str">
        <f>VLOOKUP($A10,'[1]Phân công'!$B$2:$S$256,13,FALSE)</f>
        <v>TS Nguyễn Thanh Liêm</v>
      </c>
      <c r="D10" t="str">
        <f>VLOOKUP($A10,'[1]Phân công'!$B$2:$S$256,14,FALSE)</f>
        <v>TS Nguyễn Trung Hiếu</v>
      </c>
      <c r="E10" t="str">
        <f>VLOOKUP($A10,'[1]Phân công'!$B$2:$S$256,15,FALSE)</f>
        <v>ThS Ngô Phú Thanh</v>
      </c>
      <c r="F10" t="str">
        <f>VLOOKUP($A10,'[1]Phân công'!$B$2:$S$256,18,FALSE)</f>
        <v>8h00 sáng thứ năm ngày 05/3/2026</v>
      </c>
      <c r="G10" t="s">
        <v>2631</v>
      </c>
      <c r="H10" t="s">
        <v>2635</v>
      </c>
    </row>
    <row r="11" spans="1:8" ht="15.75" customHeight="1" x14ac:dyDescent="0.35">
      <c r="A11" s="58" t="s">
        <v>45</v>
      </c>
      <c r="B11" t="str">
        <f>VLOOKUP($A11,'[1]Phân công'!$B$2:$S$256,16,FALSE)</f>
        <v>ThS Ngô Phú Thanh</v>
      </c>
      <c r="C11" t="str">
        <f>VLOOKUP($A11,'[1]Phân công'!$B$2:$S$256,13,FALSE)</f>
        <v>TS Nguyễn Thanh Liêm</v>
      </c>
      <c r="D11" t="str">
        <f>VLOOKUP($A11,'[1]Phân công'!$B$2:$S$256,14,FALSE)</f>
        <v>TS Nguyễn Trung Hiếu</v>
      </c>
      <c r="E11" t="str">
        <f>VLOOKUP($A11,'[1]Phân công'!$B$2:$S$256,15,FALSE)</f>
        <v>ThS Ngô Phú Thanh</v>
      </c>
      <c r="F11" t="str">
        <f>VLOOKUP($A11,'[1]Phân công'!$B$2:$S$256,18,FALSE)</f>
        <v>8h00 sáng thứ năm ngày 05/3/2026</v>
      </c>
      <c r="G11" t="s">
        <v>2631</v>
      </c>
      <c r="H11" t="s">
        <v>2635</v>
      </c>
    </row>
    <row r="12" spans="1:8" ht="15.75" customHeight="1" x14ac:dyDescent="0.35">
      <c r="A12" s="58" t="s">
        <v>47</v>
      </c>
      <c r="B12" t="str">
        <f>VLOOKUP($A12,'[1]Phân công'!$B$2:$S$256,16,FALSE)</f>
        <v>TS Nguyễn Thanh Liêm</v>
      </c>
      <c r="C12" t="str">
        <f>VLOOKUP($A12,'[1]Phân công'!$B$2:$S$256,13,FALSE)</f>
        <v>TS Nguyễn Thanh Liêm</v>
      </c>
      <c r="D12" t="str">
        <f>VLOOKUP($A12,'[1]Phân công'!$B$2:$S$256,14,FALSE)</f>
        <v>TS Nguyễn Trung Hiếu</v>
      </c>
      <c r="E12" t="str">
        <f>VLOOKUP($A12,'[1]Phân công'!$B$2:$S$256,15,FALSE)</f>
        <v>ThS Ngô Phú Thanh</v>
      </c>
      <c r="F12" t="str">
        <f>VLOOKUP($A12,'[1]Phân công'!$B$2:$S$256,18,FALSE)</f>
        <v>8h00 sáng thứ năm ngày 05/3/2026</v>
      </c>
      <c r="G12" t="s">
        <v>2631</v>
      </c>
      <c r="H12" t="s">
        <v>2635</v>
      </c>
    </row>
    <row r="13" spans="1:8" ht="15.75" customHeight="1" x14ac:dyDescent="0.35">
      <c r="A13" s="58" t="s">
        <v>51</v>
      </c>
      <c r="B13" t="str">
        <f>VLOOKUP($A13,'[1]Phân công'!$B$2:$S$256,16,FALSE)</f>
        <v>TS Nguyễn Thôn Dã</v>
      </c>
      <c r="C13" t="str">
        <f>VLOOKUP($A13,'[1]Phân công'!$B$2:$S$256,13,FALSE)</f>
        <v>PGS. TS Lê Đức Quang Tú</v>
      </c>
      <c r="D13" t="str">
        <f>VLOOKUP($A13,'[1]Phân công'!$B$2:$S$256,14,FALSE)</f>
        <v>TS Nguyễn Thôn Dã</v>
      </c>
      <c r="E13" t="str">
        <f>VLOOKUP($A13,'[1]Phân công'!$B$2:$S$256,15,FALSE)</f>
        <v>TS Võ Thị Ngọc Trinh</v>
      </c>
      <c r="F13" t="str">
        <f>VLOOKUP($A13,'[1]Phân công'!$B$2:$S$256,18,FALSE)</f>
        <v>8h00 sáng thứ năm ngày 05/3/2026</v>
      </c>
      <c r="G13" t="s">
        <v>2632</v>
      </c>
      <c r="H13" t="s">
        <v>2636</v>
      </c>
    </row>
    <row r="14" spans="1:8" ht="15.75" customHeight="1" x14ac:dyDescent="0.35">
      <c r="A14" s="58" t="s">
        <v>54</v>
      </c>
      <c r="B14" t="str">
        <f>VLOOKUP($A14,'[1]Phân công'!$B$2:$S$256,16,FALSE)</f>
        <v>TS Võ Thị Ngọc Trinh</v>
      </c>
      <c r="C14" t="str">
        <f>VLOOKUP($A14,'[1]Phân công'!$B$2:$S$256,13,FALSE)</f>
        <v>PGS. TS Lê Đức Quang Tú</v>
      </c>
      <c r="D14" t="str">
        <f>VLOOKUP($A14,'[1]Phân công'!$B$2:$S$256,14,FALSE)</f>
        <v>TS Nguyễn Thôn Dã</v>
      </c>
      <c r="E14" t="str">
        <f>VLOOKUP($A14,'[1]Phân công'!$B$2:$S$256,15,FALSE)</f>
        <v>TS Võ Thị Ngọc Trinh</v>
      </c>
      <c r="F14" t="str">
        <f>VLOOKUP($A14,'[1]Phân công'!$B$2:$S$256,18,FALSE)</f>
        <v>8h00 sáng thứ năm ngày 05/3/2026</v>
      </c>
      <c r="G14" t="s">
        <v>2632</v>
      </c>
      <c r="H14" t="s">
        <v>2636</v>
      </c>
    </row>
    <row r="15" spans="1:8" ht="15.75" customHeight="1" x14ac:dyDescent="0.35">
      <c r="A15" s="58" t="s">
        <v>56</v>
      </c>
      <c r="B15" t="str">
        <f>VLOOKUP($A15,'[1]Phân công'!$B$2:$S$256,16,FALSE)</f>
        <v>PGS. TS Lê Đức Quang Tú</v>
      </c>
      <c r="C15" t="str">
        <f>VLOOKUP($A15,'[1]Phân công'!$B$2:$S$256,13,FALSE)</f>
        <v>PGS. TS Lê Đức Quang Tú</v>
      </c>
      <c r="D15" t="str">
        <f>VLOOKUP($A15,'[1]Phân công'!$B$2:$S$256,14,FALSE)</f>
        <v>TS Nguyễn Thôn Dã</v>
      </c>
      <c r="E15" t="str">
        <f>VLOOKUP($A15,'[1]Phân công'!$B$2:$S$256,15,FALSE)</f>
        <v>TS Võ Thị Ngọc Trinh</v>
      </c>
      <c r="F15" t="str">
        <f>VLOOKUP($A15,'[1]Phân công'!$B$2:$S$256,18,FALSE)</f>
        <v>8h00 sáng thứ năm ngày 05/3/2026</v>
      </c>
      <c r="G15" t="s">
        <v>2632</v>
      </c>
      <c r="H15" t="s">
        <v>2636</v>
      </c>
    </row>
    <row r="16" spans="1:8" ht="15.75" customHeight="1" x14ac:dyDescent="0.35">
      <c r="A16" s="58" t="s">
        <v>59</v>
      </c>
      <c r="B16" t="str">
        <f>VLOOKUP($A16,'[1]Phân công'!$B$2:$S$256,16,FALSE)</f>
        <v>TS Nguyễn Thôn Dã</v>
      </c>
      <c r="C16" t="str">
        <f>VLOOKUP($A16,'[1]Phân công'!$B$2:$S$256,13,FALSE)</f>
        <v>PGS. TS Lê Đức Quang Tú</v>
      </c>
      <c r="D16" t="str">
        <f>VLOOKUP($A16,'[1]Phân công'!$B$2:$S$256,14,FALSE)</f>
        <v>TS Nguyễn Thôn Dã</v>
      </c>
      <c r="E16" t="str">
        <f>VLOOKUP($A16,'[1]Phân công'!$B$2:$S$256,15,FALSE)</f>
        <v>TS Võ Thị Ngọc Trinh</v>
      </c>
      <c r="F16" t="str">
        <f>VLOOKUP($A16,'[1]Phân công'!$B$2:$S$256,18,FALSE)</f>
        <v>8h00 sáng thứ năm ngày 05/3/2026</v>
      </c>
      <c r="G16" t="s">
        <v>2632</v>
      </c>
      <c r="H16" t="s">
        <v>2636</v>
      </c>
    </row>
    <row r="17" spans="1:8" ht="15.75" customHeight="1" x14ac:dyDescent="0.35">
      <c r="A17" s="58" t="s">
        <v>61</v>
      </c>
      <c r="B17" t="str">
        <f>VLOOKUP($A17,'[1]Phân công'!$B$2:$S$256,16,FALSE)</f>
        <v>TS Võ Thị Ngọc Trinh</v>
      </c>
      <c r="C17" t="str">
        <f>VLOOKUP($A17,'[1]Phân công'!$B$2:$S$256,13,FALSE)</f>
        <v>PGS. TS Lê Đức Quang Tú</v>
      </c>
      <c r="D17" t="str">
        <f>VLOOKUP($A17,'[1]Phân công'!$B$2:$S$256,14,FALSE)</f>
        <v>TS Nguyễn Thôn Dã</v>
      </c>
      <c r="E17" t="str">
        <f>VLOOKUP($A17,'[1]Phân công'!$B$2:$S$256,15,FALSE)</f>
        <v>TS Võ Thị Ngọc Trinh</v>
      </c>
      <c r="F17" t="str">
        <f>VLOOKUP($A17,'[1]Phân công'!$B$2:$S$256,18,FALSE)</f>
        <v>8h00 sáng thứ năm ngày 05/3/2026</v>
      </c>
      <c r="G17" t="s">
        <v>2632</v>
      </c>
      <c r="H17" t="s">
        <v>2636</v>
      </c>
    </row>
    <row r="18" spans="1:8" ht="15.75" customHeight="1" x14ac:dyDescent="0.35">
      <c r="A18" s="58" t="s">
        <v>63</v>
      </c>
      <c r="B18" t="str">
        <f>VLOOKUP($A18,'[1]Phân công'!$B$2:$S$256,16,FALSE)</f>
        <v>PGS. TS Lê Đức Quang Tú</v>
      </c>
      <c r="C18" t="str">
        <f>VLOOKUP($A18,'[1]Phân công'!$B$2:$S$256,13,FALSE)</f>
        <v>PGS. TS Lê Đức Quang Tú</v>
      </c>
      <c r="D18" t="str">
        <f>VLOOKUP($A18,'[1]Phân công'!$B$2:$S$256,14,FALSE)</f>
        <v>TS Nguyễn Thôn Dã</v>
      </c>
      <c r="E18" t="str">
        <f>VLOOKUP($A18,'[1]Phân công'!$B$2:$S$256,15,FALSE)</f>
        <v>TS Võ Thị Ngọc Trinh</v>
      </c>
      <c r="F18" t="str">
        <f>VLOOKUP($A18,'[1]Phân công'!$B$2:$S$256,18,FALSE)</f>
        <v>8h00 sáng thứ năm ngày 05/3/2026</v>
      </c>
      <c r="G18" t="s">
        <v>2632</v>
      </c>
      <c r="H18" t="s">
        <v>2636</v>
      </c>
    </row>
    <row r="19" spans="1:8" ht="15.75" customHeight="1" x14ac:dyDescent="0.35">
      <c r="A19" s="58" t="s">
        <v>67</v>
      </c>
      <c r="B19" t="str">
        <f>VLOOKUP($A19,'[1]Phân công'!$B$2:$S$256,16,FALSE)</f>
        <v>PGS. TS Lê Đức Quang Tú</v>
      </c>
      <c r="C19" t="str">
        <f>VLOOKUP($A19,'[1]Phân công'!$B$2:$S$256,13,FALSE)</f>
        <v>PGS. TS Lê Đức Quang Tú</v>
      </c>
      <c r="D19" t="str">
        <f>VLOOKUP($A19,'[1]Phân công'!$B$2:$S$256,14,FALSE)</f>
        <v>TS Nguyễn Thôn Dã</v>
      </c>
      <c r="E19" t="str">
        <f>VLOOKUP($A19,'[1]Phân công'!$B$2:$S$256,15,FALSE)</f>
        <v>TS Võ Thị Ngọc Trinh</v>
      </c>
      <c r="F19" t="str">
        <f>VLOOKUP($A19,'[1]Phân công'!$B$2:$S$256,18,FALSE)</f>
        <v>8h00 sáng thứ năm ngày 05/3/2026</v>
      </c>
      <c r="G19" t="s">
        <v>2632</v>
      </c>
      <c r="H19" t="s">
        <v>2636</v>
      </c>
    </row>
    <row r="20" spans="1:8" ht="15.75" customHeight="1" x14ac:dyDescent="0.35">
      <c r="A20" s="58" t="s">
        <v>70</v>
      </c>
      <c r="B20" t="str">
        <f>VLOOKUP($A20,'[1]Phân công'!$B$2:$S$256,16,FALSE)</f>
        <v>TS Nguyễn Thôn Dã</v>
      </c>
      <c r="C20" t="str">
        <f>VLOOKUP($A20,'[1]Phân công'!$B$2:$S$256,13,FALSE)</f>
        <v>PGS. TS Lê Đức Quang Tú</v>
      </c>
      <c r="D20" t="str">
        <f>VLOOKUP($A20,'[1]Phân công'!$B$2:$S$256,14,FALSE)</f>
        <v>TS Nguyễn Thôn Dã</v>
      </c>
      <c r="E20" t="str">
        <f>VLOOKUP($A20,'[1]Phân công'!$B$2:$S$256,15,FALSE)</f>
        <v>TS Võ Thị Ngọc Trinh</v>
      </c>
      <c r="F20" t="str">
        <f>VLOOKUP($A20,'[1]Phân công'!$B$2:$S$256,18,FALSE)</f>
        <v>8h00 sáng thứ năm ngày 05/3/2026</v>
      </c>
      <c r="G20" t="s">
        <v>2632</v>
      </c>
      <c r="H20" t="s">
        <v>2636</v>
      </c>
    </row>
    <row r="21" spans="1:8" ht="15.75" customHeight="1" x14ac:dyDescent="0.35">
      <c r="A21" s="58" t="s">
        <v>75</v>
      </c>
      <c r="B21" t="str">
        <f>VLOOKUP($A21,'[1]Phân công'!$B$2:$S$256,16,FALSE)</f>
        <v>TS Võ Thị Ngọc Trinh</v>
      </c>
      <c r="C21" t="str">
        <f>VLOOKUP($A21,'[1]Phân công'!$B$2:$S$256,13,FALSE)</f>
        <v>PGS. TS Lê Đức Quang Tú</v>
      </c>
      <c r="D21" t="str">
        <f>VLOOKUP($A21,'[1]Phân công'!$B$2:$S$256,14,FALSE)</f>
        <v>TS Nguyễn Thôn Dã</v>
      </c>
      <c r="E21" t="str">
        <f>VLOOKUP($A21,'[1]Phân công'!$B$2:$S$256,15,FALSE)</f>
        <v>TS Võ Thị Ngọc Trinh</v>
      </c>
      <c r="F21" t="str">
        <f>VLOOKUP($A21,'[1]Phân công'!$B$2:$S$256,18,FALSE)</f>
        <v>8h00 sáng thứ năm ngày 05/3/2026</v>
      </c>
      <c r="G21" t="s">
        <v>2632</v>
      </c>
      <c r="H21" t="s">
        <v>2636</v>
      </c>
    </row>
    <row r="22" spans="1:8" ht="18" customHeight="1" x14ac:dyDescent="0.35">
      <c r="A22" s="58" t="s">
        <v>77</v>
      </c>
      <c r="B22" t="str">
        <f>VLOOKUP($A22,'[1]Phân công'!$B$2:$S$256,16,FALSE)</f>
        <v>PGS. TS Lê Đức Quang Tú</v>
      </c>
      <c r="C22" t="str">
        <f>VLOOKUP($A22,'[1]Phân công'!$B$2:$S$256,13,FALSE)</f>
        <v>PGS. TS Lê Đức Quang Tú</v>
      </c>
      <c r="D22" t="str">
        <f>VLOOKUP($A22,'[1]Phân công'!$B$2:$S$256,14,FALSE)</f>
        <v>TS Nguyễn Thôn Dã</v>
      </c>
      <c r="E22" t="str">
        <f>VLOOKUP($A22,'[1]Phân công'!$B$2:$S$256,15,FALSE)</f>
        <v>TS Võ Thị Ngọc Trinh</v>
      </c>
      <c r="F22" t="str">
        <f>VLOOKUP($A22,'[1]Phân công'!$B$2:$S$256,18,FALSE)</f>
        <v>8h00 sáng thứ năm ngày 05/3/2026</v>
      </c>
      <c r="G22" t="s">
        <v>2632</v>
      </c>
      <c r="H22" t="s">
        <v>2636</v>
      </c>
    </row>
    <row r="23" spans="1:8" ht="15.75" customHeight="1" x14ac:dyDescent="0.35">
      <c r="A23" s="58" t="s">
        <v>80</v>
      </c>
      <c r="B23" t="str">
        <f>VLOOKUP($A23,'[1]Phân công'!$B$2:$S$256,16,FALSE)</f>
        <v>TS Nguyễn Thôn Dã</v>
      </c>
      <c r="C23" t="str">
        <f>VLOOKUP($A23,'[1]Phân công'!$B$2:$S$256,13,FALSE)</f>
        <v>PGS. TS Lê Đức Quang Tú</v>
      </c>
      <c r="D23" t="str">
        <f>VLOOKUP($A23,'[1]Phân công'!$B$2:$S$256,14,FALSE)</f>
        <v>TS Nguyễn Thôn Dã</v>
      </c>
      <c r="E23" t="str">
        <f>VLOOKUP($A23,'[1]Phân công'!$B$2:$S$256,15,FALSE)</f>
        <v>TS Võ Thị Ngọc Trinh</v>
      </c>
      <c r="F23" t="str">
        <f>VLOOKUP($A23,'[1]Phân công'!$B$2:$S$256,18,FALSE)</f>
        <v>8h00 sáng thứ năm ngày 05/3/2026</v>
      </c>
      <c r="G23" t="s">
        <v>2632</v>
      </c>
      <c r="H23" t="s">
        <v>2636</v>
      </c>
    </row>
    <row r="24" spans="1:8" ht="15.75" customHeight="1" x14ac:dyDescent="0.35">
      <c r="A24" s="58" t="s">
        <v>82</v>
      </c>
      <c r="B24" t="str">
        <f>VLOOKUP($A24,'[1]Phân công'!$B$2:$S$256,16,FALSE)</f>
        <v>TS Võ Thị Ngọc Trinh</v>
      </c>
      <c r="C24" t="str">
        <f>VLOOKUP($A24,'[1]Phân công'!$B$2:$S$256,13,FALSE)</f>
        <v>PGS. TS Lê Đức Quang Tú</v>
      </c>
      <c r="D24" t="str">
        <f>VLOOKUP($A24,'[1]Phân công'!$B$2:$S$256,14,FALSE)</f>
        <v>TS Nguyễn Thôn Dã</v>
      </c>
      <c r="E24" t="str">
        <f>VLOOKUP($A24,'[1]Phân công'!$B$2:$S$256,15,FALSE)</f>
        <v>TS Võ Thị Ngọc Trinh</v>
      </c>
      <c r="F24" t="str">
        <f>VLOOKUP($A24,'[1]Phân công'!$B$2:$S$256,18,FALSE)</f>
        <v>8h00 sáng thứ năm ngày 05/3/2026</v>
      </c>
      <c r="G24" t="s">
        <v>2632</v>
      </c>
      <c r="H24" t="s">
        <v>2636</v>
      </c>
    </row>
    <row r="25" spans="1:8" ht="15.75" customHeight="1" x14ac:dyDescent="0.35">
      <c r="A25" s="58" t="s">
        <v>84</v>
      </c>
      <c r="B25" t="str">
        <f>VLOOKUP($A25,'[1]Phân công'!$B$2:$S$256,16,FALSE)</f>
        <v>PGS. TS Phạm Thị Thanh Xuân</v>
      </c>
      <c r="C25" t="str">
        <f>VLOOKUP($A25,'[1]Phân công'!$B$2:$S$256,13,FALSE)</f>
        <v>PGS. TS Phạm Thị Thanh Xuân</v>
      </c>
      <c r="D25" t="str">
        <f>VLOOKUP($A25,'[1]Phân công'!$B$2:$S$256,14,FALSE)</f>
        <v>ThS Phan Huy Tâm</v>
      </c>
      <c r="E25" t="str">
        <f>VLOOKUP($A25,'[1]Phân công'!$B$2:$S$256,15,FALSE)</f>
        <v>ThS Phạm Chí Khoa</v>
      </c>
      <c r="F25" t="str">
        <f>VLOOKUP($A25,'[1]Phân công'!$B$2:$S$256,18,FALSE)</f>
        <v>8h00 sáng thứ năm ngày 05/3/2026</v>
      </c>
      <c r="G25" t="s">
        <v>2633</v>
      </c>
      <c r="H25" t="s">
        <v>2637</v>
      </c>
    </row>
    <row r="26" spans="1:8" ht="15.75" customHeight="1" x14ac:dyDescent="0.35">
      <c r="A26" s="58" t="s">
        <v>87</v>
      </c>
      <c r="B26" t="str">
        <f>VLOOKUP($A26,'[1]Phân công'!$B$2:$S$256,16,FALSE)</f>
        <v>ThS Phan Huy Tâm</v>
      </c>
      <c r="C26" t="str">
        <f>VLOOKUP($A26,'[1]Phân công'!$B$2:$S$256,13,FALSE)</f>
        <v>PGS. TS Phạm Thị Thanh Xuân</v>
      </c>
      <c r="D26" t="str">
        <f>VLOOKUP($A26,'[1]Phân công'!$B$2:$S$256,14,FALSE)</f>
        <v>ThS Phan Huy Tâm</v>
      </c>
      <c r="E26" t="str">
        <f>VLOOKUP($A26,'[1]Phân công'!$B$2:$S$256,15,FALSE)</f>
        <v>ThS Phạm Chí Khoa</v>
      </c>
      <c r="F26" t="str">
        <f>VLOOKUP($A26,'[1]Phân công'!$B$2:$S$256,18,FALSE)</f>
        <v>8h00 sáng thứ năm ngày 05/3/2026</v>
      </c>
      <c r="G26" t="s">
        <v>2633</v>
      </c>
      <c r="H26" t="s">
        <v>2637</v>
      </c>
    </row>
    <row r="27" spans="1:8" ht="15.75" customHeight="1" x14ac:dyDescent="0.35">
      <c r="A27" s="58" t="s">
        <v>89</v>
      </c>
      <c r="B27" t="str">
        <f>VLOOKUP($A27,'[1]Phân công'!$B$2:$S$256,16,FALSE)</f>
        <v>ThS Phạm Chí Khoa</v>
      </c>
      <c r="C27" t="str">
        <f>VLOOKUP($A27,'[1]Phân công'!$B$2:$S$256,13,FALSE)</f>
        <v>PGS. TS Phạm Thị Thanh Xuân</v>
      </c>
      <c r="D27" t="str">
        <f>VLOOKUP($A27,'[1]Phân công'!$B$2:$S$256,14,FALSE)</f>
        <v>ThS Phan Huy Tâm</v>
      </c>
      <c r="E27" t="str">
        <f>VLOOKUP($A27,'[1]Phân công'!$B$2:$S$256,15,FALSE)</f>
        <v>ThS Phạm Chí Khoa</v>
      </c>
      <c r="F27" t="str">
        <f>VLOOKUP($A27,'[1]Phân công'!$B$2:$S$256,18,FALSE)</f>
        <v>8h00 sáng thứ năm ngày 05/3/2026</v>
      </c>
      <c r="G27" t="s">
        <v>2633</v>
      </c>
      <c r="H27" t="s">
        <v>2637</v>
      </c>
    </row>
    <row r="28" spans="1:8" ht="15.75" customHeight="1" x14ac:dyDescent="0.35">
      <c r="A28" s="58" t="s">
        <v>91</v>
      </c>
      <c r="B28" t="str">
        <f>VLOOKUP($A28,'[1]Phân công'!$B$2:$S$256,16,FALSE)</f>
        <v>PGS. TS Phạm Thị Thanh Xuân</v>
      </c>
      <c r="C28" t="str">
        <f>VLOOKUP($A28,'[1]Phân công'!$B$2:$S$256,13,FALSE)</f>
        <v>PGS. TS Phạm Thị Thanh Xuân</v>
      </c>
      <c r="D28" t="str">
        <f>VLOOKUP($A28,'[1]Phân công'!$B$2:$S$256,14,FALSE)</f>
        <v>ThS Phan Huy Tâm</v>
      </c>
      <c r="E28" t="str">
        <f>VLOOKUP($A28,'[1]Phân công'!$B$2:$S$256,15,FALSE)</f>
        <v>ThS Phạm Chí Khoa</v>
      </c>
      <c r="F28" t="str">
        <f>VLOOKUP($A28,'[1]Phân công'!$B$2:$S$256,18,FALSE)</f>
        <v>8h00 sáng thứ năm ngày 05/3/2026</v>
      </c>
      <c r="G28" t="s">
        <v>2633</v>
      </c>
      <c r="H28" t="s">
        <v>2637</v>
      </c>
    </row>
    <row r="29" spans="1:8" ht="15.75" customHeight="1" x14ac:dyDescent="0.35">
      <c r="A29" s="58" t="s">
        <v>94</v>
      </c>
      <c r="B29" t="str">
        <f>VLOOKUP($A29,'[1]Phân công'!$B$2:$S$256,16,FALSE)</f>
        <v>ThS Phan Huy Tâm</v>
      </c>
      <c r="C29" t="str">
        <f>VLOOKUP($A29,'[1]Phân công'!$B$2:$S$256,13,FALSE)</f>
        <v>PGS. TS Phạm Thị Thanh Xuân</v>
      </c>
      <c r="D29" t="str">
        <f>VLOOKUP($A29,'[1]Phân công'!$B$2:$S$256,14,FALSE)</f>
        <v>ThS Phan Huy Tâm</v>
      </c>
      <c r="E29" t="str">
        <f>VLOOKUP($A29,'[1]Phân công'!$B$2:$S$256,15,FALSE)</f>
        <v>ThS Phạm Chí Khoa</v>
      </c>
      <c r="F29" t="str">
        <f>VLOOKUP($A29,'[1]Phân công'!$B$2:$S$256,18,FALSE)</f>
        <v>8h00 sáng thứ năm ngày 05/3/2026</v>
      </c>
      <c r="G29" t="s">
        <v>2633</v>
      </c>
      <c r="H29" t="s">
        <v>2637</v>
      </c>
    </row>
    <row r="30" spans="1:8" ht="15.75" customHeight="1" x14ac:dyDescent="0.35">
      <c r="A30" s="58" t="s">
        <v>96</v>
      </c>
      <c r="B30" t="str">
        <f>VLOOKUP($A30,'[1]Phân công'!$B$2:$S$256,16,FALSE)</f>
        <v>ThS Phạm Chí Khoa</v>
      </c>
      <c r="C30" t="str">
        <f>VLOOKUP($A30,'[1]Phân công'!$B$2:$S$256,13,FALSE)</f>
        <v>PGS. TS Phạm Thị Thanh Xuân</v>
      </c>
      <c r="D30" t="str">
        <f>VLOOKUP($A30,'[1]Phân công'!$B$2:$S$256,14,FALSE)</f>
        <v>ThS Phan Huy Tâm</v>
      </c>
      <c r="E30" t="str">
        <f>VLOOKUP($A30,'[1]Phân công'!$B$2:$S$256,15,FALSE)</f>
        <v>ThS Phạm Chí Khoa</v>
      </c>
      <c r="F30" t="str">
        <f>VLOOKUP($A30,'[1]Phân công'!$B$2:$S$256,18,FALSE)</f>
        <v>8h00 sáng thứ năm ngày 05/3/2026</v>
      </c>
      <c r="G30" t="s">
        <v>2633</v>
      </c>
      <c r="H30" t="s">
        <v>2637</v>
      </c>
    </row>
    <row r="31" spans="1:8" ht="15.75" customHeight="1" x14ac:dyDescent="0.35">
      <c r="A31" s="58" t="s">
        <v>111</v>
      </c>
      <c r="B31" t="str">
        <f>VLOOKUP($A31,'[1]Phân công'!$B$2:$S$256,16,FALSE)</f>
        <v>PGS. TS Phạm Thị Thanh Xuân</v>
      </c>
      <c r="C31" t="str">
        <f>VLOOKUP($A31,'[1]Phân công'!$B$2:$S$256,13,FALSE)</f>
        <v>PGS. TS Phạm Thị Thanh Xuân</v>
      </c>
      <c r="D31" t="str">
        <f>VLOOKUP($A31,'[1]Phân công'!$B$2:$S$256,14,FALSE)</f>
        <v>ThS Phan Huy Tâm</v>
      </c>
      <c r="E31" t="str">
        <f>VLOOKUP($A31,'[1]Phân công'!$B$2:$S$256,15,FALSE)</f>
        <v>ThS Phạm Chí Khoa</v>
      </c>
      <c r="F31" t="str">
        <f>VLOOKUP($A31,'[1]Phân công'!$B$2:$S$256,18,FALSE)</f>
        <v>8h00 sáng thứ năm ngày 05/3/2026</v>
      </c>
      <c r="G31" t="s">
        <v>2633</v>
      </c>
      <c r="H31" t="s">
        <v>2637</v>
      </c>
    </row>
    <row r="32" spans="1:8" ht="15.75" customHeight="1" x14ac:dyDescent="0.35">
      <c r="A32" s="58" t="s">
        <v>113</v>
      </c>
      <c r="B32" t="str">
        <f>VLOOKUP($A32,'[1]Phân công'!$B$2:$S$256,16,FALSE)</f>
        <v>ThS Phan Huy Tâm</v>
      </c>
      <c r="C32" t="str">
        <f>VLOOKUP($A32,'[1]Phân công'!$B$2:$S$256,13,FALSE)</f>
        <v>PGS. TS Phạm Thị Thanh Xuân</v>
      </c>
      <c r="D32" t="str">
        <f>VLOOKUP($A32,'[1]Phân công'!$B$2:$S$256,14,FALSE)</f>
        <v>ThS Phan Huy Tâm</v>
      </c>
      <c r="E32" t="str">
        <f>VLOOKUP($A32,'[1]Phân công'!$B$2:$S$256,15,FALSE)</f>
        <v>ThS Phạm Chí Khoa</v>
      </c>
      <c r="F32" t="str">
        <f>VLOOKUP($A32,'[1]Phân công'!$B$2:$S$256,18,FALSE)</f>
        <v>8h00 sáng thứ năm ngày 05/3/2026</v>
      </c>
      <c r="G32" t="s">
        <v>2633</v>
      </c>
      <c r="H32" t="s">
        <v>2637</v>
      </c>
    </row>
    <row r="33" spans="1:8" ht="15.75" customHeight="1" x14ac:dyDescent="0.35">
      <c r="A33" s="58" t="s">
        <v>116</v>
      </c>
      <c r="B33" t="str">
        <f>VLOOKUP($A33,'[1]Phân công'!$B$2:$S$256,16,FALSE)</f>
        <v>ThS Phạm Chí Khoa</v>
      </c>
      <c r="C33" t="str">
        <f>VLOOKUP($A33,'[1]Phân công'!$B$2:$S$256,13,FALSE)</f>
        <v>PGS. TS Phạm Thị Thanh Xuân</v>
      </c>
      <c r="D33" t="str">
        <f>VLOOKUP($A33,'[1]Phân công'!$B$2:$S$256,14,FALSE)</f>
        <v>ThS Phan Huy Tâm</v>
      </c>
      <c r="E33" t="str">
        <f>VLOOKUP($A33,'[1]Phân công'!$B$2:$S$256,15,FALSE)</f>
        <v>ThS Phạm Chí Khoa</v>
      </c>
      <c r="F33" t="str">
        <f>VLOOKUP($A33,'[1]Phân công'!$B$2:$S$256,18,FALSE)</f>
        <v>8h00 sáng thứ năm ngày 05/3/2026</v>
      </c>
      <c r="G33" t="s">
        <v>2633</v>
      </c>
      <c r="H33" t="s">
        <v>2637</v>
      </c>
    </row>
    <row r="34" spans="1:8" ht="15.75" customHeight="1" x14ac:dyDescent="0.35">
      <c r="A34" s="58" t="s">
        <v>118</v>
      </c>
      <c r="B34" t="str">
        <f>VLOOKUP($A34,'[1]Phân công'!$B$2:$S$256,16,FALSE)</f>
        <v>PGS. TS Phạm Thị Thanh Xuân</v>
      </c>
      <c r="C34" t="str">
        <f>VLOOKUP($A34,'[1]Phân công'!$B$2:$S$256,13,FALSE)</f>
        <v>PGS. TS Phạm Thị Thanh Xuân</v>
      </c>
      <c r="D34" t="str">
        <f>VLOOKUP($A34,'[1]Phân công'!$B$2:$S$256,14,FALSE)</f>
        <v>ThS Phan Huy Tâm</v>
      </c>
      <c r="E34" t="str">
        <f>VLOOKUP($A34,'[1]Phân công'!$B$2:$S$256,15,FALSE)</f>
        <v>ThS Phạm Chí Khoa</v>
      </c>
      <c r="F34" t="str">
        <f>VLOOKUP($A34,'[1]Phân công'!$B$2:$S$256,18,FALSE)</f>
        <v>8h00 sáng thứ năm ngày 05/3/2026</v>
      </c>
      <c r="G34" t="s">
        <v>2633</v>
      </c>
      <c r="H34" t="s">
        <v>2637</v>
      </c>
    </row>
    <row r="35" spans="1:8" ht="15.75" customHeight="1" x14ac:dyDescent="0.35">
      <c r="A35" s="58" t="s">
        <v>120</v>
      </c>
      <c r="B35" t="str">
        <f>VLOOKUP($A35,'[1]Phân công'!$B$2:$S$256,16,FALSE)</f>
        <v>TS Nguyễn Thanh Liêm</v>
      </c>
      <c r="C35" t="str">
        <f>VLOOKUP($A35,'[1]Phân công'!$B$2:$S$256,13,FALSE)</f>
        <v>TS Nguyễn Thanh Liêm</v>
      </c>
      <c r="D35" t="str">
        <f>VLOOKUP($A35,'[1]Phân công'!$B$2:$S$256,14,FALSE)</f>
        <v>TS Nguyễn Trung Hiếu</v>
      </c>
      <c r="E35" t="str">
        <f>VLOOKUP($A35,'[1]Phân công'!$B$2:$S$256,15,FALSE)</f>
        <v>ThS Ngô Phú Thanh</v>
      </c>
      <c r="F35" t="str">
        <f>VLOOKUP($A35,'[1]Phân công'!$B$2:$S$256,18,FALSE)</f>
        <v>13h00 chiều thứ năm ngày 05/3/2026</v>
      </c>
      <c r="G35" t="s">
        <v>2631</v>
      </c>
      <c r="H35" t="s">
        <v>2638</v>
      </c>
    </row>
    <row r="36" spans="1:8" ht="15.75" customHeight="1" x14ac:dyDescent="0.35">
      <c r="A36" s="58" t="s">
        <v>123</v>
      </c>
      <c r="B36" t="str">
        <f>VLOOKUP($A36,'[1]Phân công'!$B$2:$S$256,16,FALSE)</f>
        <v>TS Nguyễn Trung Hiếu</v>
      </c>
      <c r="C36" t="str">
        <f>VLOOKUP($A36,'[1]Phân công'!$B$2:$S$256,13,FALSE)</f>
        <v>TS Nguyễn Thanh Liêm</v>
      </c>
      <c r="D36" t="str">
        <f>VLOOKUP($A36,'[1]Phân công'!$B$2:$S$256,14,FALSE)</f>
        <v>TS Nguyễn Trung Hiếu</v>
      </c>
      <c r="E36" t="str">
        <f>VLOOKUP($A36,'[1]Phân công'!$B$2:$S$256,15,FALSE)</f>
        <v>ThS Ngô Phú Thanh</v>
      </c>
      <c r="F36" t="str">
        <f>VLOOKUP($A36,'[1]Phân công'!$B$2:$S$256,18,FALSE)</f>
        <v>13h00 chiều thứ năm ngày 05/3/2026</v>
      </c>
      <c r="G36" t="s">
        <v>2631</v>
      </c>
      <c r="H36" t="s">
        <v>2638</v>
      </c>
    </row>
    <row r="37" spans="1:8" ht="15.75" customHeight="1" x14ac:dyDescent="0.35">
      <c r="A37" s="58" t="s">
        <v>136</v>
      </c>
      <c r="B37" t="str">
        <f>VLOOKUP($A37,'[1]Phân công'!$B$2:$S$256,16,FALSE)</f>
        <v>ThS Ngô Phú Thanh</v>
      </c>
      <c r="C37" t="str">
        <f>VLOOKUP($A37,'[1]Phân công'!$B$2:$S$256,13,FALSE)</f>
        <v>TS Nguyễn Thanh Liêm</v>
      </c>
      <c r="D37" t="str">
        <f>VLOOKUP($A37,'[1]Phân công'!$B$2:$S$256,14,FALSE)</f>
        <v>TS Nguyễn Trung Hiếu</v>
      </c>
      <c r="E37" t="str">
        <f>VLOOKUP($A37,'[1]Phân công'!$B$2:$S$256,15,FALSE)</f>
        <v>ThS Ngô Phú Thanh</v>
      </c>
      <c r="F37" t="str">
        <f>VLOOKUP($A37,'[1]Phân công'!$B$2:$S$256,18,FALSE)</f>
        <v>13h00 chiều thứ năm ngày 05/3/2026</v>
      </c>
      <c r="G37" t="s">
        <v>2631</v>
      </c>
      <c r="H37" t="s">
        <v>2638</v>
      </c>
    </row>
    <row r="38" spans="1:8" ht="15.75" customHeight="1" x14ac:dyDescent="0.35">
      <c r="A38" s="58" t="s">
        <v>139</v>
      </c>
      <c r="B38" t="str">
        <f>VLOOKUP($A38,'[1]Phân công'!$B$2:$S$256,16,FALSE)</f>
        <v>TS Nguyễn Thanh Liêm</v>
      </c>
      <c r="C38" t="str">
        <f>VLOOKUP($A38,'[1]Phân công'!$B$2:$S$256,13,FALSE)</f>
        <v>TS Nguyễn Thanh Liêm</v>
      </c>
      <c r="D38" t="str">
        <f>VLOOKUP($A38,'[1]Phân công'!$B$2:$S$256,14,FALSE)</f>
        <v>TS Nguyễn Trung Hiếu</v>
      </c>
      <c r="E38" t="str">
        <f>VLOOKUP($A38,'[1]Phân công'!$B$2:$S$256,15,FALSE)</f>
        <v>ThS Ngô Phú Thanh</v>
      </c>
      <c r="F38" t="str">
        <f>VLOOKUP($A38,'[1]Phân công'!$B$2:$S$256,18,FALSE)</f>
        <v>13h00 chiều thứ năm ngày 05/3/2026</v>
      </c>
      <c r="G38" t="s">
        <v>2631</v>
      </c>
      <c r="H38" t="s">
        <v>2638</v>
      </c>
    </row>
    <row r="39" spans="1:8" ht="15.75" customHeight="1" x14ac:dyDescent="0.35">
      <c r="A39" s="58" t="s">
        <v>141</v>
      </c>
      <c r="B39" t="str">
        <f>VLOOKUP($A39,'[1]Phân công'!$B$2:$S$256,16,FALSE)</f>
        <v>TS Nguyễn Trung Hiếu</v>
      </c>
      <c r="C39" t="str">
        <f>VLOOKUP($A39,'[1]Phân công'!$B$2:$S$256,13,FALSE)</f>
        <v>TS Nguyễn Thanh Liêm</v>
      </c>
      <c r="D39" t="str">
        <f>VLOOKUP($A39,'[1]Phân công'!$B$2:$S$256,14,FALSE)</f>
        <v>TS Nguyễn Trung Hiếu</v>
      </c>
      <c r="E39" t="str">
        <f>VLOOKUP($A39,'[1]Phân công'!$B$2:$S$256,15,FALSE)</f>
        <v>ThS Ngô Phú Thanh</v>
      </c>
      <c r="F39" t="str">
        <f>VLOOKUP($A39,'[1]Phân công'!$B$2:$S$256,18,FALSE)</f>
        <v>13h00 chiều thứ năm ngày 05/3/2026</v>
      </c>
      <c r="G39" t="s">
        <v>2631</v>
      </c>
      <c r="H39" t="s">
        <v>2638</v>
      </c>
    </row>
    <row r="40" spans="1:8" ht="15.75" customHeight="1" x14ac:dyDescent="0.35">
      <c r="A40" s="58" t="s">
        <v>143</v>
      </c>
      <c r="B40" t="str">
        <f>VLOOKUP($A40,'[1]Phân công'!$B$2:$S$256,16,FALSE)</f>
        <v>ThS Ngô Phú Thanh</v>
      </c>
      <c r="C40" t="str">
        <f>VLOOKUP($A40,'[1]Phân công'!$B$2:$S$256,13,FALSE)</f>
        <v>TS Nguyễn Thanh Liêm</v>
      </c>
      <c r="D40" t="str">
        <f>VLOOKUP($A40,'[1]Phân công'!$B$2:$S$256,14,FALSE)</f>
        <v>TS Nguyễn Trung Hiếu</v>
      </c>
      <c r="E40" t="str">
        <f>VLOOKUP($A40,'[1]Phân công'!$B$2:$S$256,15,FALSE)</f>
        <v>ThS Ngô Phú Thanh</v>
      </c>
      <c r="F40" t="str">
        <f>VLOOKUP($A40,'[1]Phân công'!$B$2:$S$256,18,FALSE)</f>
        <v>13h00 chiều thứ năm ngày 05/3/2026</v>
      </c>
      <c r="G40" t="s">
        <v>2631</v>
      </c>
      <c r="H40" t="s">
        <v>2638</v>
      </c>
    </row>
    <row r="41" spans="1:8" ht="15.75" customHeight="1" x14ac:dyDescent="0.35">
      <c r="A41" s="58" t="s">
        <v>146</v>
      </c>
      <c r="B41" t="str">
        <f>VLOOKUP($A41,'[1]Phân công'!$B$2:$S$256,16,FALSE)</f>
        <v>TS Nguyễn Thanh Liêm</v>
      </c>
      <c r="C41" t="str">
        <f>VLOOKUP($A41,'[1]Phân công'!$B$2:$S$256,13,FALSE)</f>
        <v>TS Nguyễn Thanh Liêm</v>
      </c>
      <c r="D41" t="str">
        <f>VLOOKUP($A41,'[1]Phân công'!$B$2:$S$256,14,FALSE)</f>
        <v>TS Nguyễn Trung Hiếu</v>
      </c>
      <c r="E41" t="str">
        <f>VLOOKUP($A41,'[1]Phân công'!$B$2:$S$256,15,FALSE)</f>
        <v>ThS Ngô Phú Thanh</v>
      </c>
      <c r="F41" t="str">
        <f>VLOOKUP($A41,'[1]Phân công'!$B$2:$S$256,18,FALSE)</f>
        <v>13h00 chiều thứ năm ngày 05/3/2026</v>
      </c>
      <c r="G41" t="s">
        <v>2631</v>
      </c>
      <c r="H41" t="s">
        <v>2638</v>
      </c>
    </row>
    <row r="42" spans="1:8" ht="16.5" x14ac:dyDescent="0.35">
      <c r="A42" s="58" t="s">
        <v>162</v>
      </c>
      <c r="B42" t="str">
        <f>VLOOKUP($A42,'[1]Phân công'!$B$2:$S$256,16,FALSE)</f>
        <v>TS Nguyễn Trung Hiếu</v>
      </c>
      <c r="C42" t="str">
        <f>VLOOKUP($A42,'[1]Phân công'!$B$2:$S$256,13,FALSE)</f>
        <v>TS Nguyễn Thanh Liêm</v>
      </c>
      <c r="D42" t="str">
        <f>VLOOKUP($A42,'[1]Phân công'!$B$2:$S$256,14,FALSE)</f>
        <v>TS Nguyễn Trung Hiếu</v>
      </c>
      <c r="E42" t="str">
        <f>VLOOKUP($A42,'[1]Phân công'!$B$2:$S$256,15,FALSE)</f>
        <v>ThS Ngô Phú Thanh</v>
      </c>
      <c r="F42" t="str">
        <f>VLOOKUP($A42,'[1]Phân công'!$B$2:$S$256,18,FALSE)</f>
        <v>13h00 chiều thứ năm ngày 05/3/2026</v>
      </c>
      <c r="G42" t="s">
        <v>2631</v>
      </c>
      <c r="H42" t="s">
        <v>2638</v>
      </c>
    </row>
    <row r="43" spans="1:8" ht="15.75" customHeight="1" x14ac:dyDescent="0.35">
      <c r="A43" s="58" t="s">
        <v>165</v>
      </c>
      <c r="B43" t="str">
        <f>VLOOKUP($A43,'[1]Phân công'!$B$2:$S$256,16,FALSE)</f>
        <v>ThS Ngô Phú Thanh</v>
      </c>
      <c r="C43" t="str">
        <f>VLOOKUP($A43,'[1]Phân công'!$B$2:$S$256,13,FALSE)</f>
        <v>TS Nguyễn Thanh Liêm</v>
      </c>
      <c r="D43" t="str">
        <f>VLOOKUP($A43,'[1]Phân công'!$B$2:$S$256,14,FALSE)</f>
        <v>TS Nguyễn Trung Hiếu</v>
      </c>
      <c r="E43" t="str">
        <f>VLOOKUP($A43,'[1]Phân công'!$B$2:$S$256,15,FALSE)</f>
        <v>ThS Ngô Phú Thanh</v>
      </c>
      <c r="F43" t="str">
        <f>VLOOKUP($A43,'[1]Phân công'!$B$2:$S$256,18,FALSE)</f>
        <v>13h00 chiều thứ năm ngày 05/3/2026</v>
      </c>
      <c r="G43" t="s">
        <v>2631</v>
      </c>
      <c r="H43" t="s">
        <v>2638</v>
      </c>
    </row>
    <row r="44" spans="1:8" ht="15.75" customHeight="1" x14ac:dyDescent="0.35">
      <c r="A44" s="58" t="s">
        <v>167</v>
      </c>
      <c r="B44" t="str">
        <f>VLOOKUP($A44,'[1]Phân công'!$B$2:$S$256,16,FALSE)</f>
        <v>TS Nguyễn Thanh Liêm</v>
      </c>
      <c r="C44" t="str">
        <f>VLOOKUP($A44,'[1]Phân công'!$B$2:$S$256,13,FALSE)</f>
        <v>TS Nguyễn Thanh Liêm</v>
      </c>
      <c r="D44" t="str">
        <f>VLOOKUP($A44,'[1]Phân công'!$B$2:$S$256,14,FALSE)</f>
        <v>TS Nguyễn Trung Hiếu</v>
      </c>
      <c r="E44" t="str">
        <f>VLOOKUP($A44,'[1]Phân công'!$B$2:$S$256,15,FALSE)</f>
        <v>ThS Ngô Phú Thanh</v>
      </c>
      <c r="F44" t="str">
        <f>VLOOKUP($A44,'[1]Phân công'!$B$2:$S$256,18,FALSE)</f>
        <v>13h00 chiều thứ năm ngày 05/3/2026</v>
      </c>
      <c r="G44" t="s">
        <v>2631</v>
      </c>
      <c r="H44" t="s">
        <v>2638</v>
      </c>
    </row>
    <row r="45" spans="1:8" ht="15.75" customHeight="1" x14ac:dyDescent="0.35">
      <c r="A45" s="58" t="s">
        <v>190</v>
      </c>
      <c r="B45" t="str">
        <f>VLOOKUP($A45,'[1]Phân công'!$B$2:$S$256,16,FALSE)</f>
        <v>TS Nguyễn Thôn Dã</v>
      </c>
      <c r="C45" t="str">
        <f>VLOOKUP($A45,'[1]Phân công'!$B$2:$S$256,13,FALSE)</f>
        <v>PGS. TS Lê Đức Quang Tú</v>
      </c>
      <c r="D45" t="str">
        <f>VLOOKUP($A45,'[1]Phân công'!$B$2:$S$256,14,FALSE)</f>
        <v>TS Nguyễn Thôn Dã</v>
      </c>
      <c r="E45" t="str">
        <f>VLOOKUP($A45,'[1]Phân công'!$B$2:$S$256,15,FALSE)</f>
        <v>TS Võ Thị Ngọc Trinh</v>
      </c>
      <c r="F45" t="str">
        <f>VLOOKUP($A45,'[1]Phân công'!$B$2:$S$256,18,FALSE)</f>
        <v>13h00 chiều thứ năm ngày 05/3/2026</v>
      </c>
      <c r="G45" t="s">
        <v>2632</v>
      </c>
      <c r="H45" t="s">
        <v>2639</v>
      </c>
    </row>
    <row r="46" spans="1:8" ht="15.75" customHeight="1" x14ac:dyDescent="0.35">
      <c r="A46" s="58" t="s">
        <v>192</v>
      </c>
      <c r="B46" t="str">
        <f>VLOOKUP($A46,'[1]Phân công'!$B$2:$S$256,16,FALSE)</f>
        <v>TS Võ Thị Ngọc Trinh</v>
      </c>
      <c r="C46" t="str">
        <f>VLOOKUP($A46,'[1]Phân công'!$B$2:$S$256,13,FALSE)</f>
        <v>PGS. TS Lê Đức Quang Tú</v>
      </c>
      <c r="D46" t="str">
        <f>VLOOKUP($A46,'[1]Phân công'!$B$2:$S$256,14,FALSE)</f>
        <v>TS Nguyễn Thôn Dã</v>
      </c>
      <c r="E46" t="str">
        <f>VLOOKUP($A46,'[1]Phân công'!$B$2:$S$256,15,FALSE)</f>
        <v>TS Võ Thị Ngọc Trinh</v>
      </c>
      <c r="F46" t="str">
        <f>VLOOKUP($A46,'[1]Phân công'!$B$2:$S$256,18,FALSE)</f>
        <v>13h00 chiều thứ năm ngày 05/3/2026</v>
      </c>
      <c r="G46" t="s">
        <v>2632</v>
      </c>
      <c r="H46" t="s">
        <v>2639</v>
      </c>
    </row>
    <row r="47" spans="1:8" ht="15.75" customHeight="1" x14ac:dyDescent="0.35">
      <c r="A47" s="58" t="s">
        <v>194</v>
      </c>
      <c r="B47" t="str">
        <f>VLOOKUP($A47,'[1]Phân công'!$B$2:$S$256,16,FALSE)</f>
        <v>PGS. TS Lê Đức Quang Tú</v>
      </c>
      <c r="C47" t="str">
        <f>VLOOKUP($A47,'[1]Phân công'!$B$2:$S$256,13,FALSE)</f>
        <v>PGS. TS Lê Đức Quang Tú</v>
      </c>
      <c r="D47" t="str">
        <f>VLOOKUP($A47,'[1]Phân công'!$B$2:$S$256,14,FALSE)</f>
        <v>TS Nguyễn Thôn Dã</v>
      </c>
      <c r="E47" t="str">
        <f>VLOOKUP($A47,'[1]Phân công'!$B$2:$S$256,15,FALSE)</f>
        <v>TS Võ Thị Ngọc Trinh</v>
      </c>
      <c r="F47" t="str">
        <f>VLOOKUP($A47,'[1]Phân công'!$B$2:$S$256,18,FALSE)</f>
        <v>13h00 chiều thứ năm ngày 05/3/2026</v>
      </c>
      <c r="G47" t="s">
        <v>2632</v>
      </c>
      <c r="H47" t="s">
        <v>2639</v>
      </c>
    </row>
    <row r="48" spans="1:8" ht="15.75" customHeight="1" x14ac:dyDescent="0.35">
      <c r="A48" s="58" t="s">
        <v>197</v>
      </c>
      <c r="B48" t="str">
        <f>VLOOKUP($A48,'[1]Phân công'!$B$2:$S$256,16,FALSE)</f>
        <v>TS Nguyễn Thôn Dã</v>
      </c>
      <c r="C48" t="str">
        <f>VLOOKUP($A48,'[1]Phân công'!$B$2:$S$256,13,FALSE)</f>
        <v>PGS. TS Lê Đức Quang Tú</v>
      </c>
      <c r="D48" t="str">
        <f>VLOOKUP($A48,'[1]Phân công'!$B$2:$S$256,14,FALSE)</f>
        <v>TS Nguyễn Thôn Dã</v>
      </c>
      <c r="E48" t="str">
        <f>VLOOKUP($A48,'[1]Phân công'!$B$2:$S$256,15,FALSE)</f>
        <v>TS Võ Thị Ngọc Trinh</v>
      </c>
      <c r="F48" t="str">
        <f>VLOOKUP($A48,'[1]Phân công'!$B$2:$S$256,18,FALSE)</f>
        <v>13h00 chiều thứ năm ngày 05/3/2026</v>
      </c>
      <c r="G48" t="s">
        <v>2632</v>
      </c>
      <c r="H48" t="s">
        <v>2639</v>
      </c>
    </row>
    <row r="49" spans="1:8" ht="15.75" customHeight="1" x14ac:dyDescent="0.35">
      <c r="A49" s="58" t="s">
        <v>200</v>
      </c>
      <c r="B49" t="str">
        <f>VLOOKUP($A49,'[1]Phân công'!$B$2:$S$256,16,FALSE)</f>
        <v>TS Võ Thị Ngọc Trinh</v>
      </c>
      <c r="C49" t="str">
        <f>VLOOKUP($A49,'[1]Phân công'!$B$2:$S$256,13,FALSE)</f>
        <v>PGS. TS Lê Đức Quang Tú</v>
      </c>
      <c r="D49" t="str">
        <f>VLOOKUP($A49,'[1]Phân công'!$B$2:$S$256,14,FALSE)</f>
        <v>TS Nguyễn Thôn Dã</v>
      </c>
      <c r="E49" t="str">
        <f>VLOOKUP($A49,'[1]Phân công'!$B$2:$S$256,15,FALSE)</f>
        <v>TS Võ Thị Ngọc Trinh</v>
      </c>
      <c r="F49" t="str">
        <f>VLOOKUP($A49,'[1]Phân công'!$B$2:$S$256,18,FALSE)</f>
        <v>13h00 chiều thứ năm ngày 05/3/2026</v>
      </c>
      <c r="G49" t="s">
        <v>2632</v>
      </c>
      <c r="H49" t="s">
        <v>2639</v>
      </c>
    </row>
    <row r="50" spans="1:8" ht="15.75" customHeight="1" x14ac:dyDescent="0.35">
      <c r="A50" s="58" t="s">
        <v>202</v>
      </c>
      <c r="B50" t="str">
        <f>VLOOKUP($A50,'[1]Phân công'!$B$2:$S$256,16,FALSE)</f>
        <v>PGS. TS Lê Đức Quang Tú</v>
      </c>
      <c r="C50" t="str">
        <f>VLOOKUP($A50,'[1]Phân công'!$B$2:$S$256,13,FALSE)</f>
        <v>PGS. TS Lê Đức Quang Tú</v>
      </c>
      <c r="D50" t="str">
        <f>VLOOKUP($A50,'[1]Phân công'!$B$2:$S$256,14,FALSE)</f>
        <v>TS Nguyễn Thôn Dã</v>
      </c>
      <c r="E50" t="str">
        <f>VLOOKUP($A50,'[1]Phân công'!$B$2:$S$256,15,FALSE)</f>
        <v>TS Võ Thị Ngọc Trinh</v>
      </c>
      <c r="F50" t="str">
        <f>VLOOKUP($A50,'[1]Phân công'!$B$2:$S$256,18,FALSE)</f>
        <v>13h00 chiều thứ năm ngày 05/3/2026</v>
      </c>
      <c r="G50" t="s">
        <v>2632</v>
      </c>
      <c r="H50" t="s">
        <v>2639</v>
      </c>
    </row>
    <row r="51" spans="1:8" ht="15.75" customHeight="1" x14ac:dyDescent="0.35">
      <c r="A51" s="58" t="s">
        <v>204</v>
      </c>
      <c r="B51" t="str">
        <f>VLOOKUP($A51,'[1]Phân công'!$B$2:$S$256,16,FALSE)</f>
        <v>PGS. TS Lê Đức Quang Tú</v>
      </c>
      <c r="C51" t="str">
        <f>VLOOKUP($A51,'[1]Phân công'!$B$2:$S$256,13,FALSE)</f>
        <v>PGS. TS Lê Đức Quang Tú</v>
      </c>
      <c r="D51" t="str">
        <f>VLOOKUP($A51,'[1]Phân công'!$B$2:$S$256,14,FALSE)</f>
        <v>TS Nguyễn Thôn Dã</v>
      </c>
      <c r="E51" t="str">
        <f>VLOOKUP($A51,'[1]Phân công'!$B$2:$S$256,15,FALSE)</f>
        <v>TS Võ Thị Ngọc Trinh</v>
      </c>
      <c r="F51" t="str">
        <f>VLOOKUP($A51,'[1]Phân công'!$B$2:$S$256,18,FALSE)</f>
        <v>13h00 chiều thứ năm ngày 05/3/2026</v>
      </c>
      <c r="G51" t="s">
        <v>2632</v>
      </c>
      <c r="H51" t="s">
        <v>2639</v>
      </c>
    </row>
    <row r="52" spans="1:8" ht="15.75" customHeight="1" x14ac:dyDescent="0.35">
      <c r="A52" s="58" t="s">
        <v>207</v>
      </c>
      <c r="B52" t="str">
        <f>VLOOKUP($A52,'[1]Phân công'!$B$2:$S$256,16,FALSE)</f>
        <v>TS Nguyễn Thôn Dã</v>
      </c>
      <c r="C52" t="str">
        <f>VLOOKUP($A52,'[1]Phân công'!$B$2:$S$256,13,FALSE)</f>
        <v>PGS. TS Lê Đức Quang Tú</v>
      </c>
      <c r="D52" t="str">
        <f>VLOOKUP($A52,'[1]Phân công'!$B$2:$S$256,14,FALSE)</f>
        <v>TS Nguyễn Thôn Dã</v>
      </c>
      <c r="E52" t="str">
        <f>VLOOKUP($A52,'[1]Phân công'!$B$2:$S$256,15,FALSE)</f>
        <v>TS Võ Thị Ngọc Trinh</v>
      </c>
      <c r="F52" t="str">
        <f>VLOOKUP($A52,'[1]Phân công'!$B$2:$S$256,18,FALSE)</f>
        <v>13h00 chiều thứ năm ngày 05/3/2026</v>
      </c>
      <c r="G52" t="s">
        <v>2632</v>
      </c>
      <c r="H52" t="s">
        <v>2639</v>
      </c>
    </row>
    <row r="53" spans="1:8" ht="15.75" customHeight="1" x14ac:dyDescent="0.35">
      <c r="A53" s="58" t="s">
        <v>210</v>
      </c>
      <c r="B53" t="str">
        <f>VLOOKUP($A53,'[1]Phân công'!$B$2:$S$256,16,FALSE)</f>
        <v>TS Võ Thị Ngọc Trinh</v>
      </c>
      <c r="C53" t="str">
        <f>VLOOKUP($A53,'[1]Phân công'!$B$2:$S$256,13,FALSE)</f>
        <v>PGS. TS Lê Đức Quang Tú</v>
      </c>
      <c r="D53" t="str">
        <f>VLOOKUP($A53,'[1]Phân công'!$B$2:$S$256,14,FALSE)</f>
        <v>TS Nguyễn Thôn Dã</v>
      </c>
      <c r="E53" t="str">
        <f>VLOOKUP($A53,'[1]Phân công'!$B$2:$S$256,15,FALSE)</f>
        <v>TS Võ Thị Ngọc Trinh</v>
      </c>
      <c r="F53" t="str">
        <f>VLOOKUP($A53,'[1]Phân công'!$B$2:$S$256,18,FALSE)</f>
        <v>13h00 chiều thứ năm ngày 05/3/2026</v>
      </c>
      <c r="G53" t="s">
        <v>2632</v>
      </c>
      <c r="H53" t="s">
        <v>2639</v>
      </c>
    </row>
    <row r="54" spans="1:8" ht="15.75" customHeight="1" x14ac:dyDescent="0.35">
      <c r="A54" s="58" t="s">
        <v>212</v>
      </c>
      <c r="B54" t="str">
        <f>VLOOKUP($A54,'[1]Phân công'!$B$2:$S$256,16,FALSE)</f>
        <v>PGS. TS Lê Đức Quang Tú</v>
      </c>
      <c r="C54" t="str">
        <f>VLOOKUP($A54,'[1]Phân công'!$B$2:$S$256,13,FALSE)</f>
        <v>PGS. TS Lê Đức Quang Tú</v>
      </c>
      <c r="D54" t="str">
        <f>VLOOKUP($A54,'[1]Phân công'!$B$2:$S$256,14,FALSE)</f>
        <v>TS Nguyễn Thôn Dã</v>
      </c>
      <c r="E54" t="str">
        <f>VLOOKUP($A54,'[1]Phân công'!$B$2:$S$256,15,FALSE)</f>
        <v>TS Võ Thị Ngọc Trinh</v>
      </c>
      <c r="F54" t="str">
        <f>VLOOKUP($A54,'[1]Phân công'!$B$2:$S$256,18,FALSE)</f>
        <v>13h00 chiều thứ năm ngày 05/3/2026</v>
      </c>
      <c r="G54" t="s">
        <v>2632</v>
      </c>
      <c r="H54" t="s">
        <v>2639</v>
      </c>
    </row>
    <row r="55" spans="1:8" ht="15.75" customHeight="1" x14ac:dyDescent="0.35">
      <c r="A55" s="58" t="s">
        <v>214</v>
      </c>
      <c r="B55" t="str">
        <f>VLOOKUP($A55,'[1]Phân công'!$B$2:$S$256,16,FALSE)</f>
        <v>TS Nguyễn Thôn Dã</v>
      </c>
      <c r="C55" t="str">
        <f>VLOOKUP($A55,'[1]Phân công'!$B$2:$S$256,13,FALSE)</f>
        <v>PGS. TS Lê Đức Quang Tú</v>
      </c>
      <c r="D55" t="str">
        <f>VLOOKUP($A55,'[1]Phân công'!$B$2:$S$256,14,FALSE)</f>
        <v>TS Nguyễn Thôn Dã</v>
      </c>
      <c r="E55" t="str">
        <f>VLOOKUP($A55,'[1]Phân công'!$B$2:$S$256,15,FALSE)</f>
        <v>TS Võ Thị Ngọc Trinh</v>
      </c>
      <c r="F55" t="str">
        <f>VLOOKUP($A55,'[1]Phân công'!$B$2:$S$256,18,FALSE)</f>
        <v>13h00 chiều thứ năm ngày 05/3/2026</v>
      </c>
      <c r="G55" t="s">
        <v>2632</v>
      </c>
      <c r="H55" t="s">
        <v>2639</v>
      </c>
    </row>
    <row r="56" spans="1:8" ht="15.75" customHeight="1" x14ac:dyDescent="0.35">
      <c r="A56" s="58" t="s">
        <v>216</v>
      </c>
      <c r="B56" t="str">
        <f>VLOOKUP($A56,'[1]Phân công'!$B$2:$S$256,16,FALSE)</f>
        <v>PGS. TS Phạm Thị Thanh Xuân</v>
      </c>
      <c r="C56" t="str">
        <f>VLOOKUP($A56,'[1]Phân công'!$B$2:$S$256,13,FALSE)</f>
        <v>PGS. TS Phạm Thị Thanh Xuân</v>
      </c>
      <c r="D56" t="str">
        <f>VLOOKUP($A56,'[1]Phân công'!$B$2:$S$256,14,FALSE)</f>
        <v>ThS Phan Huy Tâm</v>
      </c>
      <c r="E56" t="str">
        <f>VLOOKUP($A56,'[1]Phân công'!$B$2:$S$256,15,FALSE)</f>
        <v>ThS Phạm Chí Khoa</v>
      </c>
      <c r="F56" t="str">
        <f>VLOOKUP($A56,'[1]Phân công'!$B$2:$S$256,18,FALSE)</f>
        <v>13h00 chiều thứ năm ngày 05/3/2026</v>
      </c>
      <c r="G56" t="s">
        <v>2633</v>
      </c>
      <c r="H56" t="s">
        <v>2640</v>
      </c>
    </row>
    <row r="57" spans="1:8" ht="15.75" customHeight="1" x14ac:dyDescent="0.35">
      <c r="A57" s="58" t="s">
        <v>218</v>
      </c>
      <c r="B57" t="str">
        <f>VLOOKUP($A57,'[1]Phân công'!$B$2:$S$256,16,FALSE)</f>
        <v>ThS Phan Huy Tâm</v>
      </c>
      <c r="C57" t="str">
        <f>VLOOKUP($A57,'[1]Phân công'!$B$2:$S$256,13,FALSE)</f>
        <v>PGS. TS Phạm Thị Thanh Xuân</v>
      </c>
      <c r="D57" t="str">
        <f>VLOOKUP($A57,'[1]Phân công'!$B$2:$S$256,14,FALSE)</f>
        <v>ThS Phan Huy Tâm</v>
      </c>
      <c r="E57" t="str">
        <f>VLOOKUP($A57,'[1]Phân công'!$B$2:$S$256,15,FALSE)</f>
        <v>ThS Phạm Chí Khoa</v>
      </c>
      <c r="F57" t="str">
        <f>VLOOKUP($A57,'[1]Phân công'!$B$2:$S$256,18,FALSE)</f>
        <v>13h00 chiều thứ năm ngày 05/3/2026</v>
      </c>
      <c r="G57" t="s">
        <v>2633</v>
      </c>
      <c r="H57" t="s">
        <v>2640</v>
      </c>
    </row>
    <row r="58" spans="1:8" ht="15.75" customHeight="1" x14ac:dyDescent="0.35">
      <c r="A58" s="58" t="s">
        <v>220</v>
      </c>
      <c r="B58" t="str">
        <f>VLOOKUP($A58,'[1]Phân công'!$B$2:$S$256,16,FALSE)</f>
        <v>ThS Phạm Chí Khoa</v>
      </c>
      <c r="C58" t="str">
        <f>VLOOKUP($A58,'[1]Phân công'!$B$2:$S$256,13,FALSE)</f>
        <v>PGS. TS Phạm Thị Thanh Xuân</v>
      </c>
      <c r="D58" t="str">
        <f>VLOOKUP($A58,'[1]Phân công'!$B$2:$S$256,14,FALSE)</f>
        <v>ThS Phan Huy Tâm</v>
      </c>
      <c r="E58" t="str">
        <f>VLOOKUP($A58,'[1]Phân công'!$B$2:$S$256,15,FALSE)</f>
        <v>ThS Phạm Chí Khoa</v>
      </c>
      <c r="F58" t="str">
        <f>VLOOKUP($A58,'[1]Phân công'!$B$2:$S$256,18,FALSE)</f>
        <v>13h00 chiều thứ năm ngày 05/3/2026</v>
      </c>
      <c r="G58" t="s">
        <v>2633</v>
      </c>
      <c r="H58" t="s">
        <v>2640</v>
      </c>
    </row>
    <row r="59" spans="1:8" ht="15.75" customHeight="1" x14ac:dyDescent="0.35">
      <c r="A59" s="58" t="s">
        <v>222</v>
      </c>
      <c r="B59" t="str">
        <f>VLOOKUP($A59,'[1]Phân công'!$B$2:$S$256,16,FALSE)</f>
        <v>PGS. TS Phạm Thị Thanh Xuân</v>
      </c>
      <c r="C59" t="str">
        <f>VLOOKUP($A59,'[1]Phân công'!$B$2:$S$256,13,FALSE)</f>
        <v>PGS. TS Phạm Thị Thanh Xuân</v>
      </c>
      <c r="D59" t="str">
        <f>VLOOKUP($A59,'[1]Phân công'!$B$2:$S$256,14,FALSE)</f>
        <v>ThS Phan Huy Tâm</v>
      </c>
      <c r="E59" t="str">
        <f>VLOOKUP($A59,'[1]Phân công'!$B$2:$S$256,15,FALSE)</f>
        <v>ThS Phạm Chí Khoa</v>
      </c>
      <c r="F59" t="str">
        <f>VLOOKUP($A59,'[1]Phân công'!$B$2:$S$256,18,FALSE)</f>
        <v>13h00 chiều thứ năm ngày 05/3/2026</v>
      </c>
      <c r="G59" t="s">
        <v>2633</v>
      </c>
      <c r="H59" t="s">
        <v>2640</v>
      </c>
    </row>
    <row r="60" spans="1:8" ht="15.75" customHeight="1" x14ac:dyDescent="0.35">
      <c r="A60" s="58" t="s">
        <v>225</v>
      </c>
      <c r="B60" t="str">
        <f>VLOOKUP($A60,'[1]Phân công'!$B$2:$S$256,16,FALSE)</f>
        <v>ThS Phan Huy Tâm</v>
      </c>
      <c r="C60" t="str">
        <f>VLOOKUP($A60,'[1]Phân công'!$B$2:$S$256,13,FALSE)</f>
        <v>PGS. TS Phạm Thị Thanh Xuân</v>
      </c>
      <c r="D60" t="str">
        <f>VLOOKUP($A60,'[1]Phân công'!$B$2:$S$256,14,FALSE)</f>
        <v>ThS Phan Huy Tâm</v>
      </c>
      <c r="E60" t="str">
        <f>VLOOKUP($A60,'[1]Phân công'!$B$2:$S$256,15,FALSE)</f>
        <v>ThS Phạm Chí Khoa</v>
      </c>
      <c r="F60" t="str">
        <f>VLOOKUP($A60,'[1]Phân công'!$B$2:$S$256,18,FALSE)</f>
        <v>13h00 chiều thứ năm ngày 05/3/2026</v>
      </c>
      <c r="G60" t="s">
        <v>2633</v>
      </c>
      <c r="H60" t="s">
        <v>2640</v>
      </c>
    </row>
    <row r="61" spans="1:8" ht="15.75" customHeight="1" x14ac:dyDescent="0.35">
      <c r="A61" s="58" t="s">
        <v>228</v>
      </c>
      <c r="B61" t="str">
        <f>VLOOKUP($A61,'[1]Phân công'!$B$2:$S$256,16,FALSE)</f>
        <v>ThS Phạm Chí Khoa</v>
      </c>
      <c r="C61" t="str">
        <f>VLOOKUP($A61,'[1]Phân công'!$B$2:$S$256,13,FALSE)</f>
        <v>PGS. TS Phạm Thị Thanh Xuân</v>
      </c>
      <c r="D61" t="str">
        <f>VLOOKUP($A61,'[1]Phân công'!$B$2:$S$256,14,FALSE)</f>
        <v>ThS Phan Huy Tâm</v>
      </c>
      <c r="E61" t="str">
        <f>VLOOKUP($A61,'[1]Phân công'!$B$2:$S$256,15,FALSE)</f>
        <v>ThS Phạm Chí Khoa</v>
      </c>
      <c r="F61" t="str">
        <f>VLOOKUP($A61,'[1]Phân công'!$B$2:$S$256,18,FALSE)</f>
        <v>13h00 chiều thứ năm ngày 05/3/2026</v>
      </c>
      <c r="G61" t="s">
        <v>2633</v>
      </c>
      <c r="H61" t="s">
        <v>2640</v>
      </c>
    </row>
    <row r="62" spans="1:8" ht="15.75" customHeight="1" x14ac:dyDescent="0.35">
      <c r="A62" s="58" t="s">
        <v>231</v>
      </c>
      <c r="B62" t="str">
        <f>VLOOKUP($A62,'[1]Phân công'!$B$2:$S$256,16,FALSE)</f>
        <v>PGS. TS Phạm Thị Thanh Xuân</v>
      </c>
      <c r="C62" t="str">
        <f>VLOOKUP($A62,'[1]Phân công'!$B$2:$S$256,13,FALSE)</f>
        <v>PGS. TS Phạm Thị Thanh Xuân</v>
      </c>
      <c r="D62" t="str">
        <f>VLOOKUP($A62,'[1]Phân công'!$B$2:$S$256,14,FALSE)</f>
        <v>ThS Phan Huy Tâm</v>
      </c>
      <c r="E62" t="str">
        <f>VLOOKUP($A62,'[1]Phân công'!$B$2:$S$256,15,FALSE)</f>
        <v>ThS Phạm Chí Khoa</v>
      </c>
      <c r="F62" t="str">
        <f>VLOOKUP($A62,'[1]Phân công'!$B$2:$S$256,18,FALSE)</f>
        <v>13h00 chiều thứ năm ngày 05/3/2026</v>
      </c>
      <c r="G62" t="s">
        <v>2633</v>
      </c>
      <c r="H62" t="s">
        <v>2640</v>
      </c>
    </row>
    <row r="63" spans="1:8" ht="15.75" customHeight="1" x14ac:dyDescent="0.35">
      <c r="A63" s="58" t="s">
        <v>234</v>
      </c>
      <c r="B63" t="str">
        <f>VLOOKUP($A63,'[1]Phân công'!$B$2:$S$256,16,FALSE)</f>
        <v>ThS Phan Huy Tâm</v>
      </c>
      <c r="C63" t="str">
        <f>VLOOKUP($A63,'[1]Phân công'!$B$2:$S$256,13,FALSE)</f>
        <v>PGS. TS Phạm Thị Thanh Xuân</v>
      </c>
      <c r="D63" t="str">
        <f>VLOOKUP($A63,'[1]Phân công'!$B$2:$S$256,14,FALSE)</f>
        <v>ThS Phan Huy Tâm</v>
      </c>
      <c r="E63" t="str">
        <f>VLOOKUP($A63,'[1]Phân công'!$B$2:$S$256,15,FALSE)</f>
        <v>ThS Phạm Chí Khoa</v>
      </c>
      <c r="F63" t="str">
        <f>VLOOKUP($A63,'[1]Phân công'!$B$2:$S$256,18,FALSE)</f>
        <v>13h00 chiều thứ năm ngày 05/3/2026</v>
      </c>
      <c r="G63" t="s">
        <v>2633</v>
      </c>
      <c r="H63" t="s">
        <v>2640</v>
      </c>
    </row>
    <row r="64" spans="1:8" ht="15.75" customHeight="1" x14ac:dyDescent="0.35">
      <c r="A64" s="58" t="s">
        <v>236</v>
      </c>
      <c r="B64" t="str">
        <f>VLOOKUP($A64,'[1]Phân công'!$B$2:$S$256,16,FALSE)</f>
        <v>ThS Phạm Chí Khoa</v>
      </c>
      <c r="C64" t="str">
        <f>VLOOKUP($A64,'[1]Phân công'!$B$2:$S$256,13,FALSE)</f>
        <v>PGS. TS Phạm Thị Thanh Xuân</v>
      </c>
      <c r="D64" t="str">
        <f>VLOOKUP($A64,'[1]Phân công'!$B$2:$S$256,14,FALSE)</f>
        <v>ThS Phan Huy Tâm</v>
      </c>
      <c r="E64" t="str">
        <f>VLOOKUP($A64,'[1]Phân công'!$B$2:$S$256,15,FALSE)</f>
        <v>ThS Phạm Chí Khoa</v>
      </c>
      <c r="F64" t="str">
        <f>VLOOKUP($A64,'[1]Phân công'!$B$2:$S$256,18,FALSE)</f>
        <v>13h00 chiều thứ năm ngày 05/3/2026</v>
      </c>
      <c r="G64" t="s">
        <v>2633</v>
      </c>
      <c r="H64" t="s">
        <v>2640</v>
      </c>
    </row>
    <row r="65" spans="1:8" ht="15.75" customHeight="1" x14ac:dyDescent="0.35">
      <c r="A65" s="58" t="s">
        <v>239</v>
      </c>
      <c r="B65" t="str">
        <f>VLOOKUP($A65,'[1]Phân công'!$B$2:$S$256,16,FALSE)</f>
        <v>PGS. TS Phạm Thị Thanh Xuân</v>
      </c>
      <c r="C65" t="str">
        <f>VLOOKUP($A65,'[1]Phân công'!$B$2:$S$256,13,FALSE)</f>
        <v>PGS. TS Phạm Thị Thanh Xuân</v>
      </c>
      <c r="D65" t="str">
        <f>VLOOKUP($A65,'[1]Phân công'!$B$2:$S$256,14,FALSE)</f>
        <v>ThS Phan Huy Tâm</v>
      </c>
      <c r="E65" t="str">
        <f>VLOOKUP($A65,'[1]Phân công'!$B$2:$S$256,15,FALSE)</f>
        <v>ThS Phạm Chí Khoa</v>
      </c>
      <c r="F65" t="str">
        <f>VLOOKUP($A65,'[1]Phân công'!$B$2:$S$256,18,FALSE)</f>
        <v>13h00 chiều thứ năm ngày 05/3/2026</v>
      </c>
      <c r="G65" t="s">
        <v>2633</v>
      </c>
      <c r="H65" t="s">
        <v>2640</v>
      </c>
    </row>
    <row r="66" spans="1:8" ht="15.75" customHeight="1" x14ac:dyDescent="0.35">
      <c r="A66" s="58" t="s">
        <v>242</v>
      </c>
      <c r="B66" t="str">
        <f>VLOOKUP($A66,'[1]Phân công'!$B$2:$S$256,16,FALSE)</f>
        <v>PGS. TS Lê Đức Quang Tú</v>
      </c>
      <c r="C66" t="str">
        <f>VLOOKUP($A66,'[1]Phân công'!$B$2:$S$256,13,FALSE)</f>
        <v>PGS. TS Lê Đức Quang Tú</v>
      </c>
      <c r="D66" t="str">
        <f>VLOOKUP($A66,'[1]Phân công'!$B$2:$S$256,14,FALSE)</f>
        <v>TS Nguyễn Thanh Liêm</v>
      </c>
      <c r="E66" t="str">
        <f>VLOOKUP($A66,'[1]Phân công'!$B$2:$S$256,15,FALSE)</f>
        <v>PGS. TS Phạm Thị Thanh Xuân</v>
      </c>
      <c r="F66" t="str">
        <f>VLOOKUP($A66,'[1]Phân công'!$B$2:$S$256,18,FALSE)</f>
        <v>8h00 sáng thứ sáu ngày 06/3/2026</v>
      </c>
      <c r="G66" t="s">
        <v>2634</v>
      </c>
      <c r="H66" t="s">
        <v>2641</v>
      </c>
    </row>
    <row r="67" spans="1:8" ht="15.75" customHeight="1" x14ac:dyDescent="0.35">
      <c r="A67" s="58" t="s">
        <v>244</v>
      </c>
      <c r="B67" t="str">
        <f>VLOOKUP($A67,'[1]Phân công'!$B$2:$S$256,16,FALSE)</f>
        <v>TS Nguyễn Thanh Liêm</v>
      </c>
      <c r="C67" t="str">
        <f>VLOOKUP($A67,'[1]Phân công'!$B$2:$S$256,13,FALSE)</f>
        <v>PGS. TS Lê Đức Quang Tú</v>
      </c>
      <c r="D67" t="str">
        <f>VLOOKUP($A67,'[1]Phân công'!$B$2:$S$256,14,FALSE)</f>
        <v>TS Nguyễn Thanh Liêm</v>
      </c>
      <c r="E67" t="str">
        <f>VLOOKUP($A67,'[1]Phân công'!$B$2:$S$256,15,FALSE)</f>
        <v>PGS. TS Phạm Thị Thanh Xuân</v>
      </c>
      <c r="F67" t="str">
        <f>VLOOKUP($A67,'[1]Phân công'!$B$2:$S$256,18,FALSE)</f>
        <v>8h00 sáng thứ sáu ngày 06/3/2026</v>
      </c>
      <c r="G67" t="s">
        <v>2634</v>
      </c>
      <c r="H67" t="s">
        <v>2641</v>
      </c>
    </row>
    <row r="68" spans="1:8" ht="15.75" customHeight="1" x14ac:dyDescent="0.35">
      <c r="A68" s="58" t="s">
        <v>246</v>
      </c>
      <c r="B68" t="str">
        <f>VLOOKUP($A68,'[1]Phân công'!$B$2:$S$256,16,FALSE)</f>
        <v>PGS. TS Phạm Thị Thanh Xuân</v>
      </c>
      <c r="C68" t="str">
        <f>VLOOKUP($A68,'[1]Phân công'!$B$2:$S$256,13,FALSE)</f>
        <v>PGS. TS Lê Đức Quang Tú</v>
      </c>
      <c r="D68" t="str">
        <f>VLOOKUP($A68,'[1]Phân công'!$B$2:$S$256,14,FALSE)</f>
        <v>TS Nguyễn Thanh Liêm</v>
      </c>
      <c r="E68" t="str">
        <f>VLOOKUP($A68,'[1]Phân công'!$B$2:$S$256,15,FALSE)</f>
        <v>PGS. TS Phạm Thị Thanh Xuân</v>
      </c>
      <c r="F68" t="str">
        <f>VLOOKUP($A68,'[1]Phân công'!$B$2:$S$256,18,FALSE)</f>
        <v>8h00 sáng thứ sáu ngày 06/3/2026</v>
      </c>
      <c r="G68" t="s">
        <v>2634</v>
      </c>
      <c r="H68" t="s">
        <v>2641</v>
      </c>
    </row>
    <row r="69" spans="1:8" ht="15.75" customHeight="1" x14ac:dyDescent="0.35">
      <c r="A69" s="58" t="s">
        <v>248</v>
      </c>
      <c r="B69" t="str">
        <f>VLOOKUP($A69,'[1]Phân công'!$B$2:$S$256,16,FALSE)</f>
        <v>PGS. TS Lê Đức Quang Tú</v>
      </c>
      <c r="C69" t="str">
        <f>VLOOKUP($A69,'[1]Phân công'!$B$2:$S$256,13,FALSE)</f>
        <v>PGS. TS Lê Đức Quang Tú</v>
      </c>
      <c r="D69" t="str">
        <f>VLOOKUP($A69,'[1]Phân công'!$B$2:$S$256,14,FALSE)</f>
        <v>TS Nguyễn Thanh Liêm</v>
      </c>
      <c r="E69" t="str">
        <f>VLOOKUP($A69,'[1]Phân công'!$B$2:$S$256,15,FALSE)</f>
        <v>PGS. TS Phạm Thị Thanh Xuân</v>
      </c>
      <c r="F69" t="str">
        <f>VLOOKUP($A69,'[1]Phân công'!$B$2:$S$256,18,FALSE)</f>
        <v>8h00 sáng thứ sáu ngày 06/3/2026</v>
      </c>
      <c r="G69" t="s">
        <v>2634</v>
      </c>
      <c r="H69" t="s">
        <v>2641</v>
      </c>
    </row>
    <row r="70" spans="1:8" ht="15.75" customHeight="1" x14ac:dyDescent="0.35">
      <c r="A70" s="58" t="s">
        <v>297</v>
      </c>
      <c r="B70" t="str">
        <f>VLOOKUP($A70,'[1]Phân công'!$B$2:$S$256,16,FALSE)</f>
        <v>TS Nguyễn Thanh Liêm</v>
      </c>
      <c r="C70" t="str">
        <f>VLOOKUP($A70,'[1]Phân công'!$B$2:$S$256,13,FALSE)</f>
        <v>PGS. TS Lê Đức Quang Tú</v>
      </c>
      <c r="D70" t="str">
        <f>VLOOKUP($A70,'[1]Phân công'!$B$2:$S$256,14,FALSE)</f>
        <v>TS Nguyễn Thanh Liêm</v>
      </c>
      <c r="E70" t="str">
        <f>VLOOKUP($A70,'[1]Phân công'!$B$2:$S$256,15,FALSE)</f>
        <v>PGS. TS Phạm Thị Thanh Xuân</v>
      </c>
      <c r="F70" t="str">
        <f>VLOOKUP($A70,'[1]Phân công'!$B$2:$S$256,18,FALSE)</f>
        <v>8h00 sáng thứ sáu ngày 06/3/2026</v>
      </c>
      <c r="G70" t="s">
        <v>2634</v>
      </c>
      <c r="H70" t="s">
        <v>2641</v>
      </c>
    </row>
    <row r="71" spans="1:8" ht="15.75" customHeight="1" x14ac:dyDescent="0.35">
      <c r="A71" s="58" t="s">
        <v>299</v>
      </c>
      <c r="B71" t="str">
        <f>VLOOKUP($A71,'[1]Phân công'!$B$2:$S$256,16,FALSE)</f>
        <v>PGS. TS Lê Đức Quang Tú</v>
      </c>
      <c r="C71" t="str">
        <f>VLOOKUP($A71,'[1]Phân công'!$B$2:$S$256,13,FALSE)</f>
        <v>PGS. TS Lê Đức Quang Tú</v>
      </c>
      <c r="D71" t="str">
        <f>VLOOKUP($A71,'[1]Phân công'!$B$2:$S$256,14,FALSE)</f>
        <v>TS Nguyễn Thanh Liêm</v>
      </c>
      <c r="E71" t="str">
        <f>VLOOKUP($A71,'[1]Phân công'!$B$2:$S$256,15,FALSE)</f>
        <v>PGS. TS Phạm Thị Thanh Xuân</v>
      </c>
      <c r="F71" t="str">
        <f>VLOOKUP($A71,'[1]Phân công'!$B$2:$S$256,18,FALSE)</f>
        <v>8h00 sáng thứ sáu ngày 06/3/2026</v>
      </c>
      <c r="G71" t="s">
        <v>2634</v>
      </c>
      <c r="H71" t="s">
        <v>2641</v>
      </c>
    </row>
    <row r="72" spans="1:8" ht="15.75" customHeight="1" x14ac:dyDescent="0.35">
      <c r="A72" s="58" t="s">
        <v>301</v>
      </c>
      <c r="B72" t="str">
        <f>VLOOKUP($A72,'[1]Phân công'!$B$2:$S$256,16,FALSE)</f>
        <v>PGS. TS Phạm Thị Thanh Xuân</v>
      </c>
      <c r="C72" t="str">
        <f>VLOOKUP($A72,'[1]Phân công'!$B$2:$S$256,13,FALSE)</f>
        <v>PGS. TS Lê Đức Quang Tú</v>
      </c>
      <c r="D72" t="str">
        <f>VLOOKUP($A72,'[1]Phân công'!$B$2:$S$256,14,FALSE)</f>
        <v>TS Nguyễn Thanh Liêm</v>
      </c>
      <c r="E72" t="str">
        <f>VLOOKUP($A72,'[1]Phân công'!$B$2:$S$256,15,FALSE)</f>
        <v>PGS. TS Phạm Thị Thanh Xuân</v>
      </c>
      <c r="F72" t="str">
        <f>VLOOKUP($A72,'[1]Phân công'!$B$2:$S$256,18,FALSE)</f>
        <v>8h00 sáng thứ sáu ngày 06/3/2026</v>
      </c>
      <c r="G72" t="s">
        <v>2634</v>
      </c>
      <c r="H72" t="s">
        <v>2641</v>
      </c>
    </row>
    <row r="73" spans="1:8" ht="15.75" customHeight="1" x14ac:dyDescent="0.35">
      <c r="A73" s="58" t="s">
        <v>358</v>
      </c>
      <c r="B73" t="str">
        <f>VLOOKUP($A73,'[1]Phân công'!$B$2:$S$256,16,FALSE)</f>
        <v>PGS. TS Lê Đức Quang Tú</v>
      </c>
      <c r="C73" t="str">
        <f>VLOOKUP($A73,'[1]Phân công'!$B$2:$S$256,13,FALSE)</f>
        <v>PGS. TS Lê Đức Quang Tú</v>
      </c>
      <c r="D73" t="str">
        <f>VLOOKUP($A73,'[1]Phân công'!$B$2:$S$256,14,FALSE)</f>
        <v>TS Nguyễn Thanh Liêm</v>
      </c>
      <c r="E73" t="str">
        <f>VLOOKUP($A73,'[1]Phân công'!$B$2:$S$256,15,FALSE)</f>
        <v>PGS. TS Phạm Thị Thanh Xuân</v>
      </c>
      <c r="F73" t="str">
        <f>VLOOKUP($A73,'[1]Phân công'!$B$2:$S$256,18,FALSE)</f>
        <v>8h00 sáng thứ sáu ngày 06/3/2026</v>
      </c>
      <c r="G73" t="s">
        <v>2634</v>
      </c>
      <c r="H73" t="s">
        <v>2641</v>
      </c>
    </row>
    <row r="74" spans="1:8" ht="15.75" customHeight="1" x14ac:dyDescent="0.35">
      <c r="A74" s="58" t="s">
        <v>360</v>
      </c>
      <c r="B74" t="str">
        <f>VLOOKUP($A74,'[1]Phân công'!$B$2:$S$256,16,FALSE)</f>
        <v>TS Nguyễn Thanh Liêm</v>
      </c>
      <c r="C74" t="str">
        <f>VLOOKUP($A74,'[1]Phân công'!$B$2:$S$256,13,FALSE)</f>
        <v>PGS. TS Lê Đức Quang Tú</v>
      </c>
      <c r="D74" t="str">
        <f>VLOOKUP($A74,'[1]Phân công'!$B$2:$S$256,14,FALSE)</f>
        <v>TS Nguyễn Thanh Liêm</v>
      </c>
      <c r="E74" t="str">
        <f>VLOOKUP($A74,'[1]Phân công'!$B$2:$S$256,15,FALSE)</f>
        <v>PGS. TS Phạm Thị Thanh Xuân</v>
      </c>
      <c r="F74" t="str">
        <f>VLOOKUP($A74,'[1]Phân công'!$B$2:$S$256,18,FALSE)</f>
        <v>8h00 sáng thứ sáu ngày 06/3/2026</v>
      </c>
      <c r="G74" t="s">
        <v>2634</v>
      </c>
      <c r="H74" t="s">
        <v>2641</v>
      </c>
    </row>
    <row r="75" spans="1:8" ht="15.75" customHeight="1" x14ac:dyDescent="0.25">
      <c r="A75" s="59" t="s">
        <v>362</v>
      </c>
      <c r="B75" t="str">
        <f>VLOOKUP($A75,'[1]Phân công'!$B$2:$S$256,16,FALSE)</f>
        <v>PGS. TS Phạm Thị Thanh Xuân</v>
      </c>
      <c r="C75" t="str">
        <f>VLOOKUP($A75,'[1]Phân công'!$B$2:$S$256,13,FALSE)</f>
        <v>PGS. TS Lê Đức Quang Tú</v>
      </c>
      <c r="D75" t="str">
        <f>VLOOKUP($A75,'[1]Phân công'!$B$2:$S$256,14,FALSE)</f>
        <v>TS Nguyễn Thanh Liêm</v>
      </c>
      <c r="E75" t="str">
        <f>VLOOKUP($A75,'[1]Phân công'!$B$2:$S$256,15,FALSE)</f>
        <v>PGS. TS Phạm Thị Thanh Xuân</v>
      </c>
      <c r="F75" t="str">
        <f>VLOOKUP($A75,'[1]Phân công'!$B$2:$S$256,18,FALSE)</f>
        <v>8h00 sáng thứ sáu ngày 06/3/2026</v>
      </c>
      <c r="G75" t="s">
        <v>2634</v>
      </c>
      <c r="H75" t="s">
        <v>2641</v>
      </c>
    </row>
    <row r="76" spans="1:8" ht="15.75" customHeight="1" x14ac:dyDescent="0.35">
      <c r="A76" s="58" t="s">
        <v>364</v>
      </c>
      <c r="B76" t="str">
        <f>VLOOKUP($A76,'[1]Phân công'!$B$2:$S$256,16,FALSE)</f>
        <v>TS Nguyễn Thanh Liêm</v>
      </c>
      <c r="C76" t="str">
        <f>VLOOKUP($A76,'[1]Phân công'!$B$2:$S$256,13,FALSE)</f>
        <v>PGS. TS Lê Đức Quang Tú</v>
      </c>
      <c r="D76" t="str">
        <f>VLOOKUP($A76,'[1]Phân công'!$B$2:$S$256,14,FALSE)</f>
        <v>TS Nguyễn Thanh Liêm</v>
      </c>
      <c r="E76" t="str">
        <f>VLOOKUP($A76,'[1]Phân công'!$B$2:$S$256,15,FALSE)</f>
        <v>PGS. TS Phạm Thị Thanh Xuân</v>
      </c>
      <c r="F76" t="str">
        <f>VLOOKUP($A76,'[1]Phân công'!$B$2:$S$256,18,FALSE)</f>
        <v>8h00 sáng thứ sáu ngày 06/3/2026</v>
      </c>
      <c r="G76" t="s">
        <v>2634</v>
      </c>
      <c r="H76" t="s">
        <v>2641</v>
      </c>
    </row>
    <row r="77" spans="1:8" ht="15.75" customHeight="1" x14ac:dyDescent="0.35">
      <c r="A77" s="58" t="s">
        <v>367</v>
      </c>
      <c r="B77" t="str">
        <f>VLOOKUP($A77,'[1]Phân công'!$B$2:$S$256,16,FALSE)</f>
        <v>PGS. TS Phạm Thị Thanh Xuân</v>
      </c>
      <c r="C77" t="str">
        <f>VLOOKUP($A77,'[1]Phân công'!$B$2:$S$256,13,FALSE)</f>
        <v>PGS. TS Phạm Thị Thanh Xuân</v>
      </c>
      <c r="D77" t="str">
        <f>VLOOKUP($A77,'[1]Phân công'!$B$2:$S$256,14,FALSE)</f>
        <v>TS Nguyễn Thanh Liêm</v>
      </c>
      <c r="E77" t="str">
        <f>VLOOKUP($A77,'[1]Phân công'!$B$2:$S$256,15,FALSE)</f>
        <v>PGS. TS Lê Đức Quang Tú</v>
      </c>
      <c r="F77" t="str">
        <f>VLOOKUP($A77,'[1]Phân công'!$B$2:$S$256,18,FALSE)</f>
        <v>13h00 chiều thứ sáu ngày 06/3/2026</v>
      </c>
      <c r="G77" t="s">
        <v>2634</v>
      </c>
      <c r="H77" t="s">
        <v>2642</v>
      </c>
    </row>
    <row r="78" spans="1:8" ht="15.75" customHeight="1" x14ac:dyDescent="0.35">
      <c r="A78" s="58" t="s">
        <v>370</v>
      </c>
      <c r="B78" t="str">
        <f>VLOOKUP($A78,'[1]Phân công'!$B$2:$S$256,16,FALSE)</f>
        <v>TS Nguyễn Thanh Liêm</v>
      </c>
      <c r="C78" t="str">
        <f>VLOOKUP($A78,'[1]Phân công'!$B$2:$S$256,13,FALSE)</f>
        <v>PGS. TS Phạm Thị Thanh Xuân</v>
      </c>
      <c r="D78" t="str">
        <f>VLOOKUP($A78,'[1]Phân công'!$B$2:$S$256,14,FALSE)</f>
        <v>TS Nguyễn Thanh Liêm</v>
      </c>
      <c r="E78" t="str">
        <f>VLOOKUP($A78,'[1]Phân công'!$B$2:$S$256,15,FALSE)</f>
        <v>PGS. TS Lê Đức Quang Tú</v>
      </c>
      <c r="F78" t="str">
        <f>VLOOKUP($A78,'[1]Phân công'!$B$2:$S$256,18,FALSE)</f>
        <v>13h00 chiều thứ sáu ngày 06/3/2026</v>
      </c>
      <c r="G78" t="s">
        <v>2634</v>
      </c>
      <c r="H78" t="s">
        <v>2642</v>
      </c>
    </row>
    <row r="79" spans="1:8" ht="15.75" customHeight="1" x14ac:dyDescent="0.35">
      <c r="A79" s="58" t="s">
        <v>372</v>
      </c>
      <c r="B79" t="str">
        <f>VLOOKUP($A79,'[1]Phân công'!$B$2:$S$256,16,FALSE)</f>
        <v>PGS. TS Lê Đức Quang Tú</v>
      </c>
      <c r="C79" t="str">
        <f>VLOOKUP($A79,'[1]Phân công'!$B$2:$S$256,13,FALSE)</f>
        <v>PGS. TS Phạm Thị Thanh Xuân</v>
      </c>
      <c r="D79" t="str">
        <f>VLOOKUP($A79,'[1]Phân công'!$B$2:$S$256,14,FALSE)</f>
        <v>TS Nguyễn Thanh Liêm</v>
      </c>
      <c r="E79" t="str">
        <f>VLOOKUP($A79,'[1]Phân công'!$B$2:$S$256,15,FALSE)</f>
        <v>PGS. TS Lê Đức Quang Tú</v>
      </c>
      <c r="F79" t="str">
        <f>VLOOKUP($A79,'[1]Phân công'!$B$2:$S$256,18,FALSE)</f>
        <v>13h00 chiều thứ sáu ngày 06/3/2026</v>
      </c>
      <c r="G79" t="s">
        <v>2634</v>
      </c>
      <c r="H79" t="s">
        <v>2642</v>
      </c>
    </row>
    <row r="80" spans="1:8" ht="15.75" customHeight="1" x14ac:dyDescent="0.35">
      <c r="A80" s="58" t="s">
        <v>376</v>
      </c>
      <c r="B80" t="str">
        <f>VLOOKUP($A80,'[1]Phân công'!$B$2:$S$256,16,FALSE)</f>
        <v>PGS. TS Phạm Thị Thanh Xuân</v>
      </c>
      <c r="C80" t="str">
        <f>VLOOKUP($A80,'[1]Phân công'!$B$2:$S$256,13,FALSE)</f>
        <v>PGS. TS Phạm Thị Thanh Xuân</v>
      </c>
      <c r="D80" t="str">
        <f>VLOOKUP($A80,'[1]Phân công'!$B$2:$S$256,14,FALSE)</f>
        <v>TS Nguyễn Thanh Liêm</v>
      </c>
      <c r="E80" t="str">
        <f>VLOOKUP($A80,'[1]Phân công'!$B$2:$S$256,15,FALSE)</f>
        <v>PGS. TS Lê Đức Quang Tú</v>
      </c>
      <c r="F80" t="str">
        <f>VLOOKUP($A80,'[1]Phân công'!$B$2:$S$256,18,FALSE)</f>
        <v>13h00 chiều thứ sáu ngày 06/3/2026</v>
      </c>
      <c r="G80" t="s">
        <v>2634</v>
      </c>
      <c r="H80" t="s">
        <v>2642</v>
      </c>
    </row>
    <row r="81" spans="1:8" ht="15.75" customHeight="1" x14ac:dyDescent="0.35">
      <c r="A81" s="58" t="s">
        <v>378</v>
      </c>
      <c r="B81" t="str">
        <f>VLOOKUP($A81,'[1]Phân công'!$B$2:$S$256,16,FALSE)</f>
        <v>TS Nguyễn Thanh Liêm</v>
      </c>
      <c r="C81" t="str">
        <f>VLOOKUP($A81,'[1]Phân công'!$B$2:$S$256,13,FALSE)</f>
        <v>PGS. TS Phạm Thị Thanh Xuân</v>
      </c>
      <c r="D81" t="str">
        <f>VLOOKUP($A81,'[1]Phân công'!$B$2:$S$256,14,FALSE)</f>
        <v>TS Nguyễn Thanh Liêm</v>
      </c>
      <c r="E81" t="str">
        <f>VLOOKUP($A81,'[1]Phân công'!$B$2:$S$256,15,FALSE)</f>
        <v>PGS. TS Lê Đức Quang Tú</v>
      </c>
      <c r="F81" t="str">
        <f>VLOOKUP($A81,'[1]Phân công'!$B$2:$S$256,18,FALSE)</f>
        <v>13h00 chiều thứ sáu ngày 06/3/2026</v>
      </c>
      <c r="G81" t="s">
        <v>2634</v>
      </c>
      <c r="H81" t="s">
        <v>2642</v>
      </c>
    </row>
    <row r="82" spans="1:8" ht="15.75" customHeight="1" x14ac:dyDescent="0.35">
      <c r="A82" s="58" t="s">
        <v>381</v>
      </c>
      <c r="B82" t="str">
        <f>VLOOKUP($A82,'[1]Phân công'!$B$2:$S$256,16,FALSE)</f>
        <v>PGS. TS Lê Đức Quang Tú</v>
      </c>
      <c r="C82" t="str">
        <f>VLOOKUP($A82,'[1]Phân công'!$B$2:$S$256,13,FALSE)</f>
        <v>PGS. TS Phạm Thị Thanh Xuân</v>
      </c>
      <c r="D82" t="str">
        <f>VLOOKUP($A82,'[1]Phân công'!$B$2:$S$256,14,FALSE)</f>
        <v>TS Nguyễn Thanh Liêm</v>
      </c>
      <c r="E82" t="str">
        <f>VLOOKUP($A82,'[1]Phân công'!$B$2:$S$256,15,FALSE)</f>
        <v>PGS. TS Lê Đức Quang Tú</v>
      </c>
      <c r="F82" t="str">
        <f>VLOOKUP($A82,'[1]Phân công'!$B$2:$S$256,18,FALSE)</f>
        <v>13h00 chiều thứ sáu ngày 06/3/2026</v>
      </c>
      <c r="G82" t="s">
        <v>2634</v>
      </c>
      <c r="H82" t="s">
        <v>2642</v>
      </c>
    </row>
    <row r="83" spans="1:8" ht="15.75" customHeight="1" x14ac:dyDescent="0.35">
      <c r="A83" s="58" t="s">
        <v>384</v>
      </c>
      <c r="B83" t="str">
        <f>VLOOKUP($A83,'[1]Phân công'!$B$2:$S$256,16,FALSE)</f>
        <v>PGS. TS Phạm Thị Thanh Xuân</v>
      </c>
      <c r="C83" t="str">
        <f>VLOOKUP($A83,'[1]Phân công'!$B$2:$S$256,13,FALSE)</f>
        <v>PGS. TS Phạm Thị Thanh Xuân</v>
      </c>
      <c r="D83" t="str">
        <f>VLOOKUP($A83,'[1]Phân công'!$B$2:$S$256,14,FALSE)</f>
        <v>TS Nguyễn Thanh Liêm</v>
      </c>
      <c r="E83" t="str">
        <f>VLOOKUP($A83,'[1]Phân công'!$B$2:$S$256,15,FALSE)</f>
        <v>PGS. TS Lê Đức Quang Tú</v>
      </c>
      <c r="F83" t="str">
        <f>VLOOKUP($A83,'[1]Phân công'!$B$2:$S$256,18,FALSE)</f>
        <v>13h00 chiều thứ sáu ngày 06/3/2026</v>
      </c>
      <c r="G83" t="s">
        <v>2634</v>
      </c>
      <c r="H83" t="s">
        <v>2642</v>
      </c>
    </row>
    <row r="84" spans="1:8" ht="15.75" customHeight="1" x14ac:dyDescent="0.35">
      <c r="A84" s="58" t="s">
        <v>386</v>
      </c>
      <c r="B84" t="str">
        <f>VLOOKUP($A84,'[1]Phân công'!$B$2:$S$256,16,FALSE)</f>
        <v>TS Nguyễn Thanh Liêm</v>
      </c>
      <c r="C84" t="str">
        <f>VLOOKUP($A84,'[1]Phân công'!$B$2:$S$256,13,FALSE)</f>
        <v>PGS. TS Phạm Thị Thanh Xuân</v>
      </c>
      <c r="D84" t="str">
        <f>VLOOKUP($A84,'[1]Phân công'!$B$2:$S$256,14,FALSE)</f>
        <v>TS Nguyễn Thanh Liêm</v>
      </c>
      <c r="E84" t="str">
        <f>VLOOKUP($A84,'[1]Phân công'!$B$2:$S$256,15,FALSE)</f>
        <v>PGS. TS Lê Đức Quang Tú</v>
      </c>
      <c r="F84" t="str">
        <f>VLOOKUP($A84,'[1]Phân công'!$B$2:$S$256,18,FALSE)</f>
        <v>13h00 chiều thứ sáu ngày 06/3/2026</v>
      </c>
      <c r="G84" t="s">
        <v>2634</v>
      </c>
      <c r="H84" t="s">
        <v>2642</v>
      </c>
    </row>
    <row r="85" spans="1:8" ht="15.75" customHeight="1" x14ac:dyDescent="0.35">
      <c r="A85" s="58" t="s">
        <v>388</v>
      </c>
      <c r="B85" t="str">
        <f>VLOOKUP($A85,'[1]Phân công'!$B$2:$S$256,16,FALSE)</f>
        <v>PGS. TS Lê Đức Quang Tú</v>
      </c>
      <c r="C85" t="str">
        <f>VLOOKUP($A85,'[1]Phân công'!$B$2:$S$256,13,FALSE)</f>
        <v>PGS. TS Phạm Thị Thanh Xuân</v>
      </c>
      <c r="D85" t="str">
        <f>VLOOKUP($A85,'[1]Phân công'!$B$2:$S$256,14,FALSE)</f>
        <v>TS Nguyễn Thanh Liêm</v>
      </c>
      <c r="E85" t="str">
        <f>VLOOKUP($A85,'[1]Phân công'!$B$2:$S$256,15,FALSE)</f>
        <v>PGS. TS Lê Đức Quang Tú</v>
      </c>
      <c r="F85" t="str">
        <f>VLOOKUP($A85,'[1]Phân công'!$B$2:$S$256,18,FALSE)</f>
        <v>13h00 chiều thứ sáu ngày 06/3/2026</v>
      </c>
      <c r="G85" t="s">
        <v>2634</v>
      </c>
      <c r="H85" t="s">
        <v>2642</v>
      </c>
    </row>
    <row r="86" spans="1:8" ht="15.75" customHeight="1" x14ac:dyDescent="0.35">
      <c r="A86" s="58" t="s">
        <v>390</v>
      </c>
      <c r="B86" t="str">
        <f>VLOOKUP($A86,'[1]Phân công'!$B$2:$S$256,16,FALSE)</f>
        <v>PGS. TS Phạm Thị Thanh Xuân</v>
      </c>
      <c r="C86" t="str">
        <f>VLOOKUP($A86,'[1]Phân công'!$B$2:$S$256,13,FALSE)</f>
        <v>PGS. TS Phạm Thị Thanh Xuân</v>
      </c>
      <c r="D86" t="str">
        <f>VLOOKUP($A86,'[1]Phân công'!$B$2:$S$256,14,FALSE)</f>
        <v>TS Nguyễn Thanh Liêm</v>
      </c>
      <c r="E86" t="str">
        <f>VLOOKUP($A86,'[1]Phân công'!$B$2:$S$256,15,FALSE)</f>
        <v>PGS. TS Lê Đức Quang Tú</v>
      </c>
      <c r="F86" t="str">
        <f>VLOOKUP($A86,'[1]Phân công'!$B$2:$S$256,18,FALSE)</f>
        <v>13h00 chiều thứ sáu ngày 06/3/2026</v>
      </c>
      <c r="G86" t="s">
        <v>2634</v>
      </c>
      <c r="H86" t="s">
        <v>2642</v>
      </c>
    </row>
    <row r="87" spans="1:8" ht="15.75" customHeight="1" x14ac:dyDescent="0.35">
      <c r="A87" s="58" t="s">
        <v>392</v>
      </c>
      <c r="B87" t="str">
        <f>VLOOKUP($A87,'[1]Phân công'!$B$2:$S$256,16,FALSE)</f>
        <v>ThS Nguyễn Thị Diễm Hiền</v>
      </c>
      <c r="C87" t="str">
        <f>VLOOKUP($A87,'[1]Phân công'!$B$2:$S$256,13,FALSE)</f>
        <v>PGS. TS Trần Hùng Sơn</v>
      </c>
      <c r="D87" t="str">
        <f>VLOOKUP($A87,'[1]Phân công'!$B$2:$S$256,14,FALSE)</f>
        <v>ThS Tô Thị Thanh Trúc</v>
      </c>
      <c r="E87" t="str">
        <f>VLOOKUP($A87,'[1]Phân công'!$B$2:$S$256,15,FALSE)</f>
        <v>ThS Nguyễn Thị Diễm Hiền</v>
      </c>
      <c r="F87" t="str">
        <f>VLOOKUP($A87,'[1]Phân công'!$B$2:$S$256,18,FALSE)</f>
        <v>8h00 sáng thứ năm ngày 05/3/2026</v>
      </c>
      <c r="G87" t="s">
        <v>2634</v>
      </c>
      <c r="H87" t="s">
        <v>2643</v>
      </c>
    </row>
    <row r="88" spans="1:8" ht="15.75" customHeight="1" x14ac:dyDescent="0.35">
      <c r="A88" s="58" t="s">
        <v>396</v>
      </c>
      <c r="B88" t="str">
        <f>VLOOKUP($A88,'[1]Phân công'!$B$2:$S$256,16,FALSE)</f>
        <v>ThS Tô Thị Thanh Trúc</v>
      </c>
      <c r="C88" t="str">
        <f>VLOOKUP($A88,'[1]Phân công'!$B$2:$S$256,13,FALSE)</f>
        <v>PGS. TS Trần Hùng Sơn</v>
      </c>
      <c r="D88" t="str">
        <f>VLOOKUP($A88,'[1]Phân công'!$B$2:$S$256,14,FALSE)</f>
        <v>ThS Tô Thị Thanh Trúc</v>
      </c>
      <c r="E88" t="str">
        <f>VLOOKUP($A88,'[1]Phân công'!$B$2:$S$256,15,FALSE)</f>
        <v>ThS Nguyễn Thị Diễm Hiền</v>
      </c>
      <c r="F88" t="str">
        <f>VLOOKUP($A88,'[1]Phân công'!$B$2:$S$256,18,FALSE)</f>
        <v>8h00 sáng thứ năm ngày 05/3/2026</v>
      </c>
      <c r="G88" t="s">
        <v>2634</v>
      </c>
      <c r="H88" t="s">
        <v>2643</v>
      </c>
    </row>
    <row r="89" spans="1:8" ht="15.75" customHeight="1" x14ac:dyDescent="0.35">
      <c r="A89" s="58" t="s">
        <v>399</v>
      </c>
      <c r="B89" t="str">
        <f>VLOOKUP($A89,'[1]Phân công'!$B$2:$S$256,16,FALSE)</f>
        <v>PGS. TS Trần Hùng Sơn</v>
      </c>
      <c r="C89" t="str">
        <f>VLOOKUP($A89,'[1]Phân công'!$B$2:$S$256,13,FALSE)</f>
        <v>PGS. TS Trần Hùng Sơn</v>
      </c>
      <c r="D89" t="str">
        <f>VLOOKUP($A89,'[1]Phân công'!$B$2:$S$256,14,FALSE)</f>
        <v>ThS Tô Thị Thanh Trúc</v>
      </c>
      <c r="E89" t="str">
        <f>VLOOKUP($A89,'[1]Phân công'!$B$2:$S$256,15,FALSE)</f>
        <v>ThS Nguyễn Thị Diễm Hiền</v>
      </c>
      <c r="F89" t="str">
        <f>VLOOKUP($A89,'[1]Phân công'!$B$2:$S$256,18,FALSE)</f>
        <v>8h00 sáng thứ năm ngày 05/3/2026</v>
      </c>
      <c r="G89" t="s">
        <v>2634</v>
      </c>
      <c r="H89" t="s">
        <v>2643</v>
      </c>
    </row>
    <row r="90" spans="1:8" ht="15.75" customHeight="1" x14ac:dyDescent="0.35">
      <c r="A90" s="58" t="s">
        <v>401</v>
      </c>
      <c r="B90" t="str">
        <f>VLOOKUP($A90,'[1]Phân công'!$B$2:$S$256,16,FALSE)</f>
        <v>PGS. TS Trần Hùng Sơn</v>
      </c>
      <c r="C90" t="str">
        <f>VLOOKUP($A90,'[1]Phân công'!$B$2:$S$256,13,FALSE)</f>
        <v>PGS. TS Trần Hùng Sơn</v>
      </c>
      <c r="D90" t="str">
        <f>VLOOKUP($A90,'[1]Phân công'!$B$2:$S$256,14,FALSE)</f>
        <v>ThS Tô Thị Thanh Trúc</v>
      </c>
      <c r="E90" t="str">
        <f>VLOOKUP($A90,'[1]Phân công'!$B$2:$S$256,15,FALSE)</f>
        <v>ThS Nguyễn Thị Diễm Hiền</v>
      </c>
      <c r="F90" t="str">
        <f>VLOOKUP($A90,'[1]Phân công'!$B$2:$S$256,18,FALSE)</f>
        <v>8h00 sáng thứ năm ngày 05/3/2026</v>
      </c>
      <c r="G90" t="s">
        <v>2634</v>
      </c>
      <c r="H90" t="s">
        <v>2643</v>
      </c>
    </row>
    <row r="91" spans="1:8" ht="15.75" customHeight="1" x14ac:dyDescent="0.35">
      <c r="A91" s="58" t="s">
        <v>404</v>
      </c>
      <c r="B91" t="str">
        <f>VLOOKUP($A91,'[1]Phân công'!$B$2:$S$256,16,FALSE)</f>
        <v>ThS Tô Thị Thanh Trúc</v>
      </c>
      <c r="C91" t="str">
        <f>VLOOKUP($A91,'[1]Phân công'!$B$2:$S$256,13,FALSE)</f>
        <v>PGS. TS Trần Hùng Sơn</v>
      </c>
      <c r="D91" t="str">
        <f>VLOOKUP($A91,'[1]Phân công'!$B$2:$S$256,14,FALSE)</f>
        <v>ThS Tô Thị Thanh Trúc</v>
      </c>
      <c r="E91" t="str">
        <f>VLOOKUP($A91,'[1]Phân công'!$B$2:$S$256,15,FALSE)</f>
        <v>ThS Nguyễn Thị Diễm Hiền</v>
      </c>
      <c r="F91" t="str">
        <f>VLOOKUP($A91,'[1]Phân công'!$B$2:$S$256,18,FALSE)</f>
        <v>8h00 sáng thứ năm ngày 05/3/2026</v>
      </c>
      <c r="G91" t="s">
        <v>2634</v>
      </c>
      <c r="H91" t="s">
        <v>2643</v>
      </c>
    </row>
    <row r="92" spans="1:8" ht="15.75" customHeight="1" x14ac:dyDescent="0.35">
      <c r="A92" s="58" t="s">
        <v>407</v>
      </c>
      <c r="B92" t="str">
        <f>VLOOKUP($A92,'[1]Phân công'!$B$2:$S$256,16,FALSE)</f>
        <v>ThS Nguyễn Thị Diễm Hiền</v>
      </c>
      <c r="C92" t="str">
        <f>VLOOKUP($A92,'[1]Phân công'!$B$2:$S$256,13,FALSE)</f>
        <v>PGS. TS Trần Hùng Sơn</v>
      </c>
      <c r="D92" t="str">
        <f>VLOOKUP($A92,'[1]Phân công'!$B$2:$S$256,14,FALSE)</f>
        <v>ThS Tô Thị Thanh Trúc</v>
      </c>
      <c r="E92" t="str">
        <f>VLOOKUP($A92,'[1]Phân công'!$B$2:$S$256,15,FALSE)</f>
        <v>ThS Nguyễn Thị Diễm Hiền</v>
      </c>
      <c r="F92" t="str">
        <f>VLOOKUP($A92,'[1]Phân công'!$B$2:$S$256,18,FALSE)</f>
        <v>8h00 sáng thứ năm ngày 05/3/2026</v>
      </c>
      <c r="G92" t="s">
        <v>2634</v>
      </c>
      <c r="H92" t="s">
        <v>2643</v>
      </c>
    </row>
    <row r="93" spans="1:8" ht="16.5" x14ac:dyDescent="0.35">
      <c r="A93" s="58" t="s">
        <v>409</v>
      </c>
      <c r="B93" t="str">
        <f>VLOOKUP($A93,'[1]Phân công'!$B$2:$S$256,16,FALSE)</f>
        <v>ThS Tô Thị Thanh Trúc</v>
      </c>
      <c r="C93" t="str">
        <f>VLOOKUP($A93,'[1]Phân công'!$B$2:$S$256,13,FALSE)</f>
        <v>PGS. TS Trần Hùng Sơn</v>
      </c>
      <c r="D93" t="str">
        <f>VLOOKUP($A93,'[1]Phân công'!$B$2:$S$256,14,FALSE)</f>
        <v>ThS Tô Thị Thanh Trúc</v>
      </c>
      <c r="E93" t="str">
        <f>VLOOKUP($A93,'[1]Phân công'!$B$2:$S$256,15,FALSE)</f>
        <v>ThS Nguyễn Thị Diễm Hiền</v>
      </c>
      <c r="F93" t="str">
        <f>VLOOKUP($A93,'[1]Phân công'!$B$2:$S$256,18,FALSE)</f>
        <v>8h00 sáng thứ năm ngày 05/3/2026</v>
      </c>
      <c r="G93" t="s">
        <v>2634</v>
      </c>
      <c r="H93" t="s">
        <v>2643</v>
      </c>
    </row>
    <row r="94" spans="1:8" ht="15.75" customHeight="1" x14ac:dyDescent="0.35">
      <c r="A94" s="58" t="s">
        <v>411</v>
      </c>
      <c r="B94" t="str">
        <f>VLOOKUP($A94,'[1]Phân công'!$B$2:$S$256,16,FALSE)</f>
        <v>PGS. TS Trần Hùng Sơn</v>
      </c>
      <c r="C94" t="str">
        <f>VLOOKUP($A94,'[1]Phân công'!$B$2:$S$256,13,FALSE)</f>
        <v>PGS. TS Trần Hùng Sơn</v>
      </c>
      <c r="D94" t="str">
        <f>VLOOKUP($A94,'[1]Phân công'!$B$2:$S$256,14,FALSE)</f>
        <v>ThS Tô Thị Thanh Trúc</v>
      </c>
      <c r="E94" t="str">
        <f>VLOOKUP($A94,'[1]Phân công'!$B$2:$S$256,15,FALSE)</f>
        <v>ThS Nguyễn Thị Diễm Hiền</v>
      </c>
      <c r="F94" t="str">
        <f>VLOOKUP($A94,'[1]Phân công'!$B$2:$S$256,18,FALSE)</f>
        <v>8h00 sáng thứ năm ngày 05/3/2026</v>
      </c>
      <c r="G94" t="s">
        <v>2634</v>
      </c>
      <c r="H94" t="s">
        <v>2643</v>
      </c>
    </row>
    <row r="95" spans="1:8" ht="15.75" customHeight="1" x14ac:dyDescent="0.35">
      <c r="A95" s="58" t="s">
        <v>414</v>
      </c>
      <c r="B95" t="str">
        <f>VLOOKUP($A95,'[1]Phân công'!$B$2:$S$256,16,FALSE)</f>
        <v>PGS. TS Trần Hùng Sơn</v>
      </c>
      <c r="C95" t="str">
        <f>VLOOKUP($A95,'[1]Phân công'!$B$2:$S$256,13,FALSE)</f>
        <v>PGS. TS Trần Hùng Sơn</v>
      </c>
      <c r="D95" t="str">
        <f>VLOOKUP($A95,'[1]Phân công'!$B$2:$S$256,14,FALSE)</f>
        <v>ThS Tô Thị Thanh Trúc</v>
      </c>
      <c r="E95" t="str">
        <f>VLOOKUP($A95,'[1]Phân công'!$B$2:$S$256,15,FALSE)</f>
        <v>ThS Nguyễn Thị Diễm Hiền</v>
      </c>
      <c r="F95" t="str">
        <f>VLOOKUP($A95,'[1]Phân công'!$B$2:$S$256,18,FALSE)</f>
        <v>8h00 sáng thứ năm ngày 05/3/2026</v>
      </c>
      <c r="G95" t="s">
        <v>2634</v>
      </c>
      <c r="H95" t="s">
        <v>2643</v>
      </c>
    </row>
    <row r="96" spans="1:8" ht="15.75" customHeight="1" x14ac:dyDescent="0.35">
      <c r="A96" s="60" t="s">
        <v>417</v>
      </c>
      <c r="B96" t="str">
        <f>VLOOKUP($A96,'[1]Phân công'!$B$2:$S$256,16,FALSE)</f>
        <v>ThS Tô Thị Thanh Trúc</v>
      </c>
      <c r="C96" t="str">
        <f>VLOOKUP($A96,'[1]Phân công'!$B$2:$S$256,13,FALSE)</f>
        <v>PGS. TS Trần Hùng Sơn</v>
      </c>
      <c r="D96" t="str">
        <f>VLOOKUP($A96,'[1]Phân công'!$B$2:$S$256,14,FALSE)</f>
        <v>ThS Tô Thị Thanh Trúc</v>
      </c>
      <c r="E96" t="str">
        <f>VLOOKUP($A96,'[1]Phân công'!$B$2:$S$256,15,FALSE)</f>
        <v>ThS Nguyễn Thị Diễm Hiền</v>
      </c>
      <c r="F96" t="str">
        <f>VLOOKUP($A96,'[1]Phân công'!$B$2:$S$256,18,FALSE)</f>
        <v>8h00 sáng thứ năm ngày 05/3/2026</v>
      </c>
      <c r="G96" t="s">
        <v>2634</v>
      </c>
      <c r="H96" t="s">
        <v>2643</v>
      </c>
    </row>
    <row r="97" spans="1:8" ht="15.75" customHeight="1" x14ac:dyDescent="0.35">
      <c r="A97" s="60" t="s">
        <v>421</v>
      </c>
      <c r="B97" t="str">
        <f>VLOOKUP($A97,'[1]Phân công'!$B$2:$S$256,16,FALSE)</f>
        <v>ThS Nguyễn Thị Diễm Hiền</v>
      </c>
      <c r="C97" t="str">
        <f>VLOOKUP($A97,'[1]Phân công'!$B$2:$S$256,13,FALSE)</f>
        <v>PGS. TS Trần Hùng Sơn</v>
      </c>
      <c r="D97" t="str">
        <f>VLOOKUP($A97,'[1]Phân công'!$B$2:$S$256,14,FALSE)</f>
        <v>ThS Tô Thị Thanh Trúc</v>
      </c>
      <c r="E97" t="str">
        <f>VLOOKUP($A97,'[1]Phân công'!$B$2:$S$256,15,FALSE)</f>
        <v>ThS Nguyễn Thị Diễm Hiền</v>
      </c>
      <c r="F97" t="str">
        <f>VLOOKUP($A97,'[1]Phân công'!$B$2:$S$256,18,FALSE)</f>
        <v>8h00 sáng thứ năm ngày 05/3/2026</v>
      </c>
      <c r="G97" t="s">
        <v>2634</v>
      </c>
      <c r="H97" t="s">
        <v>2643</v>
      </c>
    </row>
    <row r="98" spans="1:8" ht="15.75" customHeight="1" x14ac:dyDescent="0.35">
      <c r="A98" s="58" t="s">
        <v>424</v>
      </c>
      <c r="B98" t="str">
        <f>VLOOKUP($A98,'[1]Phân công'!$B$2:$S$256,16,FALSE)</f>
        <v>ThS Nguyễn Thị Diễm Hiền</v>
      </c>
      <c r="C98" t="str">
        <f>VLOOKUP($A98,'[1]Phân công'!$B$2:$S$256,13,FALSE)</f>
        <v>PGS. TS Trần Hùng Sơn</v>
      </c>
      <c r="D98" t="str">
        <f>VLOOKUP($A98,'[1]Phân công'!$B$2:$S$256,14,FALSE)</f>
        <v>ThS Tô Thị Thanh Trúc</v>
      </c>
      <c r="E98" t="str">
        <f>VLOOKUP($A98,'[1]Phân công'!$B$2:$S$256,15,FALSE)</f>
        <v>ThS Nguyễn Thị Diễm Hiền</v>
      </c>
      <c r="F98" t="str">
        <f>VLOOKUP($A98,'[1]Phân công'!$B$2:$S$256,18,FALSE)</f>
        <v>8h00 sáng thứ năm ngày 05/3/2026</v>
      </c>
      <c r="G98" t="s">
        <v>2634</v>
      </c>
      <c r="H98" t="s">
        <v>2643</v>
      </c>
    </row>
    <row r="99" spans="1:8" ht="15.75" customHeight="1" x14ac:dyDescent="0.35">
      <c r="A99" s="58" t="s">
        <v>431</v>
      </c>
      <c r="B99" t="str">
        <f>VLOOKUP($A99,'[1]Phân công'!$B$2:$S$256,16,FALSE)</f>
        <v>TS Nguyễn Thành Đạt</v>
      </c>
      <c r="C99" t="str">
        <f>VLOOKUP($A99,'[1]Phân công'!$B$2:$S$256,13,FALSE)</f>
        <v>ThS Nguyễn Thị Hai Hằng</v>
      </c>
      <c r="D99" t="str">
        <f>VLOOKUP($A99,'[1]Phân công'!$B$2:$S$256,14,FALSE)</f>
        <v>TS Nguyễn Thành Đạt</v>
      </c>
      <c r="E99" t="str">
        <f>VLOOKUP($A99,'[1]Phân công'!$B$2:$S$256,15,FALSE)</f>
        <v>ThS Hồ Thị Hồng Minh</v>
      </c>
      <c r="F99" t="str">
        <f>VLOOKUP($A99,'[1]Phân công'!$B$2:$S$256,18,FALSE)</f>
        <v>8h00 sáng thứ năm ngày 05/3/2026</v>
      </c>
      <c r="G99" t="s">
        <v>2634</v>
      </c>
      <c r="H99" t="s">
        <v>2644</v>
      </c>
    </row>
    <row r="100" spans="1:8" ht="15.75" customHeight="1" x14ac:dyDescent="0.35">
      <c r="A100" s="58" t="s">
        <v>435</v>
      </c>
      <c r="B100" t="str">
        <f>VLOOKUP($A100,'[1]Phân công'!$B$2:$S$256,16,FALSE)</f>
        <v>ThS Hồ Thị Hồng Minh</v>
      </c>
      <c r="C100" t="str">
        <f>VLOOKUP($A100,'[1]Phân công'!$B$2:$S$256,13,FALSE)</f>
        <v>ThS Nguyễn Thị Hai Hằng</v>
      </c>
      <c r="D100" t="str">
        <f>VLOOKUP($A100,'[1]Phân công'!$B$2:$S$256,14,FALSE)</f>
        <v>TS Nguyễn Thành Đạt</v>
      </c>
      <c r="E100" t="str">
        <f>VLOOKUP($A100,'[1]Phân công'!$B$2:$S$256,15,FALSE)</f>
        <v>ThS Hồ Thị Hồng Minh</v>
      </c>
      <c r="F100" t="str">
        <f>VLOOKUP($A100,'[1]Phân công'!$B$2:$S$256,18,FALSE)</f>
        <v>8h00 sáng thứ năm ngày 05/3/2026</v>
      </c>
      <c r="G100" t="s">
        <v>2634</v>
      </c>
      <c r="H100" t="s">
        <v>2644</v>
      </c>
    </row>
    <row r="101" spans="1:8" ht="15.75" customHeight="1" x14ac:dyDescent="0.35">
      <c r="A101" s="58" t="s">
        <v>437</v>
      </c>
      <c r="B101" t="str">
        <f>VLOOKUP($A101,'[1]Phân công'!$B$2:$S$256,16,FALSE)</f>
        <v>ThS Nguyễn Thị Hai Hằng</v>
      </c>
      <c r="C101" t="str">
        <f>VLOOKUP($A101,'[1]Phân công'!$B$2:$S$256,13,FALSE)</f>
        <v>ThS Nguyễn Thị Hai Hằng</v>
      </c>
      <c r="D101" t="str">
        <f>VLOOKUP($A101,'[1]Phân công'!$B$2:$S$256,14,FALSE)</f>
        <v>TS Nguyễn Thành Đạt</v>
      </c>
      <c r="E101" t="str">
        <f>VLOOKUP($A101,'[1]Phân công'!$B$2:$S$256,15,FALSE)</f>
        <v>ThS Hồ Thị Hồng Minh</v>
      </c>
      <c r="F101" t="str">
        <f>VLOOKUP($A101,'[1]Phân công'!$B$2:$S$256,18,FALSE)</f>
        <v>8h00 sáng thứ năm ngày 05/3/2026</v>
      </c>
      <c r="G101" t="s">
        <v>2634</v>
      </c>
      <c r="H101" t="s">
        <v>2644</v>
      </c>
    </row>
    <row r="102" spans="1:8" ht="15.75" customHeight="1" x14ac:dyDescent="0.35">
      <c r="A102" s="58" t="s">
        <v>439</v>
      </c>
      <c r="B102" t="str">
        <f>VLOOKUP($A102,'[1]Phân công'!$B$2:$S$256,16,FALSE)</f>
        <v>TS Nguyễn Thành Đạt</v>
      </c>
      <c r="C102" t="str">
        <f>VLOOKUP($A102,'[1]Phân công'!$B$2:$S$256,13,FALSE)</f>
        <v>ThS Nguyễn Thị Hai Hằng</v>
      </c>
      <c r="D102" t="str">
        <f>VLOOKUP($A102,'[1]Phân công'!$B$2:$S$256,14,FALSE)</f>
        <v>TS Nguyễn Thành Đạt</v>
      </c>
      <c r="E102" t="str">
        <f>VLOOKUP($A102,'[1]Phân công'!$B$2:$S$256,15,FALSE)</f>
        <v>ThS Hồ Thị Hồng Minh</v>
      </c>
      <c r="F102" t="str">
        <f>VLOOKUP($A102,'[1]Phân công'!$B$2:$S$256,18,FALSE)</f>
        <v>8h00 sáng thứ năm ngày 05/3/2026</v>
      </c>
      <c r="G102" t="s">
        <v>2634</v>
      </c>
      <c r="H102" t="s">
        <v>2644</v>
      </c>
    </row>
    <row r="103" spans="1:8" ht="15.75" customHeight="1" x14ac:dyDescent="0.35">
      <c r="A103" s="58" t="s">
        <v>478</v>
      </c>
      <c r="B103" t="str">
        <f>VLOOKUP($A103,'[1]Phân công'!$B$2:$S$256,16,FALSE)</f>
        <v>TS Nguyễn Thành Đạt</v>
      </c>
      <c r="C103" t="str">
        <f>VLOOKUP($A103,'[1]Phân công'!$B$2:$S$256,13,FALSE)</f>
        <v>ThS Nguyễn Thị Hai Hằng</v>
      </c>
      <c r="D103" t="str">
        <f>VLOOKUP($A103,'[1]Phân công'!$B$2:$S$256,14,FALSE)</f>
        <v>TS Nguyễn Thành Đạt</v>
      </c>
      <c r="E103" t="str">
        <f>VLOOKUP($A103,'[1]Phân công'!$B$2:$S$256,15,FALSE)</f>
        <v>ThS Hồ Thị Hồng Minh</v>
      </c>
      <c r="F103" t="str">
        <f>VLOOKUP($A103,'[1]Phân công'!$B$2:$S$256,18,FALSE)</f>
        <v>8h00 sáng thứ năm ngày 05/3/2026</v>
      </c>
      <c r="G103" t="s">
        <v>2634</v>
      </c>
      <c r="H103" t="s">
        <v>2644</v>
      </c>
    </row>
    <row r="104" spans="1:8" ht="15.75" customHeight="1" x14ac:dyDescent="0.35">
      <c r="A104" s="58" t="s">
        <v>481</v>
      </c>
      <c r="B104" t="str">
        <f>VLOOKUP($A104,'[1]Phân công'!$B$2:$S$256,16,FALSE)</f>
        <v>ThS Nguyễn Thị Hai Hằng</v>
      </c>
      <c r="C104" t="str">
        <f>VLOOKUP($A104,'[1]Phân công'!$B$2:$S$256,13,FALSE)</f>
        <v>ThS Nguyễn Thị Hai Hằng</v>
      </c>
      <c r="D104" t="str">
        <f>VLOOKUP($A104,'[1]Phân công'!$B$2:$S$256,14,FALSE)</f>
        <v>TS Nguyễn Thành Đạt</v>
      </c>
      <c r="E104" t="str">
        <f>VLOOKUP($A104,'[1]Phân công'!$B$2:$S$256,15,FALSE)</f>
        <v>ThS Hồ Thị Hồng Minh</v>
      </c>
      <c r="F104" t="str">
        <f>VLOOKUP($A104,'[1]Phân công'!$B$2:$S$256,18,FALSE)</f>
        <v>8h00 sáng thứ năm ngày 05/3/2026</v>
      </c>
      <c r="G104" t="s">
        <v>2634</v>
      </c>
      <c r="H104" t="s">
        <v>2644</v>
      </c>
    </row>
    <row r="105" spans="1:8" ht="15.75" customHeight="1" x14ac:dyDescent="0.35">
      <c r="A105" s="58" t="s">
        <v>484</v>
      </c>
      <c r="B105" t="str">
        <f>VLOOKUP($A105,'[1]Phân công'!$B$2:$S$256,16,FALSE)</f>
        <v>ThS Hồ Thị Hồng Minh</v>
      </c>
      <c r="C105" t="str">
        <f>VLOOKUP($A105,'[1]Phân công'!$B$2:$S$256,13,FALSE)</f>
        <v>ThS Nguyễn Thị Hai Hằng</v>
      </c>
      <c r="D105" t="str">
        <f>VLOOKUP($A105,'[1]Phân công'!$B$2:$S$256,14,FALSE)</f>
        <v>TS Nguyễn Thành Đạt</v>
      </c>
      <c r="E105" t="str">
        <f>VLOOKUP($A105,'[1]Phân công'!$B$2:$S$256,15,FALSE)</f>
        <v>ThS Hồ Thị Hồng Minh</v>
      </c>
      <c r="F105" t="str">
        <f>VLOOKUP($A105,'[1]Phân công'!$B$2:$S$256,18,FALSE)</f>
        <v>8h00 sáng thứ năm ngày 05/3/2026</v>
      </c>
      <c r="G105" t="s">
        <v>2634</v>
      </c>
      <c r="H105" t="s">
        <v>2644</v>
      </c>
    </row>
    <row r="106" spans="1:8" ht="15.75" customHeight="1" x14ac:dyDescent="0.35">
      <c r="A106" s="58" t="s">
        <v>487</v>
      </c>
      <c r="B106" t="str">
        <f>VLOOKUP($A106,'[1]Phân công'!$B$2:$S$256,16,FALSE)</f>
        <v>ThS Nguyễn Thị Hai Hằng</v>
      </c>
      <c r="C106" t="str">
        <f>VLOOKUP($A106,'[1]Phân công'!$B$2:$S$256,13,FALSE)</f>
        <v>ThS Nguyễn Thị Hai Hằng</v>
      </c>
      <c r="D106" t="str">
        <f>VLOOKUP($A106,'[1]Phân công'!$B$2:$S$256,14,FALSE)</f>
        <v>TS Nguyễn Thành Đạt</v>
      </c>
      <c r="E106" t="str">
        <f>VLOOKUP($A106,'[1]Phân công'!$B$2:$S$256,15,FALSE)</f>
        <v>ThS Hồ Thị Hồng Minh</v>
      </c>
      <c r="F106" t="str">
        <f>VLOOKUP($A106,'[1]Phân công'!$B$2:$S$256,18,FALSE)</f>
        <v>8h00 sáng thứ năm ngày 05/3/2026</v>
      </c>
      <c r="G106" t="s">
        <v>2634</v>
      </c>
      <c r="H106" t="s">
        <v>2644</v>
      </c>
    </row>
    <row r="107" spans="1:8" ht="15.75" customHeight="1" x14ac:dyDescent="0.35">
      <c r="A107" s="58" t="s">
        <v>490</v>
      </c>
      <c r="B107" t="str">
        <f>VLOOKUP($A107,'[1]Phân công'!$B$2:$S$256,16,FALSE)</f>
        <v>TS Nguyễn Thành Đạt</v>
      </c>
      <c r="C107" t="str">
        <f>VLOOKUP($A107,'[1]Phân công'!$B$2:$S$256,13,FALSE)</f>
        <v>ThS Nguyễn Thị Hai Hằng</v>
      </c>
      <c r="D107" t="str">
        <f>VLOOKUP($A107,'[1]Phân công'!$B$2:$S$256,14,FALSE)</f>
        <v>TS Nguyễn Thành Đạt</v>
      </c>
      <c r="E107" t="str">
        <f>VLOOKUP($A107,'[1]Phân công'!$B$2:$S$256,15,FALSE)</f>
        <v>ThS Hồ Thị Hồng Minh</v>
      </c>
      <c r="F107" t="str">
        <f>VLOOKUP($A107,'[1]Phân công'!$B$2:$S$256,18,FALSE)</f>
        <v>8h00 sáng thứ năm ngày 05/3/2026</v>
      </c>
      <c r="G107" t="s">
        <v>2634</v>
      </c>
      <c r="H107" t="s">
        <v>2644</v>
      </c>
    </row>
    <row r="108" spans="1:8" ht="15.75" customHeight="1" x14ac:dyDescent="0.35">
      <c r="A108" s="58" t="s">
        <v>512</v>
      </c>
      <c r="B108" t="str">
        <f>VLOOKUP($A108,'[1]Phân công'!$B$2:$S$256,16,FALSE)</f>
        <v>ThS Hồ Thị Hồng Minh</v>
      </c>
      <c r="C108" t="str">
        <f>VLOOKUP($A108,'[1]Phân công'!$B$2:$S$256,13,FALSE)</f>
        <v>ThS Nguyễn Thị Hai Hằng</v>
      </c>
      <c r="D108" t="str">
        <f>VLOOKUP($A108,'[1]Phân công'!$B$2:$S$256,14,FALSE)</f>
        <v>TS Nguyễn Thành Đạt</v>
      </c>
      <c r="E108" t="str">
        <f>VLOOKUP($A108,'[1]Phân công'!$B$2:$S$256,15,FALSE)</f>
        <v>ThS Hồ Thị Hồng Minh</v>
      </c>
      <c r="F108" t="str">
        <f>VLOOKUP($A108,'[1]Phân công'!$B$2:$S$256,18,FALSE)</f>
        <v>8h00 sáng thứ năm ngày 05/3/2026</v>
      </c>
      <c r="G108" t="s">
        <v>2634</v>
      </c>
      <c r="H108" t="s">
        <v>2644</v>
      </c>
    </row>
    <row r="109" spans="1:8" ht="15.75" customHeight="1" x14ac:dyDescent="0.35">
      <c r="A109" s="58" t="s">
        <v>514</v>
      </c>
      <c r="B109" t="str">
        <f>VLOOKUP($A109,'[1]Phân công'!$B$2:$S$256,16,FALSE)</f>
        <v>TS Nguyễn Thành Đạt</v>
      </c>
      <c r="C109" t="str">
        <f>VLOOKUP($A109,'[1]Phân công'!$B$2:$S$256,13,FALSE)</f>
        <v>ThS Nguyễn Thị Hai Hằng</v>
      </c>
      <c r="D109" t="str">
        <f>VLOOKUP($A109,'[1]Phân công'!$B$2:$S$256,14,FALSE)</f>
        <v>TS Nguyễn Thành Đạt</v>
      </c>
      <c r="E109" t="str">
        <f>VLOOKUP($A109,'[1]Phân công'!$B$2:$S$256,15,FALSE)</f>
        <v>ThS Hồ Thị Hồng Minh</v>
      </c>
      <c r="F109" t="str">
        <f>VLOOKUP($A109,'[1]Phân công'!$B$2:$S$256,18,FALSE)</f>
        <v>8h00 sáng thứ năm ngày 05/3/2026</v>
      </c>
      <c r="G109" t="s">
        <v>2634</v>
      </c>
      <c r="H109" t="s">
        <v>2644</v>
      </c>
    </row>
    <row r="110" spans="1:8" ht="15.75" customHeight="1" x14ac:dyDescent="0.35">
      <c r="A110" s="58" t="s">
        <v>516</v>
      </c>
      <c r="B110" t="str">
        <f>VLOOKUP($A110,'[1]Phân công'!$B$2:$S$256,16,FALSE)</f>
        <v>ThS Hồ Thị Hồng Minh</v>
      </c>
      <c r="C110" t="str">
        <f>VLOOKUP($A110,'[1]Phân công'!$B$2:$S$256,13,FALSE)</f>
        <v>ThS Nguyễn Thị Hai Hằng</v>
      </c>
      <c r="D110" t="str">
        <f>VLOOKUP($A110,'[1]Phân công'!$B$2:$S$256,14,FALSE)</f>
        <v>TS Nguyễn Thành Đạt</v>
      </c>
      <c r="E110" t="str">
        <f>VLOOKUP($A110,'[1]Phân công'!$B$2:$S$256,15,FALSE)</f>
        <v>ThS Hồ Thị Hồng Minh</v>
      </c>
      <c r="F110" t="str">
        <f>VLOOKUP($A110,'[1]Phân công'!$B$2:$S$256,18,FALSE)</f>
        <v>8h00 sáng thứ năm ngày 05/3/2026</v>
      </c>
      <c r="G110" t="s">
        <v>2634</v>
      </c>
      <c r="H110" t="s">
        <v>2644</v>
      </c>
    </row>
    <row r="111" spans="1:8" ht="15.75" customHeight="1" x14ac:dyDescent="0.35">
      <c r="A111" s="58" t="s">
        <v>519</v>
      </c>
      <c r="B111" t="str">
        <f>VLOOKUP($A111,'[1]Phân công'!$B$2:$S$256,16,FALSE)</f>
        <v>ThS Nguyễn Thị Hai Hằng</v>
      </c>
      <c r="C111" t="str">
        <f>VLOOKUP($A111,'[1]Phân công'!$B$2:$S$256,13,FALSE)</f>
        <v>ThS Nguyễn Thị Hai Hằng</v>
      </c>
      <c r="D111" t="str">
        <f>VLOOKUP($A111,'[1]Phân công'!$B$2:$S$256,14,FALSE)</f>
        <v>TS Nguyễn Thành Đạt</v>
      </c>
      <c r="E111" t="str">
        <f>VLOOKUP($A111,'[1]Phân công'!$B$2:$S$256,15,FALSE)</f>
        <v>ThS Hồ Thị Hồng Minh</v>
      </c>
      <c r="F111" t="str">
        <f>VLOOKUP($A111,'[1]Phân công'!$B$2:$S$256,18,FALSE)</f>
        <v>8h00 sáng thứ năm ngày 05/3/2026</v>
      </c>
      <c r="G111" t="s">
        <v>2634</v>
      </c>
      <c r="H111" t="s">
        <v>2644</v>
      </c>
    </row>
    <row r="112" spans="1:8" ht="15.75" customHeight="1" x14ac:dyDescent="0.35">
      <c r="A112" s="58" t="s">
        <v>522</v>
      </c>
      <c r="B112" t="str">
        <f>VLOOKUP($A112,'[1]Phân công'!$B$2:$S$256,16,FALSE)</f>
        <v>ThS Nguyễn Thị Hai Hằng</v>
      </c>
      <c r="C112" t="str">
        <f>VLOOKUP($A112,'[1]Phân công'!$B$2:$S$256,13,FALSE)</f>
        <v>ThS Nguyễn Thị Hai Hằng</v>
      </c>
      <c r="D112" t="str">
        <f>VLOOKUP($A112,'[1]Phân công'!$B$2:$S$256,14,FALSE)</f>
        <v>TS Nguyễn Thành Đạt</v>
      </c>
      <c r="E112" t="str">
        <f>VLOOKUP($A112,'[1]Phân công'!$B$2:$S$256,15,FALSE)</f>
        <v>ThS Hồ Thị Hồng Minh</v>
      </c>
      <c r="F112" t="str">
        <f>VLOOKUP($A112,'[1]Phân công'!$B$2:$S$256,18,FALSE)</f>
        <v>8h00 sáng thứ năm ngày 05/3/2026</v>
      </c>
      <c r="G112" t="s">
        <v>2634</v>
      </c>
      <c r="H112" t="s">
        <v>2644</v>
      </c>
    </row>
    <row r="113" spans="1:8" ht="15.75" customHeight="1" x14ac:dyDescent="0.35">
      <c r="A113" s="58" t="s">
        <v>524</v>
      </c>
      <c r="B113" t="str">
        <f>VLOOKUP($A113,'[1]Phân công'!$B$2:$S$256,16,FALSE)</f>
        <v>PGS. TS Nguyễn Thị Ánh Như</v>
      </c>
      <c r="C113" t="str">
        <f>VLOOKUP($A113,'[1]Phân công'!$B$2:$S$256,13,FALSE)</f>
        <v>PGS. TS Nguyễn Thị Ánh Như</v>
      </c>
      <c r="D113" t="str">
        <f>VLOOKUP($A113,'[1]Phân công'!$B$2:$S$256,14,FALSE)</f>
        <v>ThS Tô Thị Thanh Trúc</v>
      </c>
      <c r="E113" t="str">
        <f>VLOOKUP($A113,'[1]Phân công'!$B$2:$S$256,15,FALSE)</f>
        <v>ThS Nguyễn Thị Hai Hằng</v>
      </c>
      <c r="F113" t="str">
        <f>VLOOKUP($A113,'[1]Phân công'!$B$2:$S$256,18,FALSE)</f>
        <v>8h00 sáng thứ sáu ngày 06/3/2026</v>
      </c>
      <c r="G113" t="s">
        <v>2634</v>
      </c>
      <c r="H113" t="s">
        <v>2645</v>
      </c>
    </row>
    <row r="114" spans="1:8" ht="15.75" customHeight="1" x14ac:dyDescent="0.35">
      <c r="A114" s="58" t="s">
        <v>528</v>
      </c>
      <c r="B114" t="str">
        <f>VLOOKUP($A114,'[1]Phân công'!$B$2:$S$256,16,FALSE)</f>
        <v>ThS Nguyễn Thị Hai Hằng</v>
      </c>
      <c r="C114" t="str">
        <f>VLOOKUP($A114,'[1]Phân công'!$B$2:$S$256,13,FALSE)</f>
        <v>PGS. TS Nguyễn Thị Ánh Như</v>
      </c>
      <c r="D114" t="str">
        <f>VLOOKUP($A114,'[1]Phân công'!$B$2:$S$256,14,FALSE)</f>
        <v>ThS Tô Thị Thanh Trúc</v>
      </c>
      <c r="E114" t="str">
        <f>VLOOKUP($A114,'[1]Phân công'!$B$2:$S$256,15,FALSE)</f>
        <v>ThS Nguyễn Thị Hai Hằng</v>
      </c>
      <c r="F114" t="str">
        <f>VLOOKUP($A114,'[1]Phân công'!$B$2:$S$256,18,FALSE)</f>
        <v>8h00 sáng thứ sáu ngày 06/3/2026</v>
      </c>
      <c r="G114" t="s">
        <v>2634</v>
      </c>
      <c r="H114" t="s">
        <v>2645</v>
      </c>
    </row>
    <row r="115" spans="1:8" ht="15.75" customHeight="1" x14ac:dyDescent="0.35">
      <c r="A115" s="58" t="s">
        <v>531</v>
      </c>
      <c r="B115" t="str">
        <f>VLOOKUP($A115,'[1]Phân công'!$B$2:$S$256,16,FALSE)</f>
        <v>ThS Tô Thị Thanh Trúc</v>
      </c>
      <c r="C115" t="str">
        <f>VLOOKUP($A115,'[1]Phân công'!$B$2:$S$256,13,FALSE)</f>
        <v>PGS. TS Nguyễn Thị Ánh Như</v>
      </c>
      <c r="D115" t="str">
        <f>VLOOKUP($A115,'[1]Phân công'!$B$2:$S$256,14,FALSE)</f>
        <v>ThS Tô Thị Thanh Trúc</v>
      </c>
      <c r="E115" t="str">
        <f>VLOOKUP($A115,'[1]Phân công'!$B$2:$S$256,15,FALSE)</f>
        <v>ThS Nguyễn Thị Hai Hằng</v>
      </c>
      <c r="F115" t="str">
        <f>VLOOKUP($A115,'[1]Phân công'!$B$2:$S$256,18,FALSE)</f>
        <v>8h00 sáng thứ sáu ngày 06/3/2026</v>
      </c>
      <c r="G115" t="s">
        <v>2634</v>
      </c>
      <c r="H115" t="s">
        <v>2645</v>
      </c>
    </row>
    <row r="116" spans="1:8" ht="15.75" customHeight="1" x14ac:dyDescent="0.35">
      <c r="A116" s="58" t="s">
        <v>534</v>
      </c>
      <c r="B116" t="str">
        <f>VLOOKUP($A116,'[1]Phân công'!$B$2:$S$256,16,FALSE)</f>
        <v>ThS Nguyễn Thị Hai Hằng</v>
      </c>
      <c r="C116" t="str">
        <f>VLOOKUP($A116,'[1]Phân công'!$B$2:$S$256,13,FALSE)</f>
        <v>PGS. TS Nguyễn Thị Ánh Như</v>
      </c>
      <c r="D116" t="str">
        <f>VLOOKUP($A116,'[1]Phân công'!$B$2:$S$256,14,FALSE)</f>
        <v>ThS Tô Thị Thanh Trúc</v>
      </c>
      <c r="E116" t="str">
        <f>VLOOKUP($A116,'[1]Phân công'!$B$2:$S$256,15,FALSE)</f>
        <v>ThS Nguyễn Thị Hai Hằng</v>
      </c>
      <c r="F116" t="str">
        <f>VLOOKUP($A116,'[1]Phân công'!$B$2:$S$256,18,FALSE)</f>
        <v>8h00 sáng thứ sáu ngày 06/3/2026</v>
      </c>
      <c r="G116" t="s">
        <v>2634</v>
      </c>
      <c r="H116" t="s">
        <v>2645</v>
      </c>
    </row>
    <row r="117" spans="1:8" ht="15.75" customHeight="1" x14ac:dyDescent="0.35">
      <c r="A117" s="60" t="s">
        <v>538</v>
      </c>
      <c r="B117" t="str">
        <f>VLOOKUP($A117,'[1]Phân công'!$B$2:$S$256,16,FALSE)</f>
        <v>PGS. TS Nguyễn Thị Ánh Như</v>
      </c>
      <c r="C117" t="str">
        <f>VLOOKUP($A117,'[1]Phân công'!$B$2:$S$256,13,FALSE)</f>
        <v>PGS. TS Nguyễn Thị Ánh Như</v>
      </c>
      <c r="D117" t="str">
        <f>VLOOKUP($A117,'[1]Phân công'!$B$2:$S$256,14,FALSE)</f>
        <v>ThS Tô Thị Thanh Trúc</v>
      </c>
      <c r="E117" t="str">
        <f>VLOOKUP($A117,'[1]Phân công'!$B$2:$S$256,15,FALSE)</f>
        <v>ThS Nguyễn Thị Hai Hằng</v>
      </c>
      <c r="F117" t="str">
        <f>VLOOKUP($A117,'[1]Phân công'!$B$2:$S$256,18,FALSE)</f>
        <v>8h00 sáng thứ sáu ngày 06/3/2026</v>
      </c>
      <c r="G117" t="s">
        <v>2634</v>
      </c>
      <c r="H117" t="s">
        <v>2645</v>
      </c>
    </row>
    <row r="118" spans="1:8" ht="15.75" customHeight="1" x14ac:dyDescent="0.35">
      <c r="A118" s="60" t="s">
        <v>540</v>
      </c>
      <c r="B118" t="str">
        <f>VLOOKUP($A118,'[1]Phân công'!$B$2:$S$256,16,FALSE)</f>
        <v>PGS. TS Nguyễn Thị Ánh Như</v>
      </c>
      <c r="C118" t="str">
        <f>VLOOKUP($A118,'[1]Phân công'!$B$2:$S$256,13,FALSE)</f>
        <v>PGS. TS Nguyễn Thị Ánh Như</v>
      </c>
      <c r="D118" t="str">
        <f>VLOOKUP($A118,'[1]Phân công'!$B$2:$S$256,14,FALSE)</f>
        <v>ThS Tô Thị Thanh Trúc</v>
      </c>
      <c r="E118" t="str">
        <f>VLOOKUP($A118,'[1]Phân công'!$B$2:$S$256,15,FALSE)</f>
        <v>ThS Nguyễn Thị Hai Hằng</v>
      </c>
      <c r="F118" t="str">
        <f>VLOOKUP($A118,'[1]Phân công'!$B$2:$S$256,18,FALSE)</f>
        <v>8h00 sáng thứ sáu ngày 06/3/2026</v>
      </c>
      <c r="G118" t="s">
        <v>2634</v>
      </c>
      <c r="H118" t="s">
        <v>2645</v>
      </c>
    </row>
    <row r="119" spans="1:8" ht="15.75" customHeight="1" x14ac:dyDescent="0.35">
      <c r="A119" s="60" t="s">
        <v>543</v>
      </c>
      <c r="B119" t="str">
        <f>VLOOKUP($A119,'[1]Phân công'!$B$2:$S$256,16,FALSE)</f>
        <v>ThS Tô Thị Thanh Trúc</v>
      </c>
      <c r="C119" t="str">
        <f>VLOOKUP($A119,'[1]Phân công'!$B$2:$S$256,13,FALSE)</f>
        <v>PGS. TS Nguyễn Thị Ánh Như</v>
      </c>
      <c r="D119" t="str">
        <f>VLOOKUP($A119,'[1]Phân công'!$B$2:$S$256,14,FALSE)</f>
        <v>ThS Tô Thị Thanh Trúc</v>
      </c>
      <c r="E119" t="str">
        <f>VLOOKUP($A119,'[1]Phân công'!$B$2:$S$256,15,FALSE)</f>
        <v>ThS Nguyễn Thị Hai Hằng</v>
      </c>
      <c r="F119" t="str">
        <f>VLOOKUP($A119,'[1]Phân công'!$B$2:$S$256,18,FALSE)</f>
        <v>8h00 sáng thứ sáu ngày 06/3/2026</v>
      </c>
      <c r="G119" t="s">
        <v>2634</v>
      </c>
      <c r="H119" t="s">
        <v>2645</v>
      </c>
    </row>
    <row r="120" spans="1:8" ht="15.75" customHeight="1" x14ac:dyDescent="0.35">
      <c r="A120" s="58" t="s">
        <v>546</v>
      </c>
      <c r="B120" t="str">
        <f>VLOOKUP($A120,'[1]Phân công'!$B$2:$S$256,16,FALSE)</f>
        <v>ThS Nguyễn Thị Hai Hằng</v>
      </c>
      <c r="C120" t="str">
        <f>VLOOKUP($A120,'[1]Phân công'!$B$2:$S$256,13,FALSE)</f>
        <v>PGS. TS Nguyễn Thị Ánh Như</v>
      </c>
      <c r="D120" t="str">
        <f>VLOOKUP($A120,'[1]Phân công'!$B$2:$S$256,14,FALSE)</f>
        <v>ThS Tô Thị Thanh Trúc</v>
      </c>
      <c r="E120" t="str">
        <f>VLOOKUP($A120,'[1]Phân công'!$B$2:$S$256,15,FALSE)</f>
        <v>ThS Nguyễn Thị Hai Hằng</v>
      </c>
      <c r="F120" t="str">
        <f>VLOOKUP($A120,'[1]Phân công'!$B$2:$S$256,18,FALSE)</f>
        <v>8h00 sáng thứ sáu ngày 06/3/2026</v>
      </c>
      <c r="G120" t="s">
        <v>2634</v>
      </c>
      <c r="H120" t="s">
        <v>2645</v>
      </c>
    </row>
    <row r="121" spans="1:8" ht="15.75" customHeight="1" x14ac:dyDescent="0.35">
      <c r="A121" s="58" t="s">
        <v>549</v>
      </c>
      <c r="B121" t="str">
        <f>VLOOKUP($A121,'[1]Phân công'!$B$2:$S$256,16,FALSE)</f>
        <v>PGS. TS Nguyễn Thị Ánh Như</v>
      </c>
      <c r="C121" t="str">
        <f>VLOOKUP($A121,'[1]Phân công'!$B$2:$S$256,13,FALSE)</f>
        <v>PGS. TS Nguyễn Thị Ánh Như</v>
      </c>
      <c r="D121" t="str">
        <f>VLOOKUP($A121,'[1]Phân công'!$B$2:$S$256,14,FALSE)</f>
        <v>ThS Tô Thị Thanh Trúc</v>
      </c>
      <c r="E121" t="str">
        <f>VLOOKUP($A121,'[1]Phân công'!$B$2:$S$256,15,FALSE)</f>
        <v>ThS Nguyễn Thị Hai Hằng</v>
      </c>
      <c r="F121" t="str">
        <f>VLOOKUP($A121,'[1]Phân công'!$B$2:$S$256,18,FALSE)</f>
        <v>8h00 sáng thứ sáu ngày 06/3/2026</v>
      </c>
      <c r="G121" t="s">
        <v>2634</v>
      </c>
      <c r="H121" t="s">
        <v>2645</v>
      </c>
    </row>
    <row r="122" spans="1:8" ht="15.75" customHeight="1" x14ac:dyDescent="0.35">
      <c r="A122" s="58" t="s">
        <v>551</v>
      </c>
      <c r="B122" t="str">
        <f>VLOOKUP($A122,'[1]Phân công'!$B$2:$S$256,16,FALSE)</f>
        <v>ThS Nguyễn Thị Hai Hằng</v>
      </c>
      <c r="C122" t="str">
        <f>VLOOKUP($A122,'[1]Phân công'!$B$2:$S$256,13,FALSE)</f>
        <v>PGS. TS Nguyễn Thị Ánh Như</v>
      </c>
      <c r="D122" t="str">
        <f>VLOOKUP($A122,'[1]Phân công'!$B$2:$S$256,14,FALSE)</f>
        <v>ThS Tô Thị Thanh Trúc</v>
      </c>
      <c r="E122" t="str">
        <f>VLOOKUP($A122,'[1]Phân công'!$B$2:$S$256,15,FALSE)</f>
        <v>ThS Nguyễn Thị Hai Hằng</v>
      </c>
      <c r="F122" t="str">
        <f>VLOOKUP($A122,'[1]Phân công'!$B$2:$S$256,18,FALSE)</f>
        <v>8h00 sáng thứ sáu ngày 06/3/2026</v>
      </c>
      <c r="G122" t="s">
        <v>2634</v>
      </c>
      <c r="H122" t="s">
        <v>2645</v>
      </c>
    </row>
    <row r="123" spans="1:8" ht="15.75" customHeight="1" x14ac:dyDescent="0.35">
      <c r="A123" s="58" t="s">
        <v>556</v>
      </c>
      <c r="B123" t="str">
        <f>VLOOKUP($A123,'[1]Phân công'!$B$2:$S$256,16,FALSE)</f>
        <v>ThS Tô Thị Thanh Trúc</v>
      </c>
      <c r="C123" t="str">
        <f>VLOOKUP($A123,'[1]Phân công'!$B$2:$S$256,13,FALSE)</f>
        <v>PGS. TS Nguyễn Thị Ánh Như</v>
      </c>
      <c r="D123" t="str">
        <f>VLOOKUP($A123,'[1]Phân công'!$B$2:$S$256,14,FALSE)</f>
        <v>ThS Tô Thị Thanh Trúc</v>
      </c>
      <c r="E123" t="str">
        <f>VLOOKUP($A123,'[1]Phân công'!$B$2:$S$256,15,FALSE)</f>
        <v>ThS Nguyễn Thị Hai Hằng</v>
      </c>
      <c r="F123" t="str">
        <f>VLOOKUP($A123,'[1]Phân công'!$B$2:$S$256,18,FALSE)</f>
        <v>8h00 sáng thứ sáu ngày 06/3/2026</v>
      </c>
      <c r="G123" t="s">
        <v>2634</v>
      </c>
      <c r="H123" t="s">
        <v>2645</v>
      </c>
    </row>
    <row r="124" spans="1:8" ht="15.75" customHeight="1" x14ac:dyDescent="0.35">
      <c r="A124" s="58" t="s">
        <v>558</v>
      </c>
      <c r="B124" t="str">
        <f>VLOOKUP($A124,'[1]Phân công'!$B$2:$S$256,16,FALSE)</f>
        <v>ThS Tô Thị Thanh Trúc</v>
      </c>
      <c r="C124" t="str">
        <f>VLOOKUP($A124,'[1]Phân công'!$B$2:$S$256,13,FALSE)</f>
        <v>PGS. TS Nguyễn Thị Ánh Như</v>
      </c>
      <c r="D124" t="str">
        <f>VLOOKUP($A124,'[1]Phân công'!$B$2:$S$256,14,FALSE)</f>
        <v>ThS Tô Thị Thanh Trúc</v>
      </c>
      <c r="E124" t="str">
        <f>VLOOKUP($A124,'[1]Phân công'!$B$2:$S$256,15,FALSE)</f>
        <v>ThS Nguyễn Thị Hai Hằng</v>
      </c>
      <c r="F124" t="str">
        <f>VLOOKUP($A124,'[1]Phân công'!$B$2:$S$256,18,FALSE)</f>
        <v>8h00 sáng thứ sáu ngày 06/3/2026</v>
      </c>
      <c r="G124" t="s">
        <v>2634</v>
      </c>
      <c r="H124" t="s">
        <v>2645</v>
      </c>
    </row>
    <row r="125" spans="1:8" ht="15.75" customHeight="1" x14ac:dyDescent="0.35">
      <c r="A125" s="58" t="s">
        <v>561</v>
      </c>
      <c r="B125" t="str">
        <f>VLOOKUP($A125,'[1]Phân công'!$B$2:$S$256,16,FALSE)</f>
        <v>TS Nguyễn Tiến Trung</v>
      </c>
      <c r="C125" t="str">
        <f>VLOOKUP($A125,'[1]Phân công'!$B$2:$S$256,13,FALSE)</f>
        <v>TS Nguyễn Hoàng Anh</v>
      </c>
      <c r="D125" t="str">
        <f>VLOOKUP($A125,'[1]Phân công'!$B$2:$S$256,14,FALSE)</f>
        <v>TS Nguyễn Tiến Trung</v>
      </c>
      <c r="E125" t="str">
        <f>VLOOKUP($A125,'[1]Phân công'!$B$2:$S$256,15,FALSE)</f>
        <v>ThS Nguyễn Thị Diễm Hiền</v>
      </c>
      <c r="F125" t="str">
        <f>VLOOKUP($A125,'[1]Phân công'!$B$2:$S$256,18,FALSE)</f>
        <v>8h00 sáng thứ sáu ngày 06/3/2026</v>
      </c>
      <c r="G125" t="s">
        <v>2634</v>
      </c>
      <c r="H125" t="s">
        <v>2646</v>
      </c>
    </row>
    <row r="126" spans="1:8" ht="15.75" customHeight="1" x14ac:dyDescent="0.35">
      <c r="A126" s="58" t="s">
        <v>564</v>
      </c>
      <c r="B126" t="str">
        <f>VLOOKUP($A126,'[1]Phân công'!$B$2:$S$256,16,FALSE)</f>
        <v>TS Nguyễn Hoàng Anh</v>
      </c>
      <c r="C126" t="str">
        <f>VLOOKUP($A126,'[1]Phân công'!$B$2:$S$256,13,FALSE)</f>
        <v>TS Nguyễn Hoàng Anh</v>
      </c>
      <c r="D126" t="str">
        <f>VLOOKUP($A126,'[1]Phân công'!$B$2:$S$256,14,FALSE)</f>
        <v>TS Nguyễn Tiến Trung</v>
      </c>
      <c r="E126" t="str">
        <f>VLOOKUP($A126,'[1]Phân công'!$B$2:$S$256,15,FALSE)</f>
        <v>ThS Nguyễn Thị Diễm Hiền</v>
      </c>
      <c r="F126" t="str">
        <f>VLOOKUP($A126,'[1]Phân công'!$B$2:$S$256,18,FALSE)</f>
        <v>8h00 sáng thứ sáu ngày 06/3/2026</v>
      </c>
      <c r="G126" t="s">
        <v>2634</v>
      </c>
      <c r="H126" t="s">
        <v>2646</v>
      </c>
    </row>
    <row r="127" spans="1:8" ht="15.75" customHeight="1" x14ac:dyDescent="0.35">
      <c r="A127" s="58" t="s">
        <v>567</v>
      </c>
      <c r="B127" t="str">
        <f>VLOOKUP($A127,'[1]Phân công'!$B$2:$S$256,16,FALSE)</f>
        <v>ThS Nguyễn Thị Diễm Hiền</v>
      </c>
      <c r="C127" t="str">
        <f>VLOOKUP($A127,'[1]Phân công'!$B$2:$S$256,13,FALSE)</f>
        <v>TS Nguyễn Hoàng Anh</v>
      </c>
      <c r="D127" t="str">
        <f>VLOOKUP($A127,'[1]Phân công'!$B$2:$S$256,14,FALSE)</f>
        <v>TS Nguyễn Tiến Trung</v>
      </c>
      <c r="E127" t="str">
        <f>VLOOKUP($A127,'[1]Phân công'!$B$2:$S$256,15,FALSE)</f>
        <v>ThS Nguyễn Thị Diễm Hiền</v>
      </c>
      <c r="F127" t="str">
        <f>VLOOKUP($A127,'[1]Phân công'!$B$2:$S$256,18,FALSE)</f>
        <v>8h00 sáng thứ sáu ngày 06/3/2026</v>
      </c>
      <c r="G127" t="s">
        <v>2634</v>
      </c>
      <c r="H127" t="s">
        <v>2646</v>
      </c>
    </row>
    <row r="128" spans="1:8" ht="15.75" customHeight="1" x14ac:dyDescent="0.35">
      <c r="A128" s="58" t="s">
        <v>568</v>
      </c>
      <c r="B128" t="str">
        <f>VLOOKUP($A128,'[1]Phân công'!$B$2:$S$256,16,FALSE)</f>
        <v>TS Nguyễn Hoàng Anh</v>
      </c>
      <c r="C128" t="str">
        <f>VLOOKUP($A128,'[1]Phân công'!$B$2:$S$256,13,FALSE)</f>
        <v>TS Nguyễn Hoàng Anh</v>
      </c>
      <c r="D128" t="str">
        <f>VLOOKUP($A128,'[1]Phân công'!$B$2:$S$256,14,FALSE)</f>
        <v>TS Nguyễn Tiến Trung</v>
      </c>
      <c r="E128" t="str">
        <f>VLOOKUP($A128,'[1]Phân công'!$B$2:$S$256,15,FALSE)</f>
        <v>ThS Nguyễn Thị Diễm Hiền</v>
      </c>
      <c r="F128" t="str">
        <f>VLOOKUP($A128,'[1]Phân công'!$B$2:$S$256,18,FALSE)</f>
        <v>8h00 sáng thứ sáu ngày 06/3/2026</v>
      </c>
      <c r="G128" t="s">
        <v>2634</v>
      </c>
      <c r="H128" t="s">
        <v>2646</v>
      </c>
    </row>
    <row r="129" spans="1:8" ht="15.75" customHeight="1" x14ac:dyDescent="0.35">
      <c r="A129" s="58" t="s">
        <v>571</v>
      </c>
      <c r="B129" t="str">
        <f>VLOOKUP($A129,'[1]Phân công'!$B$2:$S$256,16,FALSE)</f>
        <v>TS Nguyễn Hoàng Anh</v>
      </c>
      <c r="C129" t="str">
        <f>VLOOKUP($A129,'[1]Phân công'!$B$2:$S$256,13,FALSE)</f>
        <v>TS Nguyễn Hoàng Anh</v>
      </c>
      <c r="D129" t="str">
        <f>VLOOKUP($A129,'[1]Phân công'!$B$2:$S$256,14,FALSE)</f>
        <v>TS Nguyễn Tiến Trung</v>
      </c>
      <c r="E129" t="str">
        <f>VLOOKUP($A129,'[1]Phân công'!$B$2:$S$256,15,FALSE)</f>
        <v>ThS Nguyễn Thị Diễm Hiền</v>
      </c>
      <c r="F129" t="str">
        <f>VLOOKUP($A129,'[1]Phân công'!$B$2:$S$256,18,FALSE)</f>
        <v>8h00 sáng thứ sáu ngày 06/3/2026</v>
      </c>
      <c r="G129" t="s">
        <v>2634</v>
      </c>
      <c r="H129" t="s">
        <v>2646</v>
      </c>
    </row>
    <row r="130" spans="1:8" ht="15.75" customHeight="1" x14ac:dyDescent="0.35">
      <c r="A130" s="58" t="s">
        <v>576</v>
      </c>
      <c r="B130" t="str">
        <f>VLOOKUP($A130,'[1]Phân công'!$B$2:$S$256,16,FALSE)</f>
        <v>ThS Nguyễn Thị Diễm Hiền</v>
      </c>
      <c r="C130" t="str">
        <f>VLOOKUP($A130,'[1]Phân công'!$B$2:$S$256,13,FALSE)</f>
        <v>TS Nguyễn Hoàng Anh</v>
      </c>
      <c r="D130" t="str">
        <f>VLOOKUP($A130,'[1]Phân công'!$B$2:$S$256,14,FALSE)</f>
        <v>TS Nguyễn Tiến Trung</v>
      </c>
      <c r="E130" t="str">
        <f>VLOOKUP($A130,'[1]Phân công'!$B$2:$S$256,15,FALSE)</f>
        <v>ThS Nguyễn Thị Diễm Hiền</v>
      </c>
      <c r="F130" t="str">
        <f>VLOOKUP($A130,'[1]Phân công'!$B$2:$S$256,18,FALSE)</f>
        <v>8h00 sáng thứ sáu ngày 06/3/2026</v>
      </c>
      <c r="G130" t="s">
        <v>2634</v>
      </c>
      <c r="H130" t="s">
        <v>2646</v>
      </c>
    </row>
    <row r="131" spans="1:8" ht="15.75" customHeight="1" x14ac:dyDescent="0.35">
      <c r="A131" s="58" t="s">
        <v>578</v>
      </c>
      <c r="B131" t="str">
        <f>VLOOKUP($A131,'[1]Phân công'!$B$2:$S$256,16,FALSE)</f>
        <v>TS Nguyễn Tiến Trung</v>
      </c>
      <c r="C131" t="str">
        <f>VLOOKUP($A131,'[1]Phân công'!$B$2:$S$256,13,FALSE)</f>
        <v>TS Nguyễn Hoàng Anh</v>
      </c>
      <c r="D131" t="str">
        <f>VLOOKUP($A131,'[1]Phân công'!$B$2:$S$256,14,FALSE)</f>
        <v>TS Nguyễn Tiến Trung</v>
      </c>
      <c r="E131" t="str">
        <f>VLOOKUP($A131,'[1]Phân công'!$B$2:$S$256,15,FALSE)</f>
        <v>ThS Nguyễn Thị Diễm Hiền</v>
      </c>
      <c r="F131" t="str">
        <f>VLOOKUP($A131,'[1]Phân công'!$B$2:$S$256,18,FALSE)</f>
        <v>8h00 sáng thứ sáu ngày 06/3/2026</v>
      </c>
      <c r="G131" t="s">
        <v>2634</v>
      </c>
      <c r="H131" t="s">
        <v>2646</v>
      </c>
    </row>
    <row r="132" spans="1:8" ht="15.75" customHeight="1" x14ac:dyDescent="0.35">
      <c r="A132" s="58" t="s">
        <v>580</v>
      </c>
      <c r="B132" t="str">
        <f>VLOOKUP($A132,'[1]Phân công'!$B$2:$S$256,16,FALSE)</f>
        <v>ThS Nguyễn Thị Diễm Hiền</v>
      </c>
      <c r="C132" t="str">
        <f>VLOOKUP($A132,'[1]Phân công'!$B$2:$S$256,13,FALSE)</f>
        <v>TS Nguyễn Hoàng Anh</v>
      </c>
      <c r="D132" t="str">
        <f>VLOOKUP($A132,'[1]Phân công'!$B$2:$S$256,14,FALSE)</f>
        <v>TS Nguyễn Tiến Trung</v>
      </c>
      <c r="E132" t="str">
        <f>VLOOKUP($A132,'[1]Phân công'!$B$2:$S$256,15,FALSE)</f>
        <v>ThS Nguyễn Thị Diễm Hiền</v>
      </c>
      <c r="F132" t="str">
        <f>VLOOKUP($A132,'[1]Phân công'!$B$2:$S$256,18,FALSE)</f>
        <v>8h00 sáng thứ sáu ngày 06/3/2026</v>
      </c>
      <c r="G132" t="s">
        <v>2634</v>
      </c>
      <c r="H132" t="s">
        <v>2646</v>
      </c>
    </row>
    <row r="133" spans="1:8" ht="15.75" customHeight="1" x14ac:dyDescent="0.35">
      <c r="A133" s="58" t="s">
        <v>582</v>
      </c>
      <c r="B133" t="str">
        <f>VLOOKUP($A133,'[1]Phân công'!$B$2:$S$256,16,FALSE)</f>
        <v>ThS Nguyễn Thị Diễm Hiền</v>
      </c>
      <c r="C133" t="str">
        <f>VLOOKUP($A133,'[1]Phân công'!$B$2:$S$256,13,FALSE)</f>
        <v>TS Nguyễn Hoàng Anh</v>
      </c>
      <c r="D133" t="str">
        <f>VLOOKUP($A133,'[1]Phân công'!$B$2:$S$256,14,FALSE)</f>
        <v>TS Nguyễn Tiến Trung</v>
      </c>
      <c r="E133" t="str">
        <f>VLOOKUP($A133,'[1]Phân công'!$B$2:$S$256,15,FALSE)</f>
        <v>ThS Nguyễn Thị Diễm Hiền</v>
      </c>
      <c r="F133" t="str">
        <f>VLOOKUP($A133,'[1]Phân công'!$B$2:$S$256,18,FALSE)</f>
        <v>8h00 sáng thứ sáu ngày 06/3/2026</v>
      </c>
      <c r="G133" t="s">
        <v>2634</v>
      </c>
      <c r="H133" t="s">
        <v>2646</v>
      </c>
    </row>
    <row r="134" spans="1:8" ht="15.75" customHeight="1" x14ac:dyDescent="0.35">
      <c r="A134" s="58" t="s">
        <v>585</v>
      </c>
      <c r="B134" t="str">
        <f>VLOOKUP($A134,'[1]Phân công'!$B$2:$S$256,16,FALSE)</f>
        <v>TS Nguyễn Tiến Trung</v>
      </c>
      <c r="C134" t="str">
        <f>VLOOKUP($A134,'[1]Phân công'!$B$2:$S$256,13,FALSE)</f>
        <v>TS Nguyễn Hoàng Anh</v>
      </c>
      <c r="D134" t="str">
        <f>VLOOKUP($A134,'[1]Phân công'!$B$2:$S$256,14,FALSE)</f>
        <v>TS Nguyễn Tiến Trung</v>
      </c>
      <c r="E134" t="str">
        <f>VLOOKUP($A134,'[1]Phân công'!$B$2:$S$256,15,FALSE)</f>
        <v>ThS Nguyễn Thị Diễm Hiền</v>
      </c>
      <c r="F134" t="str">
        <f>VLOOKUP($A134,'[1]Phân công'!$B$2:$S$256,18,FALSE)</f>
        <v>8h00 sáng thứ sáu ngày 06/3/2026</v>
      </c>
      <c r="G134" t="s">
        <v>2634</v>
      </c>
      <c r="H134" t="s">
        <v>2646</v>
      </c>
    </row>
    <row r="135" spans="1:8" ht="15.75" customHeight="1" x14ac:dyDescent="0.35">
      <c r="A135" s="58" t="s">
        <v>588</v>
      </c>
      <c r="B135" t="str">
        <f>VLOOKUP($A135,'[1]Phân công'!$B$2:$S$256,16,FALSE)</f>
        <v>TS Nguyễn Tiến Trung</v>
      </c>
      <c r="C135" t="str">
        <f>VLOOKUP($A135,'[1]Phân công'!$B$2:$S$256,13,FALSE)</f>
        <v>TS Nguyễn Hoàng Anh</v>
      </c>
      <c r="D135" t="str">
        <f>VLOOKUP($A135,'[1]Phân công'!$B$2:$S$256,14,FALSE)</f>
        <v>TS Nguyễn Tiến Trung</v>
      </c>
      <c r="E135" t="str">
        <f>VLOOKUP($A135,'[1]Phân công'!$B$2:$S$256,15,FALSE)</f>
        <v>ThS Nguyễn Thị Diễm Hiền</v>
      </c>
      <c r="F135" t="str">
        <f>VLOOKUP($A135,'[1]Phân công'!$B$2:$S$256,18,FALSE)</f>
        <v>8h00 sáng thứ sáu ngày 06/3/2026</v>
      </c>
      <c r="G135" t="s">
        <v>2634</v>
      </c>
      <c r="H135" t="s">
        <v>2646</v>
      </c>
    </row>
    <row r="136" spans="1:8" ht="15.75" customHeight="1" x14ac:dyDescent="0.35">
      <c r="A136" s="58" t="s">
        <v>591</v>
      </c>
      <c r="B136" t="str">
        <f>VLOOKUP($A136,'[1]Phân công'!$B$2:$S$256,16,FALSE)</f>
        <v>TS Nguyễn Hoàng Anh</v>
      </c>
      <c r="C136" t="str">
        <f>VLOOKUP($A136,'[1]Phân công'!$B$2:$S$256,13,FALSE)</f>
        <v>TS Nguyễn Hoàng Anh</v>
      </c>
      <c r="D136" t="str">
        <f>VLOOKUP($A136,'[1]Phân công'!$B$2:$S$256,14,FALSE)</f>
        <v>TS Nguyễn Tiến Trung</v>
      </c>
      <c r="E136" t="str">
        <f>VLOOKUP($A136,'[1]Phân công'!$B$2:$S$256,15,FALSE)</f>
        <v>ThS Nguyễn Thị Diễm Hiền</v>
      </c>
      <c r="F136" t="str">
        <f>VLOOKUP($A136,'[1]Phân công'!$B$2:$S$256,18,FALSE)</f>
        <v>8h00 sáng thứ sáu ngày 06/3/2026</v>
      </c>
      <c r="G136" t="s">
        <v>2634</v>
      </c>
      <c r="H136" t="s">
        <v>2646</v>
      </c>
    </row>
  </sheetData>
  <autoFilter ref="A1:H136" xr:uid="{00000000-0001-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258"/>
  <sheetViews>
    <sheetView workbookViewId="0"/>
  </sheetViews>
  <sheetFormatPr defaultColWidth="12.54296875" defaultRowHeight="15" customHeight="1" x14ac:dyDescent="0.25"/>
  <sheetData>
    <row r="1" spans="1:12" ht="15" customHeight="1" x14ac:dyDescent="0.35">
      <c r="A1" s="3" t="s">
        <v>1</v>
      </c>
      <c r="B1" s="3" t="s">
        <v>598</v>
      </c>
      <c r="C1" s="3" t="s">
        <v>599</v>
      </c>
      <c r="D1" s="3" t="s">
        <v>600</v>
      </c>
      <c r="E1" s="3" t="s">
        <v>601</v>
      </c>
      <c r="F1" s="3" t="s">
        <v>602</v>
      </c>
      <c r="G1" s="3" t="s">
        <v>603</v>
      </c>
      <c r="H1" s="3" t="s">
        <v>604</v>
      </c>
      <c r="I1" s="3" t="s">
        <v>605</v>
      </c>
      <c r="J1" s="3" t="s">
        <v>606</v>
      </c>
      <c r="K1" s="3" t="s">
        <v>607</v>
      </c>
      <c r="L1" s="3" t="s">
        <v>608</v>
      </c>
    </row>
    <row r="2" spans="1:12" ht="15" customHeight="1" x14ac:dyDescent="0.35">
      <c r="A2" s="3" t="s">
        <v>444</v>
      </c>
      <c r="B2" s="3" t="s">
        <v>445</v>
      </c>
      <c r="C2" s="3" t="s">
        <v>609</v>
      </c>
      <c r="D2" s="3">
        <v>767551049</v>
      </c>
      <c r="E2" s="3" t="s">
        <v>610</v>
      </c>
      <c r="F2" s="3" t="s">
        <v>611</v>
      </c>
      <c r="G2" s="3" t="s">
        <v>612</v>
      </c>
      <c r="H2" s="3" t="s">
        <v>613</v>
      </c>
      <c r="I2" s="3" t="s">
        <v>614</v>
      </c>
      <c r="J2" s="3">
        <v>124</v>
      </c>
      <c r="K2" s="3">
        <v>8.6</v>
      </c>
      <c r="L2" s="3" t="s">
        <v>615</v>
      </c>
    </row>
    <row r="3" spans="1:12" ht="15" customHeight="1" x14ac:dyDescent="0.35">
      <c r="A3" s="3" t="s">
        <v>303</v>
      </c>
      <c r="B3" s="3" t="s">
        <v>304</v>
      </c>
      <c r="C3" s="4">
        <v>38175</v>
      </c>
      <c r="D3" s="3">
        <v>858485811</v>
      </c>
      <c r="E3" s="3" t="s">
        <v>616</v>
      </c>
      <c r="F3" s="3">
        <v>412</v>
      </c>
      <c r="G3" s="3" t="s">
        <v>617</v>
      </c>
      <c r="H3" s="3" t="s">
        <v>613</v>
      </c>
      <c r="I3" s="3" t="s">
        <v>614</v>
      </c>
      <c r="J3" s="3">
        <v>124</v>
      </c>
      <c r="K3" s="3">
        <v>8.51</v>
      </c>
      <c r="L3" s="3" t="s">
        <v>615</v>
      </c>
    </row>
    <row r="4" spans="1:12" ht="15" customHeight="1" x14ac:dyDescent="0.35">
      <c r="A4" s="3" t="s">
        <v>446</v>
      </c>
      <c r="B4" s="3" t="s">
        <v>447</v>
      </c>
      <c r="C4" s="3" t="s">
        <v>618</v>
      </c>
      <c r="D4" s="3">
        <v>943865399</v>
      </c>
      <c r="E4" s="3" t="s">
        <v>619</v>
      </c>
      <c r="F4" s="3">
        <v>404</v>
      </c>
      <c r="G4" s="3" t="s">
        <v>620</v>
      </c>
      <c r="H4" s="3" t="s">
        <v>613</v>
      </c>
      <c r="I4" s="3" t="s">
        <v>614</v>
      </c>
      <c r="J4" s="3">
        <v>128</v>
      </c>
      <c r="K4" s="3">
        <v>8.51</v>
      </c>
      <c r="L4" s="3" t="s">
        <v>615</v>
      </c>
    </row>
    <row r="5" spans="1:12" ht="15" customHeight="1" x14ac:dyDescent="0.35">
      <c r="A5" s="3" t="s">
        <v>257</v>
      </c>
      <c r="B5" s="3" t="s">
        <v>258</v>
      </c>
      <c r="C5" s="3" t="s">
        <v>621</v>
      </c>
      <c r="D5" s="3">
        <v>816109429</v>
      </c>
      <c r="E5" s="3" t="s">
        <v>622</v>
      </c>
      <c r="F5" s="3">
        <v>412</v>
      </c>
      <c r="G5" s="3" t="s">
        <v>617</v>
      </c>
      <c r="H5" s="3" t="s">
        <v>613</v>
      </c>
      <c r="I5" s="3" t="s">
        <v>614</v>
      </c>
      <c r="J5" s="3">
        <v>121</v>
      </c>
      <c r="K5" s="3">
        <v>7.4</v>
      </c>
      <c r="L5" s="3" t="s">
        <v>623</v>
      </c>
    </row>
    <row r="6" spans="1:12" ht="15" customHeight="1" x14ac:dyDescent="0.35">
      <c r="A6" s="3" t="s">
        <v>260</v>
      </c>
      <c r="B6" s="3" t="s">
        <v>261</v>
      </c>
      <c r="C6" s="5">
        <v>38332</v>
      </c>
      <c r="D6" s="3">
        <v>911789147</v>
      </c>
      <c r="E6" s="3" t="s">
        <v>624</v>
      </c>
      <c r="F6" s="3">
        <v>412</v>
      </c>
      <c r="G6" s="3" t="s">
        <v>617</v>
      </c>
      <c r="H6" s="3" t="s">
        <v>613</v>
      </c>
      <c r="I6" s="3" t="s">
        <v>614</v>
      </c>
      <c r="J6" s="3">
        <v>124</v>
      </c>
      <c r="K6" s="3">
        <v>7.24</v>
      </c>
      <c r="L6" s="3" t="s">
        <v>623</v>
      </c>
    </row>
    <row r="7" spans="1:12" ht="15" customHeight="1" x14ac:dyDescent="0.35">
      <c r="A7" s="3" t="s">
        <v>262</v>
      </c>
      <c r="B7" s="3" t="s">
        <v>263</v>
      </c>
      <c r="C7" s="4">
        <v>38201</v>
      </c>
      <c r="D7" s="3">
        <v>862209865</v>
      </c>
      <c r="E7" s="3" t="s">
        <v>625</v>
      </c>
      <c r="F7" s="3">
        <v>412</v>
      </c>
      <c r="G7" s="3" t="s">
        <v>617</v>
      </c>
      <c r="H7" s="3" t="s">
        <v>613</v>
      </c>
      <c r="I7" s="3" t="s">
        <v>614</v>
      </c>
      <c r="J7" s="3">
        <v>124</v>
      </c>
      <c r="K7" s="3">
        <v>7.36</v>
      </c>
      <c r="L7" s="3" t="s">
        <v>623</v>
      </c>
    </row>
    <row r="8" spans="1:12" ht="15" customHeight="1" x14ac:dyDescent="0.35">
      <c r="A8" s="3" t="s">
        <v>306</v>
      </c>
      <c r="B8" s="3" t="s">
        <v>307</v>
      </c>
      <c r="C8" s="3" t="s">
        <v>626</v>
      </c>
      <c r="D8" s="3">
        <v>949271804</v>
      </c>
      <c r="E8" s="3" t="s">
        <v>627</v>
      </c>
      <c r="F8" s="3">
        <v>412</v>
      </c>
      <c r="G8" s="3" t="s">
        <v>617</v>
      </c>
      <c r="H8" s="3" t="s">
        <v>613</v>
      </c>
      <c r="I8" s="3" t="s">
        <v>614</v>
      </c>
      <c r="J8" s="3">
        <v>124</v>
      </c>
      <c r="K8" s="3">
        <v>7.99</v>
      </c>
      <c r="L8" s="3" t="s">
        <v>623</v>
      </c>
    </row>
    <row r="9" spans="1:12" ht="15" customHeight="1" x14ac:dyDescent="0.35">
      <c r="A9" s="3" t="s">
        <v>481</v>
      </c>
      <c r="B9" s="3" t="s">
        <v>482</v>
      </c>
      <c r="C9" s="4">
        <v>38027</v>
      </c>
      <c r="D9" s="6"/>
      <c r="E9" s="3" t="s">
        <v>628</v>
      </c>
      <c r="F9" s="3">
        <v>404</v>
      </c>
      <c r="G9" s="3" t="s">
        <v>620</v>
      </c>
      <c r="H9" s="3" t="s">
        <v>613</v>
      </c>
      <c r="I9" s="3" t="s">
        <v>614</v>
      </c>
      <c r="J9" s="3">
        <v>122</v>
      </c>
      <c r="K9" s="3">
        <v>8.25</v>
      </c>
      <c r="L9" s="3" t="s">
        <v>615</v>
      </c>
    </row>
    <row r="10" spans="1:12" ht="15" customHeight="1" x14ac:dyDescent="0.35">
      <c r="A10" s="3" t="s">
        <v>448</v>
      </c>
      <c r="B10" s="3" t="s">
        <v>449</v>
      </c>
      <c r="C10" s="3" t="s">
        <v>629</v>
      </c>
      <c r="D10" s="3">
        <v>835484304</v>
      </c>
      <c r="E10" s="3" t="s">
        <v>630</v>
      </c>
      <c r="F10" s="3">
        <v>404</v>
      </c>
      <c r="G10" s="3" t="s">
        <v>620</v>
      </c>
      <c r="H10" s="3" t="s">
        <v>613</v>
      </c>
      <c r="I10" s="3" t="s">
        <v>614</v>
      </c>
      <c r="J10" s="3">
        <v>126</v>
      </c>
      <c r="K10" s="3">
        <v>8.4600000000000009</v>
      </c>
      <c r="L10" s="3" t="s">
        <v>615</v>
      </c>
    </row>
    <row r="11" spans="1:12" ht="15" customHeight="1" x14ac:dyDescent="0.35">
      <c r="A11" s="3" t="s">
        <v>450</v>
      </c>
      <c r="B11" s="3" t="s">
        <v>451</v>
      </c>
      <c r="C11" s="3" t="s">
        <v>631</v>
      </c>
      <c r="D11" s="3">
        <v>794563867</v>
      </c>
      <c r="E11" s="3" t="s">
        <v>632</v>
      </c>
      <c r="F11" s="3">
        <v>404</v>
      </c>
      <c r="G11" s="3" t="s">
        <v>620</v>
      </c>
      <c r="H11" s="3" t="s">
        <v>613</v>
      </c>
      <c r="I11" s="3" t="s">
        <v>614</v>
      </c>
      <c r="J11" s="3">
        <v>126</v>
      </c>
      <c r="K11" s="3">
        <v>8.09</v>
      </c>
      <c r="L11" s="3" t="s">
        <v>615</v>
      </c>
    </row>
    <row r="12" spans="1:12" ht="15" customHeight="1" x14ac:dyDescent="0.35">
      <c r="A12" s="3" t="s">
        <v>452</v>
      </c>
      <c r="B12" s="3" t="s">
        <v>453</v>
      </c>
      <c r="C12" s="4">
        <v>37842</v>
      </c>
      <c r="D12" s="3">
        <v>363954822</v>
      </c>
      <c r="E12" s="3" t="s">
        <v>633</v>
      </c>
      <c r="F12" s="3">
        <v>404</v>
      </c>
      <c r="G12" s="3" t="s">
        <v>620</v>
      </c>
      <c r="H12" s="3" t="s">
        <v>613</v>
      </c>
      <c r="I12" s="3" t="s">
        <v>614</v>
      </c>
      <c r="J12" s="3">
        <v>126</v>
      </c>
      <c r="K12" s="3">
        <v>8.0500000000000007</v>
      </c>
      <c r="L12" s="3" t="s">
        <v>615</v>
      </c>
    </row>
    <row r="13" spans="1:12" ht="15" customHeight="1" x14ac:dyDescent="0.35">
      <c r="A13" s="3" t="s">
        <v>454</v>
      </c>
      <c r="B13" s="3" t="s">
        <v>455</v>
      </c>
      <c r="C13" s="4">
        <v>38328</v>
      </c>
      <c r="D13" s="6"/>
      <c r="E13" s="3" t="s">
        <v>634</v>
      </c>
      <c r="F13" s="3">
        <v>404</v>
      </c>
      <c r="G13" s="3" t="s">
        <v>620</v>
      </c>
      <c r="H13" s="3" t="s">
        <v>613</v>
      </c>
      <c r="I13" s="3" t="s">
        <v>614</v>
      </c>
      <c r="J13" s="3">
        <v>126</v>
      </c>
      <c r="K13" s="3">
        <v>7.96</v>
      </c>
      <c r="L13" s="3" t="s">
        <v>623</v>
      </c>
    </row>
    <row r="14" spans="1:12" ht="15" customHeight="1" x14ac:dyDescent="0.35">
      <c r="A14" s="3" t="s">
        <v>456</v>
      </c>
      <c r="B14" s="3" t="s">
        <v>457</v>
      </c>
      <c r="C14" s="4">
        <v>36861</v>
      </c>
      <c r="D14" s="6"/>
      <c r="E14" s="3" t="s">
        <v>635</v>
      </c>
      <c r="F14" s="3">
        <v>404</v>
      </c>
      <c r="G14" s="3" t="s">
        <v>620</v>
      </c>
      <c r="H14" s="3" t="s">
        <v>613</v>
      </c>
      <c r="I14" s="3" t="s">
        <v>614</v>
      </c>
      <c r="J14" s="3">
        <v>126</v>
      </c>
      <c r="K14" s="3">
        <v>7.69</v>
      </c>
      <c r="L14" s="3" t="s">
        <v>623</v>
      </c>
    </row>
    <row r="15" spans="1:12" ht="15" customHeight="1" x14ac:dyDescent="0.35">
      <c r="A15" s="3" t="s">
        <v>458</v>
      </c>
      <c r="B15" s="3" t="s">
        <v>459</v>
      </c>
      <c r="C15" s="3" t="s">
        <v>636</v>
      </c>
      <c r="D15" s="3">
        <v>901669495</v>
      </c>
      <c r="E15" s="3" t="s">
        <v>637</v>
      </c>
      <c r="F15" s="3">
        <v>404</v>
      </c>
      <c r="G15" s="3" t="s">
        <v>620</v>
      </c>
      <c r="H15" s="3" t="s">
        <v>613</v>
      </c>
      <c r="I15" s="3" t="s">
        <v>614</v>
      </c>
      <c r="J15" s="3">
        <v>126</v>
      </c>
      <c r="K15" s="3">
        <v>8.2899999999999991</v>
      </c>
      <c r="L15" s="3" t="s">
        <v>615</v>
      </c>
    </row>
    <row r="16" spans="1:12" ht="15" customHeight="1" x14ac:dyDescent="0.35">
      <c r="A16" s="3" t="s">
        <v>494</v>
      </c>
      <c r="B16" s="3" t="s">
        <v>495</v>
      </c>
      <c r="C16" s="3" t="s">
        <v>638</v>
      </c>
      <c r="D16" s="3">
        <v>867050070</v>
      </c>
      <c r="E16" s="3" t="s">
        <v>639</v>
      </c>
      <c r="F16" s="3">
        <v>404</v>
      </c>
      <c r="G16" s="3" t="s">
        <v>620</v>
      </c>
      <c r="H16" s="3" t="s">
        <v>613</v>
      </c>
      <c r="I16" s="3" t="s">
        <v>614</v>
      </c>
      <c r="J16" s="3">
        <v>126</v>
      </c>
      <c r="K16" s="3">
        <v>8.49</v>
      </c>
      <c r="L16" s="3" t="s">
        <v>615</v>
      </c>
    </row>
    <row r="17" spans="1:12" ht="15" customHeight="1" x14ac:dyDescent="0.35">
      <c r="A17" s="3" t="s">
        <v>264</v>
      </c>
      <c r="B17" s="3" t="s">
        <v>265</v>
      </c>
      <c r="C17" s="4">
        <v>38267</v>
      </c>
      <c r="D17" s="3">
        <v>394377963</v>
      </c>
      <c r="E17" s="3" t="s">
        <v>640</v>
      </c>
      <c r="F17" s="3">
        <v>412</v>
      </c>
      <c r="G17" s="3" t="s">
        <v>617</v>
      </c>
      <c r="H17" s="3" t="s">
        <v>613</v>
      </c>
      <c r="I17" s="3" t="s">
        <v>614</v>
      </c>
      <c r="J17" s="3">
        <v>124</v>
      </c>
      <c r="K17" s="3">
        <v>7.06</v>
      </c>
      <c r="L17" s="3" t="s">
        <v>623</v>
      </c>
    </row>
    <row r="18" spans="1:12" ht="15" customHeight="1" x14ac:dyDescent="0.35">
      <c r="A18" s="3" t="s">
        <v>496</v>
      </c>
      <c r="B18" s="3" t="s">
        <v>497</v>
      </c>
      <c r="C18" s="3" t="s">
        <v>641</v>
      </c>
      <c r="D18" s="3">
        <v>787300568</v>
      </c>
      <c r="E18" s="3" t="s">
        <v>642</v>
      </c>
      <c r="F18" s="3">
        <v>404</v>
      </c>
      <c r="G18" s="3" t="s">
        <v>620</v>
      </c>
      <c r="H18" s="3" t="s">
        <v>613</v>
      </c>
      <c r="I18" s="3" t="s">
        <v>614</v>
      </c>
      <c r="J18" s="3">
        <v>126</v>
      </c>
      <c r="K18" s="3">
        <v>8.1199999999999992</v>
      </c>
      <c r="L18" s="3" t="s">
        <v>615</v>
      </c>
    </row>
    <row r="19" spans="1:12" ht="15" customHeight="1" x14ac:dyDescent="0.35">
      <c r="A19" s="3" t="s">
        <v>514</v>
      </c>
      <c r="B19" s="3" t="s">
        <v>515</v>
      </c>
      <c r="C19" s="3" t="s">
        <v>643</v>
      </c>
      <c r="D19" s="6"/>
      <c r="E19" s="3" t="s">
        <v>644</v>
      </c>
      <c r="F19" s="3">
        <v>404</v>
      </c>
      <c r="G19" s="3" t="s">
        <v>620</v>
      </c>
      <c r="H19" s="3" t="s">
        <v>613</v>
      </c>
      <c r="I19" s="3" t="s">
        <v>614</v>
      </c>
      <c r="J19" s="3">
        <v>124</v>
      </c>
      <c r="K19" s="3">
        <v>8.41</v>
      </c>
      <c r="L19" s="3" t="s">
        <v>615</v>
      </c>
    </row>
    <row r="20" spans="1:12" ht="15" customHeight="1" x14ac:dyDescent="0.35">
      <c r="A20" s="3" t="s">
        <v>401</v>
      </c>
      <c r="B20" s="3" t="s">
        <v>402</v>
      </c>
      <c r="C20" s="4">
        <v>38087</v>
      </c>
      <c r="D20" s="3">
        <v>768658405</v>
      </c>
      <c r="E20" s="3" t="s">
        <v>645</v>
      </c>
      <c r="F20" s="3">
        <v>404</v>
      </c>
      <c r="G20" s="3" t="s">
        <v>620</v>
      </c>
      <c r="H20" s="3" t="s">
        <v>613</v>
      </c>
      <c r="I20" s="3" t="s">
        <v>614</v>
      </c>
      <c r="J20" s="3">
        <v>122</v>
      </c>
      <c r="K20" s="3">
        <v>8.98</v>
      </c>
      <c r="L20" s="3" t="s">
        <v>615</v>
      </c>
    </row>
    <row r="21" spans="1:12" ht="15" customHeight="1" x14ac:dyDescent="0.35">
      <c r="A21" s="3" t="s">
        <v>308</v>
      </c>
      <c r="B21" s="3" t="s">
        <v>309</v>
      </c>
      <c r="C21" s="3" t="s">
        <v>646</v>
      </c>
      <c r="D21" s="3">
        <v>931969308</v>
      </c>
      <c r="E21" s="3" t="s">
        <v>647</v>
      </c>
      <c r="F21" s="3">
        <v>412</v>
      </c>
      <c r="G21" s="3" t="s">
        <v>617</v>
      </c>
      <c r="H21" s="3" t="s">
        <v>613</v>
      </c>
      <c r="I21" s="3" t="s">
        <v>614</v>
      </c>
      <c r="J21" s="3">
        <v>124</v>
      </c>
      <c r="K21" s="3">
        <v>7.41</v>
      </c>
      <c r="L21" s="3" t="s">
        <v>623</v>
      </c>
    </row>
    <row r="22" spans="1:12" ht="15" customHeight="1" x14ac:dyDescent="0.35">
      <c r="A22" s="3" t="s">
        <v>169</v>
      </c>
      <c r="B22" s="3" t="s">
        <v>170</v>
      </c>
      <c r="C22" s="4">
        <v>38111</v>
      </c>
      <c r="D22" s="3">
        <v>839257952</v>
      </c>
      <c r="E22" s="3" t="s">
        <v>648</v>
      </c>
      <c r="F22" s="3">
        <v>404</v>
      </c>
      <c r="G22" s="3" t="s">
        <v>620</v>
      </c>
      <c r="H22" s="3" t="s">
        <v>613</v>
      </c>
      <c r="I22" s="3" t="s">
        <v>614</v>
      </c>
      <c r="J22" s="3">
        <v>126</v>
      </c>
      <c r="K22" s="3">
        <v>8.39</v>
      </c>
      <c r="L22" s="3" t="s">
        <v>615</v>
      </c>
    </row>
    <row r="23" spans="1:12" ht="15" customHeight="1" x14ac:dyDescent="0.35">
      <c r="A23" s="3" t="s">
        <v>172</v>
      </c>
      <c r="B23" s="3" t="s">
        <v>173</v>
      </c>
      <c r="C23" s="3" t="s">
        <v>649</v>
      </c>
      <c r="D23" s="3">
        <v>918276265</v>
      </c>
      <c r="E23" s="3" t="s">
        <v>650</v>
      </c>
      <c r="F23" s="3">
        <v>404</v>
      </c>
      <c r="G23" s="3" t="s">
        <v>620</v>
      </c>
      <c r="H23" s="3" t="s">
        <v>613</v>
      </c>
      <c r="I23" s="3" t="s">
        <v>614</v>
      </c>
      <c r="J23" s="3">
        <v>126</v>
      </c>
      <c r="K23" s="3">
        <v>8.61</v>
      </c>
      <c r="L23" s="3" t="s">
        <v>615</v>
      </c>
    </row>
    <row r="24" spans="1:12" ht="15" customHeight="1" x14ac:dyDescent="0.35">
      <c r="A24" s="3" t="s">
        <v>310</v>
      </c>
      <c r="B24" s="3" t="s">
        <v>311</v>
      </c>
      <c r="C24" s="3" t="s">
        <v>651</v>
      </c>
      <c r="D24" s="3">
        <v>589103713</v>
      </c>
      <c r="E24" s="3" t="s">
        <v>652</v>
      </c>
      <c r="F24" s="3">
        <v>412</v>
      </c>
      <c r="G24" s="3" t="s">
        <v>617</v>
      </c>
      <c r="H24" s="3" t="s">
        <v>613</v>
      </c>
      <c r="I24" s="3" t="s">
        <v>653</v>
      </c>
      <c r="J24" s="3">
        <v>124</v>
      </c>
      <c r="K24" s="3">
        <v>7.51</v>
      </c>
      <c r="L24" s="3" t="s">
        <v>623</v>
      </c>
    </row>
    <row r="25" spans="1:12" ht="15" customHeight="1" x14ac:dyDescent="0.35">
      <c r="A25" s="3" t="s">
        <v>174</v>
      </c>
      <c r="B25" s="3" t="s">
        <v>175</v>
      </c>
      <c r="C25" s="3" t="s">
        <v>631</v>
      </c>
      <c r="D25" s="3">
        <v>852955447</v>
      </c>
      <c r="E25" s="3" t="s">
        <v>654</v>
      </c>
      <c r="F25" s="3">
        <v>404</v>
      </c>
      <c r="G25" s="3" t="s">
        <v>620</v>
      </c>
      <c r="H25" s="3" t="s">
        <v>613</v>
      </c>
      <c r="I25" s="3" t="s">
        <v>614</v>
      </c>
      <c r="J25" s="3">
        <v>130</v>
      </c>
      <c r="K25" s="3">
        <v>7.72</v>
      </c>
      <c r="L25" s="3" t="s">
        <v>623</v>
      </c>
    </row>
    <row r="26" spans="1:12" ht="15" customHeight="1" x14ac:dyDescent="0.35">
      <c r="A26" s="3" t="s">
        <v>266</v>
      </c>
      <c r="B26" s="3" t="s">
        <v>267</v>
      </c>
      <c r="C26" s="3" t="s">
        <v>655</v>
      </c>
      <c r="D26" s="3">
        <v>867573703</v>
      </c>
      <c r="E26" s="3" t="s">
        <v>656</v>
      </c>
      <c r="F26" s="3">
        <v>412</v>
      </c>
      <c r="G26" s="3" t="s">
        <v>617</v>
      </c>
      <c r="H26" s="3" t="s">
        <v>613</v>
      </c>
      <c r="I26" s="3" t="s">
        <v>614</v>
      </c>
      <c r="J26" s="3">
        <v>124</v>
      </c>
      <c r="K26" s="3">
        <v>7.62</v>
      </c>
      <c r="L26" s="3" t="s">
        <v>623</v>
      </c>
    </row>
    <row r="27" spans="1:12" ht="15" customHeight="1" x14ac:dyDescent="0.35">
      <c r="A27" s="3" t="s">
        <v>176</v>
      </c>
      <c r="B27" s="3" t="s">
        <v>177</v>
      </c>
      <c r="C27" s="3" t="s">
        <v>657</v>
      </c>
      <c r="D27" s="6"/>
      <c r="E27" s="3" t="s">
        <v>658</v>
      </c>
      <c r="F27" s="3">
        <v>404</v>
      </c>
      <c r="G27" s="3" t="s">
        <v>620</v>
      </c>
      <c r="H27" s="3" t="s">
        <v>613</v>
      </c>
      <c r="I27" s="3" t="s">
        <v>614</v>
      </c>
      <c r="J27" s="3">
        <v>126</v>
      </c>
      <c r="K27" s="3">
        <v>8.64</v>
      </c>
      <c r="L27" s="3" t="s">
        <v>615</v>
      </c>
    </row>
    <row r="28" spans="1:12" ht="15" customHeight="1" x14ac:dyDescent="0.35">
      <c r="A28" s="3" t="s">
        <v>268</v>
      </c>
      <c r="B28" s="3" t="s">
        <v>269</v>
      </c>
      <c r="C28" s="3" t="s">
        <v>659</v>
      </c>
      <c r="D28" s="3">
        <v>933979864</v>
      </c>
      <c r="E28" s="3" t="s">
        <v>660</v>
      </c>
      <c r="F28" s="3">
        <v>412</v>
      </c>
      <c r="G28" s="3" t="s">
        <v>617</v>
      </c>
      <c r="H28" s="3" t="s">
        <v>613</v>
      </c>
      <c r="I28" s="3" t="s">
        <v>614</v>
      </c>
      <c r="J28" s="3">
        <v>124</v>
      </c>
      <c r="K28" s="3">
        <v>8.18</v>
      </c>
      <c r="L28" s="3" t="s">
        <v>615</v>
      </c>
    </row>
    <row r="29" spans="1:12" ht="15" customHeight="1" x14ac:dyDescent="0.35">
      <c r="A29" s="3" t="s">
        <v>270</v>
      </c>
      <c r="B29" s="3" t="s">
        <v>661</v>
      </c>
      <c r="C29" s="4">
        <v>38085</v>
      </c>
      <c r="D29" s="6"/>
      <c r="E29" s="3" t="s">
        <v>662</v>
      </c>
      <c r="F29" s="3">
        <v>412</v>
      </c>
      <c r="G29" s="3" t="s">
        <v>617</v>
      </c>
      <c r="H29" s="3" t="s">
        <v>613</v>
      </c>
      <c r="I29" s="3" t="s">
        <v>614</v>
      </c>
      <c r="J29" s="3">
        <v>124</v>
      </c>
      <c r="K29" s="3">
        <v>7.86</v>
      </c>
      <c r="L29" s="3" t="s">
        <v>623</v>
      </c>
    </row>
    <row r="30" spans="1:12" ht="15" customHeight="1" x14ac:dyDescent="0.35">
      <c r="A30" s="3" t="s">
        <v>272</v>
      </c>
      <c r="B30" s="3" t="s">
        <v>273</v>
      </c>
      <c r="C30" s="5">
        <v>38271</v>
      </c>
      <c r="D30" s="6"/>
      <c r="E30" s="3" t="s">
        <v>663</v>
      </c>
      <c r="F30" s="3">
        <v>412</v>
      </c>
      <c r="G30" s="3" t="s">
        <v>617</v>
      </c>
      <c r="H30" s="3" t="s">
        <v>613</v>
      </c>
      <c r="I30" s="3" t="s">
        <v>614</v>
      </c>
      <c r="J30" s="3">
        <v>124</v>
      </c>
      <c r="K30" s="3">
        <v>8.09</v>
      </c>
      <c r="L30" s="3" t="s">
        <v>615</v>
      </c>
    </row>
    <row r="31" spans="1:12" ht="15" customHeight="1" x14ac:dyDescent="0.35">
      <c r="A31" s="3" t="s">
        <v>178</v>
      </c>
      <c r="B31" s="3" t="s">
        <v>179</v>
      </c>
      <c r="C31" s="3" t="s">
        <v>664</v>
      </c>
      <c r="D31" s="3">
        <v>397569520</v>
      </c>
      <c r="E31" s="3" t="s">
        <v>665</v>
      </c>
      <c r="F31" s="3">
        <v>404</v>
      </c>
      <c r="G31" s="3" t="s">
        <v>620</v>
      </c>
      <c r="H31" s="3" t="s">
        <v>613</v>
      </c>
      <c r="I31" s="3" t="s">
        <v>614</v>
      </c>
      <c r="J31" s="3">
        <v>126</v>
      </c>
      <c r="K31" s="3">
        <v>8.3000000000000007</v>
      </c>
      <c r="L31" s="3" t="s">
        <v>615</v>
      </c>
    </row>
    <row r="32" spans="1:12" ht="15" customHeight="1" x14ac:dyDescent="0.35">
      <c r="A32" s="3" t="s">
        <v>404</v>
      </c>
      <c r="B32" s="3" t="s">
        <v>405</v>
      </c>
      <c r="C32" s="3" t="s">
        <v>666</v>
      </c>
      <c r="D32" s="3">
        <v>949866704</v>
      </c>
      <c r="E32" s="3" t="s">
        <v>667</v>
      </c>
      <c r="F32" s="3">
        <v>404</v>
      </c>
      <c r="G32" s="3" t="s">
        <v>620</v>
      </c>
      <c r="H32" s="3" t="s">
        <v>613</v>
      </c>
      <c r="I32" s="3" t="s">
        <v>614</v>
      </c>
      <c r="J32" s="3">
        <v>122</v>
      </c>
      <c r="K32" s="3">
        <v>7.84</v>
      </c>
      <c r="L32" s="3" t="s">
        <v>623</v>
      </c>
    </row>
    <row r="33" spans="1:12" ht="15" customHeight="1" x14ac:dyDescent="0.35">
      <c r="A33" s="3" t="s">
        <v>312</v>
      </c>
      <c r="B33" s="3" t="s">
        <v>313</v>
      </c>
      <c r="C33" s="3" t="s">
        <v>668</v>
      </c>
      <c r="D33" s="3">
        <v>345998367</v>
      </c>
      <c r="E33" s="3" t="s">
        <v>669</v>
      </c>
      <c r="F33" s="3">
        <v>412</v>
      </c>
      <c r="G33" s="3" t="s">
        <v>617</v>
      </c>
      <c r="H33" s="3" t="s">
        <v>613</v>
      </c>
      <c r="I33" s="3" t="s">
        <v>614</v>
      </c>
      <c r="J33" s="3">
        <v>124</v>
      </c>
      <c r="K33" s="3">
        <v>7.51</v>
      </c>
      <c r="L33" s="3" t="s">
        <v>623</v>
      </c>
    </row>
    <row r="34" spans="1:12" ht="15" customHeight="1" x14ac:dyDescent="0.35">
      <c r="A34" s="3" t="s">
        <v>274</v>
      </c>
      <c r="B34" s="3" t="s">
        <v>275</v>
      </c>
      <c r="C34" s="3" t="s">
        <v>670</v>
      </c>
      <c r="D34" s="3">
        <v>902156726</v>
      </c>
      <c r="E34" s="3" t="s">
        <v>671</v>
      </c>
      <c r="F34" s="3">
        <v>412</v>
      </c>
      <c r="G34" s="3" t="s">
        <v>617</v>
      </c>
      <c r="H34" s="3" t="s">
        <v>613</v>
      </c>
      <c r="I34" s="3" t="s">
        <v>614</v>
      </c>
      <c r="J34" s="3">
        <v>124</v>
      </c>
      <c r="K34" s="3">
        <v>7.45</v>
      </c>
      <c r="L34" s="3" t="s">
        <v>623</v>
      </c>
    </row>
    <row r="35" spans="1:12" ht="15" customHeight="1" x14ac:dyDescent="0.35">
      <c r="A35" s="3" t="s">
        <v>516</v>
      </c>
      <c r="B35" s="3" t="s">
        <v>517</v>
      </c>
      <c r="C35" s="4">
        <v>38295</v>
      </c>
      <c r="D35" s="3">
        <v>372539123</v>
      </c>
      <c r="E35" s="3" t="s">
        <v>672</v>
      </c>
      <c r="F35" s="3">
        <v>404</v>
      </c>
      <c r="G35" s="3" t="s">
        <v>620</v>
      </c>
      <c r="H35" s="3" t="s">
        <v>613</v>
      </c>
      <c r="I35" s="3" t="s">
        <v>614</v>
      </c>
      <c r="J35" s="3">
        <v>122</v>
      </c>
      <c r="K35" s="3">
        <v>8.2100000000000009</v>
      </c>
      <c r="L35" s="3" t="s">
        <v>615</v>
      </c>
    </row>
    <row r="36" spans="1:12" ht="15" customHeight="1" x14ac:dyDescent="0.35">
      <c r="A36" s="3" t="s">
        <v>516</v>
      </c>
      <c r="B36" s="3" t="s">
        <v>517</v>
      </c>
      <c r="C36" s="4">
        <v>38295</v>
      </c>
      <c r="D36" s="3">
        <v>372539123</v>
      </c>
      <c r="E36" s="3" t="s">
        <v>672</v>
      </c>
      <c r="F36" s="3">
        <v>406</v>
      </c>
      <c r="G36" s="3" t="s">
        <v>673</v>
      </c>
      <c r="H36" s="3" t="s">
        <v>613</v>
      </c>
      <c r="I36" s="3" t="s">
        <v>614</v>
      </c>
      <c r="J36" s="3">
        <v>120</v>
      </c>
      <c r="K36" s="3">
        <v>8.27</v>
      </c>
      <c r="L36" s="3" t="s">
        <v>615</v>
      </c>
    </row>
    <row r="37" spans="1:12" ht="14.5" x14ac:dyDescent="0.35">
      <c r="A37" s="3" t="s">
        <v>314</v>
      </c>
      <c r="B37" s="3" t="s">
        <v>315</v>
      </c>
      <c r="C37" s="3" t="s">
        <v>674</v>
      </c>
      <c r="D37" s="6"/>
      <c r="E37" s="3" t="s">
        <v>675</v>
      </c>
      <c r="F37" s="3">
        <v>412</v>
      </c>
      <c r="G37" s="3" t="s">
        <v>617</v>
      </c>
      <c r="H37" s="3" t="s">
        <v>613</v>
      </c>
      <c r="I37" s="3" t="s">
        <v>653</v>
      </c>
      <c r="J37" s="3">
        <v>121</v>
      </c>
      <c r="K37" s="3">
        <v>6.92</v>
      </c>
      <c r="L37" s="3" t="s">
        <v>676</v>
      </c>
    </row>
    <row r="38" spans="1:12" ht="14.5" x14ac:dyDescent="0.35">
      <c r="A38" s="3" t="s">
        <v>316</v>
      </c>
      <c r="B38" s="3" t="s">
        <v>317</v>
      </c>
      <c r="C38" s="4">
        <v>38265</v>
      </c>
      <c r="D38" s="3">
        <v>912161571</v>
      </c>
      <c r="E38" s="3" t="s">
        <v>677</v>
      </c>
      <c r="F38" s="3">
        <v>404</v>
      </c>
      <c r="G38" s="3" t="s">
        <v>620</v>
      </c>
      <c r="H38" s="3" t="s">
        <v>613</v>
      </c>
      <c r="I38" s="3" t="s">
        <v>614</v>
      </c>
      <c r="J38" s="3">
        <v>126</v>
      </c>
      <c r="K38" s="3">
        <v>7.77</v>
      </c>
      <c r="L38" s="3" t="s">
        <v>623</v>
      </c>
    </row>
    <row r="39" spans="1:12" ht="14.5" x14ac:dyDescent="0.35">
      <c r="A39" s="3" t="s">
        <v>318</v>
      </c>
      <c r="B39" s="3" t="s">
        <v>319</v>
      </c>
      <c r="C39" s="3" t="s">
        <v>666</v>
      </c>
      <c r="D39" s="6"/>
      <c r="E39" s="3" t="s">
        <v>678</v>
      </c>
      <c r="F39" s="3">
        <v>404</v>
      </c>
      <c r="G39" s="3" t="s">
        <v>620</v>
      </c>
      <c r="H39" s="3" t="s">
        <v>613</v>
      </c>
      <c r="I39" s="3" t="s">
        <v>614</v>
      </c>
      <c r="J39" s="3">
        <v>126</v>
      </c>
      <c r="K39" s="3">
        <v>7.93</v>
      </c>
      <c r="L39" s="3" t="s">
        <v>623</v>
      </c>
    </row>
    <row r="40" spans="1:12" ht="14.5" x14ac:dyDescent="0.35">
      <c r="A40" s="3" t="s">
        <v>320</v>
      </c>
      <c r="B40" s="3" t="s">
        <v>321</v>
      </c>
      <c r="C40" s="4">
        <v>38058</v>
      </c>
      <c r="D40" s="3">
        <v>357501455</v>
      </c>
      <c r="E40" s="3" t="s">
        <v>679</v>
      </c>
      <c r="F40" s="3">
        <v>404</v>
      </c>
      <c r="G40" s="3" t="s">
        <v>620</v>
      </c>
      <c r="H40" s="3" t="s">
        <v>613</v>
      </c>
      <c r="I40" s="3" t="s">
        <v>614</v>
      </c>
      <c r="J40" s="3">
        <v>126</v>
      </c>
      <c r="K40" s="3">
        <v>7.81</v>
      </c>
      <c r="L40" s="3" t="s">
        <v>623</v>
      </c>
    </row>
    <row r="41" spans="1:12" ht="14.5" x14ac:dyDescent="0.35">
      <c r="A41" s="3" t="s">
        <v>276</v>
      </c>
      <c r="B41" s="3" t="s">
        <v>277</v>
      </c>
      <c r="C41" s="3" t="s">
        <v>643</v>
      </c>
      <c r="D41" s="3">
        <v>971341872</v>
      </c>
      <c r="E41" s="3" t="s">
        <v>680</v>
      </c>
      <c r="F41" s="3">
        <v>412</v>
      </c>
      <c r="G41" s="3" t="s">
        <v>617</v>
      </c>
      <c r="H41" s="3" t="s">
        <v>613</v>
      </c>
      <c r="I41" s="3" t="s">
        <v>614</v>
      </c>
      <c r="J41" s="3">
        <v>124</v>
      </c>
      <c r="K41" s="3">
        <v>7.52</v>
      </c>
      <c r="L41" s="3" t="s">
        <v>623</v>
      </c>
    </row>
    <row r="42" spans="1:12" ht="14.5" x14ac:dyDescent="0.35">
      <c r="A42" s="3" t="s">
        <v>278</v>
      </c>
      <c r="B42" s="3" t="s">
        <v>279</v>
      </c>
      <c r="C42" s="4">
        <v>38242</v>
      </c>
      <c r="D42" s="6"/>
      <c r="E42" s="3" t="s">
        <v>681</v>
      </c>
      <c r="F42" s="3">
        <v>404</v>
      </c>
      <c r="G42" s="3" t="s">
        <v>620</v>
      </c>
      <c r="H42" s="3" t="s">
        <v>613</v>
      </c>
      <c r="I42" s="3" t="s">
        <v>614</v>
      </c>
      <c r="J42" s="3">
        <v>126</v>
      </c>
      <c r="K42" s="3">
        <v>7.76</v>
      </c>
      <c r="L42" s="3" t="s">
        <v>623</v>
      </c>
    </row>
    <row r="43" spans="1:12" ht="14.5" x14ac:dyDescent="0.35">
      <c r="A43" s="3" t="s">
        <v>519</v>
      </c>
      <c r="B43" s="3" t="s">
        <v>520</v>
      </c>
      <c r="C43" s="3" t="s">
        <v>682</v>
      </c>
      <c r="D43" s="3">
        <v>869130247</v>
      </c>
      <c r="E43" s="3" t="s">
        <v>683</v>
      </c>
      <c r="F43" s="3">
        <v>404</v>
      </c>
      <c r="G43" s="3" t="s">
        <v>620</v>
      </c>
      <c r="H43" s="3" t="s">
        <v>613</v>
      </c>
      <c r="I43" s="3" t="s">
        <v>614</v>
      </c>
      <c r="J43" s="3">
        <v>122</v>
      </c>
      <c r="K43" s="3">
        <v>8.32</v>
      </c>
      <c r="L43" s="3" t="s">
        <v>615</v>
      </c>
    </row>
    <row r="44" spans="1:12" ht="14.5" x14ac:dyDescent="0.35">
      <c r="A44" s="3" t="s">
        <v>280</v>
      </c>
      <c r="B44" s="3" t="s">
        <v>281</v>
      </c>
      <c r="C44" s="3" t="s">
        <v>684</v>
      </c>
      <c r="D44" s="3">
        <v>363234680</v>
      </c>
      <c r="E44" s="3" t="s">
        <v>685</v>
      </c>
      <c r="F44" s="3">
        <v>404</v>
      </c>
      <c r="G44" s="3" t="s">
        <v>620</v>
      </c>
      <c r="H44" s="3" t="s">
        <v>613</v>
      </c>
      <c r="I44" s="3" t="s">
        <v>614</v>
      </c>
      <c r="J44" s="3">
        <v>126</v>
      </c>
      <c r="K44" s="3">
        <v>8.17</v>
      </c>
      <c r="L44" s="3" t="s">
        <v>615</v>
      </c>
    </row>
    <row r="45" spans="1:12" ht="14.5" x14ac:dyDescent="0.35">
      <c r="A45" s="3" t="s">
        <v>322</v>
      </c>
      <c r="B45" s="3" t="s">
        <v>323</v>
      </c>
      <c r="C45" s="4">
        <v>37987</v>
      </c>
      <c r="D45" s="3">
        <v>388654010</v>
      </c>
      <c r="E45" s="3" t="s">
        <v>686</v>
      </c>
      <c r="F45" s="3">
        <v>412</v>
      </c>
      <c r="G45" s="3" t="s">
        <v>617</v>
      </c>
      <c r="H45" s="3" t="s">
        <v>613</v>
      </c>
      <c r="I45" s="3" t="s">
        <v>614</v>
      </c>
      <c r="J45" s="3">
        <v>124</v>
      </c>
      <c r="K45" s="3">
        <v>7.79</v>
      </c>
      <c r="L45" s="3" t="s">
        <v>623</v>
      </c>
    </row>
    <row r="46" spans="1:12" ht="14.5" x14ac:dyDescent="0.35">
      <c r="A46" s="3" t="s">
        <v>282</v>
      </c>
      <c r="B46" s="3" t="s">
        <v>283</v>
      </c>
      <c r="C46" s="3" t="s">
        <v>687</v>
      </c>
      <c r="D46" s="3">
        <v>392192023</v>
      </c>
      <c r="E46" s="3" t="s">
        <v>688</v>
      </c>
      <c r="F46" s="3">
        <v>404</v>
      </c>
      <c r="G46" s="3" t="s">
        <v>620</v>
      </c>
      <c r="H46" s="3" t="s">
        <v>613</v>
      </c>
      <c r="I46" s="3" t="s">
        <v>614</v>
      </c>
      <c r="J46" s="3">
        <v>126</v>
      </c>
      <c r="K46" s="3">
        <v>8.2200000000000006</v>
      </c>
      <c r="L46" s="3" t="s">
        <v>615</v>
      </c>
    </row>
    <row r="47" spans="1:12" ht="14.5" x14ac:dyDescent="0.35">
      <c r="A47" s="3" t="s">
        <v>460</v>
      </c>
      <c r="B47" s="3" t="s">
        <v>461</v>
      </c>
      <c r="C47" s="3" t="s">
        <v>689</v>
      </c>
      <c r="D47" s="3">
        <v>945802361</v>
      </c>
      <c r="E47" s="3" t="s">
        <v>690</v>
      </c>
      <c r="F47" s="3">
        <v>404</v>
      </c>
      <c r="G47" s="3" t="s">
        <v>620</v>
      </c>
      <c r="H47" s="3" t="s">
        <v>613</v>
      </c>
      <c r="I47" s="3" t="s">
        <v>614</v>
      </c>
      <c r="J47" s="3">
        <v>126</v>
      </c>
      <c r="K47" s="3">
        <v>8.4600000000000009</v>
      </c>
      <c r="L47" s="3" t="s">
        <v>615</v>
      </c>
    </row>
    <row r="48" spans="1:12" ht="14.5" x14ac:dyDescent="0.35">
      <c r="A48" s="3" t="s">
        <v>691</v>
      </c>
      <c r="B48" s="3" t="s">
        <v>692</v>
      </c>
      <c r="C48" s="4">
        <v>38111</v>
      </c>
      <c r="D48" s="3">
        <v>984244204</v>
      </c>
      <c r="E48" s="3" t="s">
        <v>693</v>
      </c>
      <c r="F48" s="3">
        <v>412</v>
      </c>
      <c r="G48" s="3" t="s">
        <v>617</v>
      </c>
      <c r="H48" s="3" t="s">
        <v>613</v>
      </c>
      <c r="I48" s="3" t="s">
        <v>653</v>
      </c>
      <c r="J48" s="3">
        <v>71</v>
      </c>
      <c r="K48" s="3">
        <v>6.75</v>
      </c>
      <c r="L48" s="3" t="s">
        <v>676</v>
      </c>
    </row>
    <row r="49" spans="1:12" ht="14.5" x14ac:dyDescent="0.35">
      <c r="A49" s="3" t="s">
        <v>324</v>
      </c>
      <c r="B49" s="3" t="s">
        <v>325</v>
      </c>
      <c r="C49" s="4">
        <v>38147</v>
      </c>
      <c r="D49" s="3">
        <v>944387099</v>
      </c>
      <c r="E49" s="3" t="s">
        <v>694</v>
      </c>
      <c r="F49" s="3">
        <v>412</v>
      </c>
      <c r="G49" s="3" t="s">
        <v>617</v>
      </c>
      <c r="H49" s="3" t="s">
        <v>613</v>
      </c>
      <c r="I49" s="3" t="s">
        <v>614</v>
      </c>
      <c r="J49" s="3">
        <v>124</v>
      </c>
      <c r="K49" s="3">
        <v>6.76</v>
      </c>
      <c r="L49" s="3" t="s">
        <v>676</v>
      </c>
    </row>
    <row r="50" spans="1:12" ht="14.5" x14ac:dyDescent="0.35">
      <c r="A50" s="3" t="s">
        <v>326</v>
      </c>
      <c r="B50" s="3" t="s">
        <v>327</v>
      </c>
      <c r="C50" s="3" t="s">
        <v>695</v>
      </c>
      <c r="D50" s="3">
        <v>702727079</v>
      </c>
      <c r="E50" s="3" t="s">
        <v>696</v>
      </c>
      <c r="F50" s="3">
        <v>412</v>
      </c>
      <c r="G50" s="3" t="s">
        <v>617</v>
      </c>
      <c r="H50" s="3" t="s">
        <v>613</v>
      </c>
      <c r="I50" s="3" t="s">
        <v>614</v>
      </c>
      <c r="J50" s="3">
        <v>124</v>
      </c>
      <c r="K50" s="3">
        <v>7.13</v>
      </c>
      <c r="L50" s="3" t="s">
        <v>623</v>
      </c>
    </row>
    <row r="51" spans="1:12" ht="14.5" x14ac:dyDescent="0.35">
      <c r="A51" s="3" t="s">
        <v>462</v>
      </c>
      <c r="B51" s="3" t="s">
        <v>463</v>
      </c>
      <c r="C51" s="3" t="s">
        <v>697</v>
      </c>
      <c r="D51" s="3">
        <v>386144087</v>
      </c>
      <c r="E51" s="3" t="s">
        <v>698</v>
      </c>
      <c r="F51" s="3">
        <v>404</v>
      </c>
      <c r="G51" s="3" t="s">
        <v>620</v>
      </c>
      <c r="H51" s="3" t="s">
        <v>613</v>
      </c>
      <c r="I51" s="3" t="s">
        <v>614</v>
      </c>
      <c r="J51" s="3">
        <v>132</v>
      </c>
      <c r="K51" s="3">
        <v>8.39</v>
      </c>
      <c r="L51" s="3" t="s">
        <v>615</v>
      </c>
    </row>
    <row r="52" spans="1:12" ht="14.5" x14ac:dyDescent="0.35">
      <c r="A52" s="3" t="s">
        <v>328</v>
      </c>
      <c r="B52" s="3" t="s">
        <v>329</v>
      </c>
      <c r="C52" s="3" t="s">
        <v>699</v>
      </c>
      <c r="D52" s="3">
        <v>384987847</v>
      </c>
      <c r="E52" s="3" t="s">
        <v>700</v>
      </c>
      <c r="F52" s="3">
        <v>412</v>
      </c>
      <c r="G52" s="3" t="s">
        <v>617</v>
      </c>
      <c r="H52" s="3" t="s">
        <v>613</v>
      </c>
      <c r="I52" s="3" t="s">
        <v>614</v>
      </c>
      <c r="J52" s="3">
        <v>124</v>
      </c>
      <c r="K52" s="3">
        <v>8.1</v>
      </c>
      <c r="L52" s="3" t="s">
        <v>615</v>
      </c>
    </row>
    <row r="53" spans="1:12" ht="14.5" x14ac:dyDescent="0.35">
      <c r="A53" s="3" t="s">
        <v>464</v>
      </c>
      <c r="B53" s="3" t="s">
        <v>465</v>
      </c>
      <c r="C53" s="3" t="s">
        <v>701</v>
      </c>
      <c r="D53" s="3">
        <v>886210240</v>
      </c>
      <c r="E53" s="3" t="s">
        <v>702</v>
      </c>
      <c r="F53" s="3">
        <v>404</v>
      </c>
      <c r="G53" s="3" t="s">
        <v>620</v>
      </c>
      <c r="H53" s="3" t="s">
        <v>613</v>
      </c>
      <c r="I53" s="3" t="s">
        <v>614</v>
      </c>
      <c r="J53" s="3">
        <v>126</v>
      </c>
      <c r="K53" s="3">
        <v>8.8699999999999992</v>
      </c>
      <c r="L53" s="3" t="s">
        <v>615</v>
      </c>
    </row>
    <row r="54" spans="1:12" ht="14.5" x14ac:dyDescent="0.35">
      <c r="A54" s="3" t="s">
        <v>466</v>
      </c>
      <c r="B54" s="3" t="s">
        <v>467</v>
      </c>
      <c r="C54" s="4">
        <v>38300</v>
      </c>
      <c r="D54" s="6"/>
      <c r="E54" s="3" t="s">
        <v>703</v>
      </c>
      <c r="F54" s="3">
        <v>404</v>
      </c>
      <c r="G54" s="3" t="s">
        <v>620</v>
      </c>
      <c r="H54" s="3" t="s">
        <v>613</v>
      </c>
      <c r="I54" s="3" t="s">
        <v>614</v>
      </c>
      <c r="J54" s="3">
        <v>123</v>
      </c>
      <c r="K54" s="3">
        <v>8.19</v>
      </c>
      <c r="L54" s="3" t="s">
        <v>615</v>
      </c>
    </row>
    <row r="55" spans="1:12" ht="14.5" x14ac:dyDescent="0.35">
      <c r="A55" s="3" t="s">
        <v>468</v>
      </c>
      <c r="B55" s="3" t="s">
        <v>469</v>
      </c>
      <c r="C55" s="4">
        <v>38297</v>
      </c>
      <c r="D55" s="3">
        <v>764872956</v>
      </c>
      <c r="E55" s="3" t="s">
        <v>704</v>
      </c>
      <c r="F55" s="3">
        <v>404</v>
      </c>
      <c r="G55" s="3" t="s">
        <v>620</v>
      </c>
      <c r="H55" s="3" t="s">
        <v>613</v>
      </c>
      <c r="I55" s="3" t="s">
        <v>614</v>
      </c>
      <c r="J55" s="3">
        <v>130</v>
      </c>
      <c r="K55" s="3">
        <v>8.66</v>
      </c>
      <c r="L55" s="3" t="s">
        <v>615</v>
      </c>
    </row>
    <row r="56" spans="1:12" ht="14.5" x14ac:dyDescent="0.35">
      <c r="A56" s="3" t="s">
        <v>330</v>
      </c>
      <c r="B56" s="3" t="s">
        <v>331</v>
      </c>
      <c r="C56" s="3" t="s">
        <v>668</v>
      </c>
      <c r="D56" s="3">
        <v>969224240</v>
      </c>
      <c r="E56" s="3" t="s">
        <v>705</v>
      </c>
      <c r="F56" s="3">
        <v>404</v>
      </c>
      <c r="G56" s="3" t="s">
        <v>620</v>
      </c>
      <c r="H56" s="3" t="s">
        <v>613</v>
      </c>
      <c r="I56" s="3" t="s">
        <v>614</v>
      </c>
      <c r="J56" s="3">
        <v>126</v>
      </c>
      <c r="K56" s="3">
        <v>7.53</v>
      </c>
      <c r="L56" s="3" t="s">
        <v>623</v>
      </c>
    </row>
    <row r="57" spans="1:12" ht="14.5" x14ac:dyDescent="0.35">
      <c r="A57" s="3" t="s">
        <v>284</v>
      </c>
      <c r="B57" s="3" t="s">
        <v>285</v>
      </c>
      <c r="C57" s="3" t="s">
        <v>706</v>
      </c>
      <c r="D57" s="6"/>
      <c r="E57" s="3" t="s">
        <v>707</v>
      </c>
      <c r="F57" s="3">
        <v>412</v>
      </c>
      <c r="G57" s="3" t="s">
        <v>617</v>
      </c>
      <c r="H57" s="3" t="s">
        <v>613</v>
      </c>
      <c r="I57" s="3" t="s">
        <v>614</v>
      </c>
      <c r="J57" s="3">
        <v>124</v>
      </c>
      <c r="K57" s="3">
        <v>7.35</v>
      </c>
      <c r="L57" s="3" t="s">
        <v>623</v>
      </c>
    </row>
    <row r="58" spans="1:12" ht="14.5" x14ac:dyDescent="0.35">
      <c r="A58" s="3" t="s">
        <v>470</v>
      </c>
      <c r="B58" s="3" t="s">
        <v>471</v>
      </c>
      <c r="C58" s="3" t="s">
        <v>708</v>
      </c>
      <c r="D58" s="3">
        <v>943760557</v>
      </c>
      <c r="E58" s="3" t="s">
        <v>709</v>
      </c>
      <c r="F58" s="3">
        <v>404</v>
      </c>
      <c r="G58" s="3" t="s">
        <v>620</v>
      </c>
      <c r="H58" s="3" t="s">
        <v>613</v>
      </c>
      <c r="I58" s="3" t="s">
        <v>614</v>
      </c>
      <c r="J58" s="3">
        <v>126</v>
      </c>
      <c r="K58" s="3">
        <v>7.92</v>
      </c>
      <c r="L58" s="3" t="s">
        <v>623</v>
      </c>
    </row>
    <row r="59" spans="1:12" ht="14.5" x14ac:dyDescent="0.35">
      <c r="A59" s="3" t="s">
        <v>332</v>
      </c>
      <c r="B59" s="3" t="s">
        <v>333</v>
      </c>
      <c r="C59" s="3" t="s">
        <v>710</v>
      </c>
      <c r="D59" s="3">
        <v>833867216</v>
      </c>
      <c r="E59" s="3" t="s">
        <v>711</v>
      </c>
      <c r="F59" s="3">
        <v>404</v>
      </c>
      <c r="G59" s="3" t="s">
        <v>620</v>
      </c>
      <c r="H59" s="3" t="s">
        <v>613</v>
      </c>
      <c r="I59" s="3" t="s">
        <v>614</v>
      </c>
      <c r="J59" s="3">
        <v>126</v>
      </c>
      <c r="K59" s="3">
        <v>7.74</v>
      </c>
      <c r="L59" s="3" t="s">
        <v>623</v>
      </c>
    </row>
    <row r="60" spans="1:12" ht="14.5" x14ac:dyDescent="0.35">
      <c r="A60" s="3" t="s">
        <v>334</v>
      </c>
      <c r="B60" s="3" t="s">
        <v>335</v>
      </c>
      <c r="C60" s="3" t="s">
        <v>712</v>
      </c>
      <c r="D60" s="6"/>
      <c r="E60" s="3" t="s">
        <v>713</v>
      </c>
      <c r="F60" s="3">
        <v>412</v>
      </c>
      <c r="G60" s="3" t="s">
        <v>617</v>
      </c>
      <c r="H60" s="3" t="s">
        <v>613</v>
      </c>
      <c r="I60" s="3" t="s">
        <v>614</v>
      </c>
      <c r="J60" s="3">
        <v>124</v>
      </c>
      <c r="K60" s="3">
        <v>7.36</v>
      </c>
      <c r="L60" s="3" t="s">
        <v>623</v>
      </c>
    </row>
    <row r="61" spans="1:12" ht="14.5" x14ac:dyDescent="0.35">
      <c r="A61" s="3" t="s">
        <v>286</v>
      </c>
      <c r="B61" s="3" t="s">
        <v>287</v>
      </c>
      <c r="C61" s="3" t="s">
        <v>626</v>
      </c>
      <c r="D61" s="3">
        <v>866484704</v>
      </c>
      <c r="E61" s="3" t="s">
        <v>714</v>
      </c>
      <c r="F61" s="3">
        <v>412</v>
      </c>
      <c r="G61" s="3" t="s">
        <v>617</v>
      </c>
      <c r="H61" s="3" t="s">
        <v>613</v>
      </c>
      <c r="I61" s="3" t="s">
        <v>614</v>
      </c>
      <c r="J61" s="3">
        <v>126</v>
      </c>
      <c r="K61" s="3">
        <v>8</v>
      </c>
      <c r="L61" s="3" t="s">
        <v>615</v>
      </c>
    </row>
    <row r="62" spans="1:12" ht="14.5" x14ac:dyDescent="0.35">
      <c r="A62" s="3" t="s">
        <v>439</v>
      </c>
      <c r="B62" s="3" t="s">
        <v>440</v>
      </c>
      <c r="C62" s="3" t="s">
        <v>715</v>
      </c>
      <c r="D62" s="3">
        <v>339632366</v>
      </c>
      <c r="E62" s="3" t="s">
        <v>716</v>
      </c>
      <c r="F62" s="3">
        <v>404</v>
      </c>
      <c r="G62" s="3" t="s">
        <v>620</v>
      </c>
      <c r="H62" s="3" t="s">
        <v>613</v>
      </c>
      <c r="I62" s="3" t="s">
        <v>614</v>
      </c>
      <c r="J62" s="3">
        <v>122</v>
      </c>
      <c r="K62" s="3">
        <v>8.4</v>
      </c>
      <c r="L62" s="3" t="s">
        <v>615</v>
      </c>
    </row>
    <row r="63" spans="1:12" ht="14.5" x14ac:dyDescent="0.35">
      <c r="A63" s="3" t="s">
        <v>336</v>
      </c>
      <c r="B63" s="3" t="s">
        <v>337</v>
      </c>
      <c r="C63" s="4">
        <v>37987</v>
      </c>
      <c r="D63" s="6"/>
      <c r="E63" s="3" t="s">
        <v>717</v>
      </c>
      <c r="F63" s="3">
        <v>412</v>
      </c>
      <c r="G63" s="3" t="s">
        <v>617</v>
      </c>
      <c r="H63" s="3" t="s">
        <v>613</v>
      </c>
      <c r="I63" s="3" t="s">
        <v>614</v>
      </c>
      <c r="J63" s="3">
        <v>124</v>
      </c>
      <c r="K63" s="3">
        <v>8.19</v>
      </c>
      <c r="L63" s="3" t="s">
        <v>615</v>
      </c>
    </row>
    <row r="64" spans="1:12" ht="14.5" x14ac:dyDescent="0.35">
      <c r="A64" s="3" t="s">
        <v>472</v>
      </c>
      <c r="B64" s="3" t="s">
        <v>473</v>
      </c>
      <c r="C64" s="3" t="s">
        <v>718</v>
      </c>
      <c r="D64" s="3">
        <v>365906961</v>
      </c>
      <c r="E64" s="3" t="s">
        <v>719</v>
      </c>
      <c r="F64" s="3">
        <v>404</v>
      </c>
      <c r="G64" s="3" t="s">
        <v>620</v>
      </c>
      <c r="H64" s="3" t="s">
        <v>613</v>
      </c>
      <c r="I64" s="3" t="s">
        <v>614</v>
      </c>
      <c r="J64" s="3">
        <v>126</v>
      </c>
      <c r="K64" s="3">
        <v>8.19</v>
      </c>
      <c r="L64" s="3" t="s">
        <v>615</v>
      </c>
    </row>
    <row r="65" spans="1:12" ht="14.5" x14ac:dyDescent="0.35">
      <c r="A65" s="3" t="s">
        <v>338</v>
      </c>
      <c r="B65" s="3" t="s">
        <v>339</v>
      </c>
      <c r="C65" s="3" t="s">
        <v>720</v>
      </c>
      <c r="D65" s="3">
        <v>349196118</v>
      </c>
      <c r="E65" s="3" t="s">
        <v>721</v>
      </c>
      <c r="F65" s="3">
        <v>412</v>
      </c>
      <c r="G65" s="3" t="s">
        <v>617</v>
      </c>
      <c r="H65" s="3" t="s">
        <v>613</v>
      </c>
      <c r="I65" s="3" t="s">
        <v>614</v>
      </c>
      <c r="J65" s="3">
        <v>116</v>
      </c>
      <c r="K65" s="3">
        <v>6.94</v>
      </c>
      <c r="L65" s="3" t="s">
        <v>676</v>
      </c>
    </row>
    <row r="66" spans="1:12" ht="14.5" x14ac:dyDescent="0.35">
      <c r="A66" s="3" t="s">
        <v>288</v>
      </c>
      <c r="B66" s="3" t="s">
        <v>289</v>
      </c>
      <c r="C66" s="4">
        <v>38299</v>
      </c>
      <c r="D66" s="3">
        <v>975913654</v>
      </c>
      <c r="E66" s="3" t="s">
        <v>722</v>
      </c>
      <c r="F66" s="3">
        <v>412</v>
      </c>
      <c r="G66" s="3" t="s">
        <v>617</v>
      </c>
      <c r="H66" s="3" t="s">
        <v>613</v>
      </c>
      <c r="I66" s="3" t="s">
        <v>653</v>
      </c>
      <c r="J66" s="3">
        <v>112</v>
      </c>
      <c r="K66" s="3">
        <v>7.49</v>
      </c>
      <c r="L66" s="3" t="s">
        <v>623</v>
      </c>
    </row>
    <row r="67" spans="1:12" ht="14.5" x14ac:dyDescent="0.35">
      <c r="A67" s="3" t="s">
        <v>474</v>
      </c>
      <c r="B67" s="3" t="s">
        <v>475</v>
      </c>
      <c r="C67" s="4">
        <v>38118</v>
      </c>
      <c r="D67" s="3">
        <v>799173732</v>
      </c>
      <c r="E67" s="3" t="s">
        <v>723</v>
      </c>
      <c r="F67" s="3">
        <v>404</v>
      </c>
      <c r="G67" s="3" t="s">
        <v>620</v>
      </c>
      <c r="H67" s="3" t="s">
        <v>613</v>
      </c>
      <c r="I67" s="3" t="s">
        <v>614</v>
      </c>
      <c r="J67" s="3">
        <v>126</v>
      </c>
      <c r="K67" s="3">
        <v>8.5299999999999994</v>
      </c>
      <c r="L67" s="3" t="s">
        <v>615</v>
      </c>
    </row>
    <row r="68" spans="1:12" ht="14.5" x14ac:dyDescent="0.35">
      <c r="A68" s="3" t="s">
        <v>340</v>
      </c>
      <c r="B68" s="3" t="s">
        <v>341</v>
      </c>
      <c r="C68" s="4">
        <v>38082</v>
      </c>
      <c r="D68" s="3">
        <v>915932451</v>
      </c>
      <c r="E68" s="3" t="s">
        <v>724</v>
      </c>
      <c r="F68" s="3">
        <v>412</v>
      </c>
      <c r="G68" s="3" t="s">
        <v>617</v>
      </c>
      <c r="H68" s="3" t="s">
        <v>613</v>
      </c>
      <c r="I68" s="3" t="s">
        <v>653</v>
      </c>
      <c r="J68" s="3">
        <v>126</v>
      </c>
      <c r="K68" s="3">
        <v>7.81</v>
      </c>
      <c r="L68" s="3" t="s">
        <v>623</v>
      </c>
    </row>
    <row r="69" spans="1:12" ht="14.5" x14ac:dyDescent="0.35">
      <c r="A69" s="3" t="s">
        <v>484</v>
      </c>
      <c r="B69" s="3" t="s">
        <v>485</v>
      </c>
      <c r="C69" s="3" t="s">
        <v>725</v>
      </c>
      <c r="D69" s="3">
        <v>964781138</v>
      </c>
      <c r="E69" s="3" t="s">
        <v>726</v>
      </c>
      <c r="F69" s="3">
        <v>412</v>
      </c>
      <c r="G69" s="3" t="s">
        <v>617</v>
      </c>
      <c r="H69" s="3" t="s">
        <v>613</v>
      </c>
      <c r="I69" s="3" t="s">
        <v>614</v>
      </c>
      <c r="J69" s="3">
        <v>120</v>
      </c>
      <c r="K69" s="3">
        <v>8.34</v>
      </c>
      <c r="L69" s="3" t="s">
        <v>615</v>
      </c>
    </row>
    <row r="70" spans="1:12" ht="14.5" x14ac:dyDescent="0.35">
      <c r="A70" s="3" t="s">
        <v>342</v>
      </c>
      <c r="B70" s="3" t="s">
        <v>343</v>
      </c>
      <c r="C70" s="4">
        <v>37994</v>
      </c>
      <c r="D70" s="3">
        <v>349570679</v>
      </c>
      <c r="E70" s="3" t="s">
        <v>727</v>
      </c>
      <c r="F70" s="3">
        <v>412</v>
      </c>
      <c r="G70" s="3" t="s">
        <v>617</v>
      </c>
      <c r="H70" s="3" t="s">
        <v>613</v>
      </c>
      <c r="I70" s="3" t="s">
        <v>614</v>
      </c>
      <c r="J70" s="3">
        <v>122</v>
      </c>
      <c r="K70" s="3">
        <v>6.78</v>
      </c>
      <c r="L70" s="3" t="s">
        <v>676</v>
      </c>
    </row>
    <row r="71" spans="1:12" ht="14.5" x14ac:dyDescent="0.35">
      <c r="A71" s="3" t="s">
        <v>344</v>
      </c>
      <c r="B71" s="3" t="s">
        <v>345</v>
      </c>
      <c r="C71" s="3" t="s">
        <v>609</v>
      </c>
      <c r="D71" s="6"/>
      <c r="E71" s="3" t="s">
        <v>728</v>
      </c>
      <c r="F71" s="3">
        <v>404</v>
      </c>
      <c r="G71" s="3" t="s">
        <v>620</v>
      </c>
      <c r="H71" s="3" t="s">
        <v>613</v>
      </c>
      <c r="I71" s="3" t="s">
        <v>614</v>
      </c>
      <c r="J71" s="3">
        <v>126</v>
      </c>
      <c r="K71" s="3">
        <v>8.6199999999999992</v>
      </c>
      <c r="L71" s="3" t="s">
        <v>615</v>
      </c>
    </row>
    <row r="72" spans="1:12" ht="14.5" x14ac:dyDescent="0.35">
      <c r="A72" s="3" t="s">
        <v>346</v>
      </c>
      <c r="B72" s="3" t="s">
        <v>347</v>
      </c>
      <c r="C72" s="3" t="s">
        <v>729</v>
      </c>
      <c r="D72" s="3">
        <v>869340316</v>
      </c>
      <c r="E72" s="3" t="s">
        <v>730</v>
      </c>
      <c r="F72" s="3">
        <v>404</v>
      </c>
      <c r="G72" s="3" t="s">
        <v>620</v>
      </c>
      <c r="H72" s="3" t="s">
        <v>613</v>
      </c>
      <c r="I72" s="3" t="s">
        <v>614</v>
      </c>
      <c r="J72" s="3">
        <v>126</v>
      </c>
      <c r="K72" s="3">
        <v>7.77</v>
      </c>
      <c r="L72" s="3" t="s">
        <v>623</v>
      </c>
    </row>
    <row r="73" spans="1:12" ht="14.5" x14ac:dyDescent="0.35">
      <c r="A73" s="3" t="s">
        <v>487</v>
      </c>
      <c r="B73" s="3" t="s">
        <v>488</v>
      </c>
      <c r="C73" s="5">
        <v>38301</v>
      </c>
      <c r="D73" s="3">
        <v>396574906</v>
      </c>
      <c r="E73" s="3" t="s">
        <v>731</v>
      </c>
      <c r="F73" s="3">
        <v>404</v>
      </c>
      <c r="G73" s="3" t="s">
        <v>620</v>
      </c>
      <c r="H73" s="3" t="s">
        <v>613</v>
      </c>
      <c r="I73" s="3" t="s">
        <v>614</v>
      </c>
      <c r="J73" s="3">
        <v>122</v>
      </c>
      <c r="K73" s="3">
        <v>9.1199999999999992</v>
      </c>
      <c r="L73" s="3" t="s">
        <v>732</v>
      </c>
    </row>
    <row r="74" spans="1:12" ht="14.5" x14ac:dyDescent="0.35">
      <c r="A74" s="3" t="s">
        <v>348</v>
      </c>
      <c r="B74" s="3" t="s">
        <v>349</v>
      </c>
      <c r="C74" s="4">
        <v>38148</v>
      </c>
      <c r="D74" s="3">
        <v>972904610</v>
      </c>
      <c r="E74" s="3" t="s">
        <v>733</v>
      </c>
      <c r="F74" s="3">
        <v>404</v>
      </c>
      <c r="G74" s="3" t="s">
        <v>620</v>
      </c>
      <c r="H74" s="3" t="s">
        <v>613</v>
      </c>
      <c r="I74" s="3" t="s">
        <v>614</v>
      </c>
      <c r="J74" s="3">
        <v>126</v>
      </c>
      <c r="K74" s="3">
        <v>8.61</v>
      </c>
      <c r="L74" s="3" t="s">
        <v>615</v>
      </c>
    </row>
    <row r="75" spans="1:12" ht="14.5" x14ac:dyDescent="0.35">
      <c r="A75" s="3" t="s">
        <v>476</v>
      </c>
      <c r="B75" s="3" t="s">
        <v>477</v>
      </c>
      <c r="C75" s="3" t="s">
        <v>734</v>
      </c>
      <c r="D75" s="3">
        <v>968463550</v>
      </c>
      <c r="E75" s="3" t="s">
        <v>735</v>
      </c>
      <c r="F75" s="3">
        <v>404</v>
      </c>
      <c r="G75" s="3" t="s">
        <v>620</v>
      </c>
      <c r="H75" s="3" t="s">
        <v>613</v>
      </c>
      <c r="I75" s="3" t="s">
        <v>614</v>
      </c>
      <c r="J75" s="3">
        <v>127</v>
      </c>
      <c r="K75" s="3">
        <v>7.61</v>
      </c>
      <c r="L75" s="3" t="s">
        <v>623</v>
      </c>
    </row>
    <row r="76" spans="1:12" ht="14.5" x14ac:dyDescent="0.35">
      <c r="A76" s="3" t="s">
        <v>490</v>
      </c>
      <c r="B76" s="3" t="s">
        <v>491</v>
      </c>
      <c r="C76" s="4">
        <v>38083</v>
      </c>
      <c r="D76" s="3">
        <v>394247075</v>
      </c>
      <c r="E76" s="3" t="s">
        <v>736</v>
      </c>
      <c r="F76" s="3">
        <v>404</v>
      </c>
      <c r="G76" s="3" t="s">
        <v>620</v>
      </c>
      <c r="H76" s="3" t="s">
        <v>613</v>
      </c>
      <c r="I76" s="3" t="s">
        <v>614</v>
      </c>
      <c r="J76" s="3">
        <v>122</v>
      </c>
      <c r="K76" s="3">
        <v>8.17</v>
      </c>
      <c r="L76" s="3" t="s">
        <v>615</v>
      </c>
    </row>
    <row r="77" spans="1:12" ht="14.5" x14ac:dyDescent="0.35">
      <c r="A77" s="3" t="s">
        <v>407</v>
      </c>
      <c r="B77" s="3" t="s">
        <v>408</v>
      </c>
      <c r="C77" s="3" t="s">
        <v>737</v>
      </c>
      <c r="D77" s="3">
        <v>931314605</v>
      </c>
      <c r="E77" s="3" t="s">
        <v>738</v>
      </c>
      <c r="F77" s="3">
        <v>404</v>
      </c>
      <c r="G77" s="3" t="s">
        <v>620</v>
      </c>
      <c r="H77" s="3" t="s">
        <v>613</v>
      </c>
      <c r="I77" s="3" t="s">
        <v>653</v>
      </c>
      <c r="J77" s="3">
        <v>107</v>
      </c>
      <c r="K77" s="3">
        <v>8.2200000000000006</v>
      </c>
      <c r="L77" s="3" t="s">
        <v>615</v>
      </c>
    </row>
    <row r="78" spans="1:12" ht="14.5" x14ac:dyDescent="0.35">
      <c r="A78" s="3" t="s">
        <v>512</v>
      </c>
      <c r="B78" s="3" t="s">
        <v>513</v>
      </c>
      <c r="C78" s="4">
        <v>38231</v>
      </c>
      <c r="D78" s="3">
        <v>376618542</v>
      </c>
      <c r="E78" s="3" t="s">
        <v>739</v>
      </c>
      <c r="F78" s="3">
        <v>404</v>
      </c>
      <c r="G78" s="3" t="s">
        <v>620</v>
      </c>
      <c r="H78" s="3" t="s">
        <v>613</v>
      </c>
      <c r="I78" s="3" t="s">
        <v>614</v>
      </c>
      <c r="J78" s="3">
        <v>122</v>
      </c>
      <c r="K78" s="3">
        <v>8.01</v>
      </c>
      <c r="L78" s="3" t="s">
        <v>615</v>
      </c>
    </row>
    <row r="79" spans="1:12" ht="14.5" x14ac:dyDescent="0.35">
      <c r="A79" s="3" t="s">
        <v>498</v>
      </c>
      <c r="B79" s="3" t="s">
        <v>499</v>
      </c>
      <c r="C79" s="3" t="s">
        <v>740</v>
      </c>
      <c r="D79" s="3">
        <v>386280904</v>
      </c>
      <c r="E79" s="3" t="s">
        <v>741</v>
      </c>
      <c r="F79" s="3">
        <v>404</v>
      </c>
      <c r="G79" s="3" t="s">
        <v>620</v>
      </c>
      <c r="H79" s="3" t="s">
        <v>613</v>
      </c>
      <c r="I79" s="3" t="s">
        <v>614</v>
      </c>
      <c r="J79" s="3">
        <v>130</v>
      </c>
      <c r="K79" s="3">
        <v>8.59</v>
      </c>
      <c r="L79" s="3" t="s">
        <v>615</v>
      </c>
    </row>
    <row r="80" spans="1:12" ht="14.5" x14ac:dyDescent="0.35">
      <c r="A80" s="3" t="s">
        <v>500</v>
      </c>
      <c r="B80" s="3" t="s">
        <v>501</v>
      </c>
      <c r="C80" s="4">
        <v>38298</v>
      </c>
      <c r="D80" s="6"/>
      <c r="E80" s="3" t="s">
        <v>742</v>
      </c>
      <c r="F80" s="3">
        <v>404</v>
      </c>
      <c r="G80" s="3" t="s">
        <v>620</v>
      </c>
      <c r="H80" s="3" t="s">
        <v>613</v>
      </c>
      <c r="I80" s="3" t="s">
        <v>614</v>
      </c>
      <c r="J80" s="3">
        <v>128</v>
      </c>
      <c r="K80" s="3">
        <v>7.99</v>
      </c>
      <c r="L80" s="3" t="s">
        <v>623</v>
      </c>
    </row>
    <row r="81" spans="1:12" ht="14.5" x14ac:dyDescent="0.35">
      <c r="A81" s="3" t="s">
        <v>522</v>
      </c>
      <c r="B81" s="3" t="s">
        <v>523</v>
      </c>
      <c r="C81" s="3" t="s">
        <v>743</v>
      </c>
      <c r="D81" s="3">
        <v>931537156</v>
      </c>
      <c r="E81" s="3" t="s">
        <v>744</v>
      </c>
      <c r="F81" s="3">
        <v>404</v>
      </c>
      <c r="G81" s="3" t="s">
        <v>620</v>
      </c>
      <c r="H81" s="3" t="s">
        <v>613</v>
      </c>
      <c r="I81" s="3" t="s">
        <v>614</v>
      </c>
      <c r="J81" s="3">
        <v>122</v>
      </c>
      <c r="K81" s="3">
        <v>8.86</v>
      </c>
      <c r="L81" s="3" t="s">
        <v>615</v>
      </c>
    </row>
    <row r="82" spans="1:12" ht="14.5" x14ac:dyDescent="0.35">
      <c r="A82" s="3" t="s">
        <v>502</v>
      </c>
      <c r="B82" s="3" t="s">
        <v>503</v>
      </c>
      <c r="C82" s="3" t="s">
        <v>697</v>
      </c>
      <c r="D82" s="6"/>
      <c r="E82" s="3" t="s">
        <v>745</v>
      </c>
      <c r="F82" s="3">
        <v>404</v>
      </c>
      <c r="G82" s="3" t="s">
        <v>620</v>
      </c>
      <c r="H82" s="3" t="s">
        <v>613</v>
      </c>
      <c r="I82" s="3" t="s">
        <v>653</v>
      </c>
      <c r="J82" s="3">
        <v>126</v>
      </c>
      <c r="K82" s="3">
        <v>7.92</v>
      </c>
      <c r="L82" s="3" t="s">
        <v>623</v>
      </c>
    </row>
    <row r="83" spans="1:12" ht="14.5" x14ac:dyDescent="0.35">
      <c r="A83" s="3" t="s">
        <v>504</v>
      </c>
      <c r="B83" s="3" t="s">
        <v>505</v>
      </c>
      <c r="C83" s="3" t="s">
        <v>746</v>
      </c>
      <c r="D83" s="3">
        <v>794918989</v>
      </c>
      <c r="E83" s="3" t="s">
        <v>747</v>
      </c>
      <c r="F83" s="3">
        <v>404</v>
      </c>
      <c r="G83" s="3" t="s">
        <v>620</v>
      </c>
      <c r="H83" s="3" t="s">
        <v>613</v>
      </c>
      <c r="I83" s="3" t="s">
        <v>614</v>
      </c>
      <c r="J83" s="3">
        <v>126</v>
      </c>
      <c r="K83" s="3">
        <v>8.59</v>
      </c>
      <c r="L83" s="3" t="s">
        <v>615</v>
      </c>
    </row>
    <row r="84" spans="1:12" ht="14.5" x14ac:dyDescent="0.35">
      <c r="A84" s="3" t="s">
        <v>506</v>
      </c>
      <c r="B84" s="3" t="s">
        <v>748</v>
      </c>
      <c r="C84" s="4">
        <v>38240</v>
      </c>
      <c r="D84" s="3">
        <v>913665611</v>
      </c>
      <c r="E84" s="3" t="s">
        <v>749</v>
      </c>
      <c r="F84" s="3">
        <v>404</v>
      </c>
      <c r="G84" s="3" t="s">
        <v>620</v>
      </c>
      <c r="H84" s="3" t="s">
        <v>613</v>
      </c>
      <c r="I84" s="3" t="s">
        <v>614</v>
      </c>
      <c r="J84" s="3">
        <v>126</v>
      </c>
      <c r="K84" s="3">
        <v>8.48</v>
      </c>
      <c r="L84" s="3" t="s">
        <v>615</v>
      </c>
    </row>
    <row r="85" spans="1:12" ht="14.5" x14ac:dyDescent="0.35">
      <c r="A85" s="3" t="s">
        <v>508</v>
      </c>
      <c r="B85" s="3" t="s">
        <v>509</v>
      </c>
      <c r="C85" s="4">
        <v>38150</v>
      </c>
      <c r="D85" s="6"/>
      <c r="E85" s="3" t="s">
        <v>750</v>
      </c>
      <c r="F85" s="3">
        <v>404</v>
      </c>
      <c r="G85" s="3" t="s">
        <v>620</v>
      </c>
      <c r="H85" s="3" t="s">
        <v>613</v>
      </c>
      <c r="I85" s="3" t="s">
        <v>614</v>
      </c>
      <c r="J85" s="3">
        <v>126</v>
      </c>
      <c r="K85" s="3">
        <v>8.3800000000000008</v>
      </c>
      <c r="L85" s="3" t="s">
        <v>615</v>
      </c>
    </row>
    <row r="86" spans="1:12" ht="14.5" x14ac:dyDescent="0.35">
      <c r="A86" s="3" t="s">
        <v>125</v>
      </c>
      <c r="B86" s="3" t="s">
        <v>126</v>
      </c>
      <c r="C86" s="3" t="s">
        <v>751</v>
      </c>
      <c r="D86" s="3">
        <v>375838772</v>
      </c>
      <c r="E86" s="3" t="s">
        <v>752</v>
      </c>
      <c r="F86" s="3">
        <v>404</v>
      </c>
      <c r="G86" s="3" t="s">
        <v>620</v>
      </c>
      <c r="H86" s="3" t="s">
        <v>613</v>
      </c>
      <c r="I86" s="3" t="s">
        <v>614</v>
      </c>
      <c r="J86" s="3">
        <v>126</v>
      </c>
      <c r="K86" s="3">
        <v>8.73</v>
      </c>
      <c r="L86" s="3" t="s">
        <v>615</v>
      </c>
    </row>
    <row r="87" spans="1:12" ht="14.5" x14ac:dyDescent="0.35">
      <c r="A87" s="3" t="s">
        <v>431</v>
      </c>
      <c r="B87" s="3" t="s">
        <v>432</v>
      </c>
      <c r="C87" s="3" t="s">
        <v>753</v>
      </c>
      <c r="D87" s="3">
        <v>397803341</v>
      </c>
      <c r="E87" s="3" t="s">
        <v>754</v>
      </c>
      <c r="F87" s="3">
        <v>404</v>
      </c>
      <c r="G87" s="3" t="s">
        <v>620</v>
      </c>
      <c r="H87" s="3" t="s">
        <v>613</v>
      </c>
      <c r="I87" s="3" t="s">
        <v>614</v>
      </c>
      <c r="J87" s="3">
        <v>124</v>
      </c>
      <c r="K87" s="3">
        <v>8.76</v>
      </c>
      <c r="L87" s="3" t="s">
        <v>615</v>
      </c>
    </row>
    <row r="88" spans="1:12" ht="14.5" x14ac:dyDescent="0.35">
      <c r="A88" s="3" t="s">
        <v>350</v>
      </c>
      <c r="B88" s="3" t="s">
        <v>755</v>
      </c>
      <c r="C88" s="3" t="s">
        <v>756</v>
      </c>
      <c r="D88" s="3">
        <v>974159819</v>
      </c>
      <c r="E88" s="3" t="s">
        <v>757</v>
      </c>
      <c r="F88" s="3">
        <v>412</v>
      </c>
      <c r="G88" s="3" t="s">
        <v>617</v>
      </c>
      <c r="H88" s="3" t="s">
        <v>613</v>
      </c>
      <c r="I88" s="3" t="s">
        <v>614</v>
      </c>
      <c r="J88" s="3">
        <v>124</v>
      </c>
      <c r="K88" s="3">
        <v>7.71</v>
      </c>
      <c r="L88" s="3" t="s">
        <v>623</v>
      </c>
    </row>
    <row r="89" spans="1:12" ht="14.5" x14ac:dyDescent="0.35">
      <c r="A89" s="3" t="s">
        <v>128</v>
      </c>
      <c r="B89" s="3" t="s">
        <v>129</v>
      </c>
      <c r="C89" s="3" t="s">
        <v>758</v>
      </c>
      <c r="D89" s="3">
        <v>977938908</v>
      </c>
      <c r="E89" s="3" t="s">
        <v>759</v>
      </c>
      <c r="F89" s="3">
        <v>404</v>
      </c>
      <c r="G89" s="3" t="s">
        <v>620</v>
      </c>
      <c r="H89" s="3" t="s">
        <v>613</v>
      </c>
      <c r="I89" s="3" t="s">
        <v>614</v>
      </c>
      <c r="J89" s="3">
        <v>125</v>
      </c>
      <c r="K89" s="3">
        <v>8.6</v>
      </c>
      <c r="L89" s="3" t="s">
        <v>615</v>
      </c>
    </row>
    <row r="90" spans="1:12" ht="14.5" x14ac:dyDescent="0.35">
      <c r="A90" s="3" t="s">
        <v>352</v>
      </c>
      <c r="B90" s="3" t="s">
        <v>353</v>
      </c>
      <c r="C90" s="3" t="s">
        <v>760</v>
      </c>
      <c r="D90" s="3">
        <v>396788267</v>
      </c>
      <c r="E90" s="3" t="s">
        <v>761</v>
      </c>
      <c r="F90" s="3">
        <v>412</v>
      </c>
      <c r="G90" s="3" t="s">
        <v>617</v>
      </c>
      <c r="H90" s="3" t="s">
        <v>613</v>
      </c>
      <c r="I90" s="3" t="s">
        <v>653</v>
      </c>
      <c r="J90" s="3">
        <v>124</v>
      </c>
      <c r="K90" s="3">
        <v>7.08</v>
      </c>
      <c r="L90" s="3" t="s">
        <v>623</v>
      </c>
    </row>
    <row r="91" spans="1:12" ht="14.5" x14ac:dyDescent="0.35">
      <c r="A91" s="3" t="s">
        <v>130</v>
      </c>
      <c r="B91" s="3" t="s">
        <v>131</v>
      </c>
      <c r="C91" s="3" t="s">
        <v>762</v>
      </c>
      <c r="D91" s="3">
        <v>335358287</v>
      </c>
      <c r="E91" s="3" t="s">
        <v>763</v>
      </c>
      <c r="F91" s="3">
        <v>404</v>
      </c>
      <c r="G91" s="3" t="s">
        <v>620</v>
      </c>
      <c r="H91" s="3" t="s">
        <v>613</v>
      </c>
      <c r="I91" s="3" t="s">
        <v>614</v>
      </c>
      <c r="J91" s="3">
        <v>126</v>
      </c>
      <c r="K91" s="3">
        <v>8.0299999999999994</v>
      </c>
      <c r="L91" s="3" t="s">
        <v>615</v>
      </c>
    </row>
    <row r="92" spans="1:12" ht="14.5" x14ac:dyDescent="0.35">
      <c r="A92" s="3" t="s">
        <v>149</v>
      </c>
      <c r="B92" s="3" t="s">
        <v>150</v>
      </c>
      <c r="C92" s="3" t="s">
        <v>764</v>
      </c>
      <c r="D92" s="3">
        <v>332366956</v>
      </c>
      <c r="E92" s="3" t="s">
        <v>765</v>
      </c>
      <c r="F92" s="3">
        <v>404</v>
      </c>
      <c r="G92" s="3" t="s">
        <v>620</v>
      </c>
      <c r="H92" s="3" t="s">
        <v>613</v>
      </c>
      <c r="I92" s="3" t="s">
        <v>614</v>
      </c>
      <c r="J92" s="3">
        <v>126</v>
      </c>
      <c r="K92" s="3">
        <v>8.43</v>
      </c>
      <c r="L92" s="3" t="s">
        <v>615</v>
      </c>
    </row>
    <row r="93" spans="1:12" ht="14.5" x14ac:dyDescent="0.35">
      <c r="A93" s="3" t="s">
        <v>354</v>
      </c>
      <c r="B93" s="3" t="s">
        <v>355</v>
      </c>
      <c r="C93" s="3" t="s">
        <v>746</v>
      </c>
      <c r="D93" s="6"/>
      <c r="E93" s="3" t="s">
        <v>766</v>
      </c>
      <c r="F93" s="3">
        <v>412</v>
      </c>
      <c r="G93" s="3" t="s">
        <v>617</v>
      </c>
      <c r="H93" s="3" t="s">
        <v>613</v>
      </c>
      <c r="I93" s="3" t="s">
        <v>614</v>
      </c>
      <c r="J93" s="3">
        <v>126</v>
      </c>
      <c r="K93" s="3">
        <v>7.96</v>
      </c>
      <c r="L93" s="3" t="s">
        <v>623</v>
      </c>
    </row>
    <row r="94" spans="1:12" ht="14.5" x14ac:dyDescent="0.35">
      <c r="A94" s="3" t="s">
        <v>152</v>
      </c>
      <c r="B94" s="3" t="s">
        <v>153</v>
      </c>
      <c r="C94" s="3" t="s">
        <v>767</v>
      </c>
      <c r="D94" s="3">
        <v>908740992</v>
      </c>
      <c r="E94" s="3" t="s">
        <v>768</v>
      </c>
      <c r="F94" s="3">
        <v>404</v>
      </c>
      <c r="G94" s="3" t="s">
        <v>620</v>
      </c>
      <c r="H94" s="3" t="s">
        <v>613</v>
      </c>
      <c r="I94" s="3" t="s">
        <v>653</v>
      </c>
      <c r="J94" s="3">
        <v>126</v>
      </c>
      <c r="K94" s="3">
        <v>7.6</v>
      </c>
      <c r="L94" s="3" t="s">
        <v>623</v>
      </c>
    </row>
    <row r="95" spans="1:12" ht="14.5" x14ac:dyDescent="0.35">
      <c r="A95" s="3" t="s">
        <v>356</v>
      </c>
      <c r="B95" s="3" t="s">
        <v>357</v>
      </c>
      <c r="C95" s="4">
        <v>38173</v>
      </c>
      <c r="D95" s="3">
        <v>925479681</v>
      </c>
      <c r="E95" s="3" t="s">
        <v>769</v>
      </c>
      <c r="F95" s="3">
        <v>412</v>
      </c>
      <c r="G95" s="3" t="s">
        <v>617</v>
      </c>
      <c r="H95" s="3" t="s">
        <v>613</v>
      </c>
      <c r="I95" s="3" t="s">
        <v>614</v>
      </c>
      <c r="J95" s="3">
        <v>124</v>
      </c>
      <c r="K95" s="3">
        <v>7.6</v>
      </c>
      <c r="L95" s="3" t="s">
        <v>623</v>
      </c>
    </row>
    <row r="96" spans="1:12" ht="14.5" x14ac:dyDescent="0.35">
      <c r="A96" s="3" t="s">
        <v>154</v>
      </c>
      <c r="B96" s="3" t="s">
        <v>155</v>
      </c>
      <c r="C96" s="4">
        <v>38025</v>
      </c>
      <c r="D96" s="3">
        <v>867129325</v>
      </c>
      <c r="E96" s="3" t="s">
        <v>770</v>
      </c>
      <c r="F96" s="3">
        <v>404</v>
      </c>
      <c r="G96" s="3" t="s">
        <v>620</v>
      </c>
      <c r="H96" s="3" t="s">
        <v>613</v>
      </c>
      <c r="I96" s="3" t="s">
        <v>614</v>
      </c>
      <c r="J96" s="3">
        <v>123</v>
      </c>
      <c r="K96" s="3">
        <v>7.22</v>
      </c>
      <c r="L96" s="3" t="s">
        <v>623</v>
      </c>
    </row>
    <row r="97" spans="1:12" ht="14.5" x14ac:dyDescent="0.35">
      <c r="A97" s="3" t="s">
        <v>180</v>
      </c>
      <c r="B97" s="3" t="s">
        <v>181</v>
      </c>
      <c r="C97" s="3" t="s">
        <v>771</v>
      </c>
      <c r="D97" s="3">
        <v>899386831</v>
      </c>
      <c r="E97" s="3" t="s">
        <v>772</v>
      </c>
      <c r="F97" s="3" t="s">
        <v>611</v>
      </c>
      <c r="G97" s="3" t="s">
        <v>612</v>
      </c>
      <c r="H97" s="3" t="s">
        <v>613</v>
      </c>
      <c r="I97" s="3" t="s">
        <v>614</v>
      </c>
      <c r="J97" s="3">
        <v>124</v>
      </c>
      <c r="K97" s="3">
        <v>7.94</v>
      </c>
      <c r="L97" s="3" t="s">
        <v>623</v>
      </c>
    </row>
    <row r="98" spans="1:12" ht="14.5" x14ac:dyDescent="0.35">
      <c r="A98" s="3" t="s">
        <v>399</v>
      </c>
      <c r="B98" s="3" t="s">
        <v>400</v>
      </c>
      <c r="C98" s="3" t="s">
        <v>720</v>
      </c>
      <c r="D98" s="3">
        <v>937328308</v>
      </c>
      <c r="E98" s="3" t="s">
        <v>773</v>
      </c>
      <c r="F98" s="3" t="s">
        <v>611</v>
      </c>
      <c r="G98" s="3" t="s">
        <v>612</v>
      </c>
      <c r="H98" s="3" t="s">
        <v>613</v>
      </c>
      <c r="I98" s="3" t="s">
        <v>614</v>
      </c>
      <c r="J98" s="3">
        <v>122</v>
      </c>
      <c r="K98" s="3">
        <v>8.42</v>
      </c>
      <c r="L98" s="3" t="s">
        <v>615</v>
      </c>
    </row>
    <row r="99" spans="1:12" ht="14.5" x14ac:dyDescent="0.35">
      <c r="A99" s="3" t="s">
        <v>182</v>
      </c>
      <c r="B99" s="3" t="s">
        <v>183</v>
      </c>
      <c r="C99" s="3" t="s">
        <v>774</v>
      </c>
      <c r="D99" s="3">
        <v>962173620</v>
      </c>
      <c r="E99" s="3" t="s">
        <v>775</v>
      </c>
      <c r="F99" s="3" t="s">
        <v>611</v>
      </c>
      <c r="G99" s="3" t="s">
        <v>612</v>
      </c>
      <c r="H99" s="3" t="s">
        <v>613</v>
      </c>
      <c r="I99" s="3" t="s">
        <v>614</v>
      </c>
      <c r="J99" s="3">
        <v>124</v>
      </c>
      <c r="K99" s="3">
        <v>8.1</v>
      </c>
      <c r="L99" s="3" t="s">
        <v>615</v>
      </c>
    </row>
    <row r="100" spans="1:12" ht="14.5" x14ac:dyDescent="0.35">
      <c r="A100" s="3" t="s">
        <v>409</v>
      </c>
      <c r="B100" s="3" t="s">
        <v>410</v>
      </c>
      <c r="C100" s="3" t="s">
        <v>776</v>
      </c>
      <c r="D100" s="3">
        <v>373746180</v>
      </c>
      <c r="E100" s="3" t="s">
        <v>777</v>
      </c>
      <c r="F100" s="3" t="s">
        <v>611</v>
      </c>
      <c r="G100" s="3" t="s">
        <v>612</v>
      </c>
      <c r="H100" s="3" t="s">
        <v>613</v>
      </c>
      <c r="I100" s="3" t="s">
        <v>614</v>
      </c>
      <c r="J100" s="3">
        <v>122</v>
      </c>
      <c r="K100" s="3">
        <v>8.33</v>
      </c>
      <c r="L100" s="3" t="s">
        <v>615</v>
      </c>
    </row>
    <row r="101" spans="1:12" ht="14.5" x14ac:dyDescent="0.35">
      <c r="A101" s="3" t="s">
        <v>392</v>
      </c>
      <c r="B101" s="3" t="s">
        <v>393</v>
      </c>
      <c r="C101" s="3" t="s">
        <v>778</v>
      </c>
      <c r="D101" s="3">
        <v>394897277</v>
      </c>
      <c r="E101" s="3" t="s">
        <v>779</v>
      </c>
      <c r="F101" s="3" t="s">
        <v>611</v>
      </c>
      <c r="G101" s="3" t="s">
        <v>612</v>
      </c>
      <c r="H101" s="3" t="s">
        <v>613</v>
      </c>
      <c r="I101" s="3" t="s">
        <v>614</v>
      </c>
      <c r="J101" s="3">
        <v>122</v>
      </c>
      <c r="K101" s="3">
        <v>7.35</v>
      </c>
      <c r="L101" s="3" t="s">
        <v>623</v>
      </c>
    </row>
    <row r="102" spans="1:12" ht="14.5" x14ac:dyDescent="0.35">
      <c r="A102" s="3" t="s">
        <v>492</v>
      </c>
      <c r="B102" s="3" t="s">
        <v>493</v>
      </c>
      <c r="C102" s="3" t="s">
        <v>666</v>
      </c>
      <c r="D102" s="3">
        <v>916565166</v>
      </c>
      <c r="E102" s="3" t="s">
        <v>780</v>
      </c>
      <c r="F102" s="3" t="s">
        <v>611</v>
      </c>
      <c r="G102" s="3" t="s">
        <v>612</v>
      </c>
      <c r="H102" s="3" t="s">
        <v>613</v>
      </c>
      <c r="I102" s="3" t="s">
        <v>614</v>
      </c>
      <c r="J102" s="3">
        <v>124</v>
      </c>
      <c r="K102" s="3">
        <v>7.38</v>
      </c>
      <c r="L102" s="3" t="s">
        <v>623</v>
      </c>
    </row>
    <row r="103" spans="1:12" ht="14.5" x14ac:dyDescent="0.35">
      <c r="A103" s="3" t="s">
        <v>411</v>
      </c>
      <c r="B103" s="3" t="s">
        <v>412</v>
      </c>
      <c r="C103" s="3" t="s">
        <v>781</v>
      </c>
      <c r="D103" s="3">
        <v>908854852</v>
      </c>
      <c r="E103" s="3" t="s">
        <v>782</v>
      </c>
      <c r="F103" s="3" t="s">
        <v>611</v>
      </c>
      <c r="G103" s="3" t="s">
        <v>612</v>
      </c>
      <c r="H103" s="3" t="s">
        <v>613</v>
      </c>
      <c r="I103" s="3" t="s">
        <v>614</v>
      </c>
      <c r="J103" s="3">
        <v>122</v>
      </c>
      <c r="K103" s="3">
        <v>8.06</v>
      </c>
      <c r="L103" s="3" t="s">
        <v>615</v>
      </c>
    </row>
    <row r="104" spans="1:12" ht="14.5" x14ac:dyDescent="0.35">
      <c r="A104" s="3" t="s">
        <v>417</v>
      </c>
      <c r="B104" s="3" t="s">
        <v>418</v>
      </c>
      <c r="C104" s="3" t="s">
        <v>783</v>
      </c>
      <c r="D104" s="3">
        <v>966805610</v>
      </c>
      <c r="E104" s="3" t="s">
        <v>784</v>
      </c>
      <c r="F104" s="3">
        <v>406</v>
      </c>
      <c r="G104" s="3" t="s">
        <v>673</v>
      </c>
      <c r="H104" s="3" t="s">
        <v>613</v>
      </c>
      <c r="I104" s="3" t="s">
        <v>614</v>
      </c>
      <c r="J104" s="3">
        <v>59</v>
      </c>
      <c r="K104" s="3">
        <v>7.42</v>
      </c>
      <c r="L104" s="3" t="s">
        <v>623</v>
      </c>
    </row>
    <row r="105" spans="1:12" ht="14.5" x14ac:dyDescent="0.35">
      <c r="A105" s="3" t="s">
        <v>417</v>
      </c>
      <c r="B105" s="3" t="s">
        <v>418</v>
      </c>
      <c r="C105" s="3" t="s">
        <v>783</v>
      </c>
      <c r="D105" s="3">
        <v>966805610</v>
      </c>
      <c r="E105" s="3" t="s">
        <v>784</v>
      </c>
      <c r="F105" s="3" t="s">
        <v>611</v>
      </c>
      <c r="G105" s="3" t="s">
        <v>612</v>
      </c>
      <c r="H105" s="3" t="s">
        <v>613</v>
      </c>
      <c r="I105" s="3" t="s">
        <v>614</v>
      </c>
      <c r="J105" s="3">
        <v>122</v>
      </c>
      <c r="K105" s="3">
        <v>7.4</v>
      </c>
      <c r="L105" s="3" t="s">
        <v>623</v>
      </c>
    </row>
    <row r="106" spans="1:12" ht="14.5" x14ac:dyDescent="0.35">
      <c r="A106" s="3" t="s">
        <v>156</v>
      </c>
      <c r="B106" s="3" t="s">
        <v>157</v>
      </c>
      <c r="C106" s="4">
        <v>38053</v>
      </c>
      <c r="D106" s="3">
        <v>394191370</v>
      </c>
      <c r="E106" s="3" t="s">
        <v>785</v>
      </c>
      <c r="F106" s="3" t="s">
        <v>611</v>
      </c>
      <c r="G106" s="3" t="s">
        <v>612</v>
      </c>
      <c r="H106" s="3" t="s">
        <v>613</v>
      </c>
      <c r="I106" s="3" t="s">
        <v>653</v>
      </c>
      <c r="J106" s="3">
        <v>106</v>
      </c>
      <c r="K106" s="3">
        <v>8.1</v>
      </c>
      <c r="L106" s="3" t="s">
        <v>615</v>
      </c>
    </row>
    <row r="107" spans="1:12" ht="14.5" x14ac:dyDescent="0.35">
      <c r="A107" s="3" t="s">
        <v>26</v>
      </c>
      <c r="B107" s="3" t="s">
        <v>27</v>
      </c>
      <c r="C107" s="4">
        <v>38238</v>
      </c>
      <c r="D107" s="3">
        <v>988422246</v>
      </c>
      <c r="E107" s="3" t="s">
        <v>786</v>
      </c>
      <c r="F107" s="3" t="s">
        <v>611</v>
      </c>
      <c r="G107" s="3" t="s">
        <v>612</v>
      </c>
      <c r="H107" s="3" t="s">
        <v>613</v>
      </c>
      <c r="I107" s="3" t="s">
        <v>614</v>
      </c>
      <c r="J107" s="3">
        <v>124</v>
      </c>
      <c r="K107" s="3">
        <v>7.86</v>
      </c>
      <c r="L107" s="3" t="s">
        <v>623</v>
      </c>
    </row>
    <row r="108" spans="1:12" ht="14.5" x14ac:dyDescent="0.35">
      <c r="A108" s="3" t="s">
        <v>595</v>
      </c>
      <c r="B108" s="3" t="s">
        <v>596</v>
      </c>
      <c r="C108" s="3" t="s">
        <v>729</v>
      </c>
      <c r="D108" s="3">
        <v>782979208</v>
      </c>
      <c r="E108" s="3" t="s">
        <v>787</v>
      </c>
      <c r="F108" s="3" t="s">
        <v>611</v>
      </c>
      <c r="G108" s="3" t="s">
        <v>612</v>
      </c>
      <c r="H108" s="3" t="s">
        <v>613</v>
      </c>
      <c r="I108" s="3" t="s">
        <v>614</v>
      </c>
      <c r="J108" s="3">
        <v>124</v>
      </c>
      <c r="K108" s="3">
        <v>7.95</v>
      </c>
      <c r="L108" s="3" t="s">
        <v>623</v>
      </c>
    </row>
    <row r="109" spans="1:12" ht="14.5" x14ac:dyDescent="0.35">
      <c r="A109" s="3" t="s">
        <v>435</v>
      </c>
      <c r="B109" s="3" t="s">
        <v>436</v>
      </c>
      <c r="C109" s="3" t="s">
        <v>788</v>
      </c>
      <c r="D109" s="3">
        <v>937144363</v>
      </c>
      <c r="E109" s="3" t="s">
        <v>789</v>
      </c>
      <c r="F109" s="3" t="s">
        <v>611</v>
      </c>
      <c r="G109" s="3" t="s">
        <v>612</v>
      </c>
      <c r="H109" s="3" t="s">
        <v>613</v>
      </c>
      <c r="I109" s="3" t="s">
        <v>614</v>
      </c>
      <c r="J109" s="3">
        <v>122</v>
      </c>
      <c r="K109" s="3">
        <v>8.2799999999999994</v>
      </c>
      <c r="L109" s="3" t="s">
        <v>615</v>
      </c>
    </row>
    <row r="110" spans="1:12" ht="14.5" x14ac:dyDescent="0.35">
      <c r="A110" s="3" t="s">
        <v>437</v>
      </c>
      <c r="B110" s="3" t="s">
        <v>438</v>
      </c>
      <c r="C110" s="4">
        <v>38296</v>
      </c>
      <c r="D110" s="3">
        <v>392695611</v>
      </c>
      <c r="E110" s="3" t="s">
        <v>790</v>
      </c>
      <c r="F110" s="3" t="s">
        <v>611</v>
      </c>
      <c r="G110" s="3" t="s">
        <v>612</v>
      </c>
      <c r="H110" s="3" t="s">
        <v>613</v>
      </c>
      <c r="I110" s="3" t="s">
        <v>614</v>
      </c>
      <c r="J110" s="3">
        <v>122</v>
      </c>
      <c r="K110" s="3">
        <v>7.76</v>
      </c>
      <c r="L110" s="3" t="s">
        <v>623</v>
      </c>
    </row>
    <row r="111" spans="1:12" ht="14.5" x14ac:dyDescent="0.35">
      <c r="A111" s="3" t="s">
        <v>374</v>
      </c>
      <c r="B111" s="3" t="s">
        <v>375</v>
      </c>
      <c r="C111" s="3" t="s">
        <v>791</v>
      </c>
      <c r="D111" s="3">
        <v>916419466</v>
      </c>
      <c r="E111" s="3" t="s">
        <v>792</v>
      </c>
      <c r="F111" s="3" t="s">
        <v>611</v>
      </c>
      <c r="G111" s="3" t="s">
        <v>612</v>
      </c>
      <c r="H111" s="3" t="s">
        <v>613</v>
      </c>
      <c r="I111" s="3" t="s">
        <v>653</v>
      </c>
      <c r="J111" s="3">
        <v>110</v>
      </c>
      <c r="K111" s="3">
        <v>6.97</v>
      </c>
      <c r="L111" s="3" t="s">
        <v>676</v>
      </c>
    </row>
    <row r="112" spans="1:12" ht="14.5" x14ac:dyDescent="0.35">
      <c r="A112" s="3" t="s">
        <v>98</v>
      </c>
      <c r="B112" s="3" t="s">
        <v>99</v>
      </c>
      <c r="C112" s="4">
        <v>38292</v>
      </c>
      <c r="D112" s="3">
        <v>374316538</v>
      </c>
      <c r="E112" s="3" t="s">
        <v>793</v>
      </c>
      <c r="F112" s="3" t="s">
        <v>611</v>
      </c>
      <c r="G112" s="3" t="s">
        <v>612</v>
      </c>
      <c r="H112" s="3" t="s">
        <v>613</v>
      </c>
      <c r="I112" s="3" t="s">
        <v>614</v>
      </c>
      <c r="J112" s="3">
        <v>128</v>
      </c>
      <c r="K112" s="3">
        <v>7.55</v>
      </c>
      <c r="L112" s="3" t="s">
        <v>623</v>
      </c>
    </row>
    <row r="113" spans="1:12" ht="14.5" x14ac:dyDescent="0.35">
      <c r="A113" s="3" t="s">
        <v>421</v>
      </c>
      <c r="B113" s="3" t="s">
        <v>422</v>
      </c>
      <c r="C113" s="4">
        <v>38204</v>
      </c>
      <c r="D113" s="3">
        <v>398080083</v>
      </c>
      <c r="E113" s="3" t="s">
        <v>794</v>
      </c>
      <c r="F113" s="3" t="s">
        <v>611</v>
      </c>
      <c r="G113" s="3" t="s">
        <v>612</v>
      </c>
      <c r="H113" s="3" t="s">
        <v>613</v>
      </c>
      <c r="I113" s="3" t="s">
        <v>614</v>
      </c>
      <c r="J113" s="3">
        <v>122</v>
      </c>
      <c r="K113" s="3">
        <v>8.77</v>
      </c>
      <c r="L113" s="3" t="s">
        <v>615</v>
      </c>
    </row>
    <row r="114" spans="1:12" ht="14.5" x14ac:dyDescent="0.35">
      <c r="A114" s="3" t="s">
        <v>510</v>
      </c>
      <c r="B114" s="3" t="s">
        <v>511</v>
      </c>
      <c r="C114" s="4">
        <v>37776</v>
      </c>
      <c r="D114" s="6"/>
      <c r="E114" s="3" t="s">
        <v>795</v>
      </c>
      <c r="F114" s="3" t="s">
        <v>611</v>
      </c>
      <c r="G114" s="3" t="s">
        <v>612</v>
      </c>
      <c r="H114" s="3" t="s">
        <v>613</v>
      </c>
      <c r="I114" s="3" t="s">
        <v>614</v>
      </c>
      <c r="J114" s="3">
        <v>124</v>
      </c>
      <c r="K114" s="3">
        <v>8.49</v>
      </c>
      <c r="L114" s="3" t="s">
        <v>615</v>
      </c>
    </row>
    <row r="115" spans="1:12" ht="14.5" x14ac:dyDescent="0.35">
      <c r="A115" s="3" t="s">
        <v>414</v>
      </c>
      <c r="B115" s="3" t="s">
        <v>415</v>
      </c>
      <c r="C115" s="4">
        <v>38293</v>
      </c>
      <c r="D115" s="3">
        <v>963267026</v>
      </c>
      <c r="E115" s="3" t="s">
        <v>796</v>
      </c>
      <c r="F115" s="3" t="s">
        <v>611</v>
      </c>
      <c r="G115" s="3" t="s">
        <v>612</v>
      </c>
      <c r="H115" s="3" t="s">
        <v>613</v>
      </c>
      <c r="I115" s="3" t="s">
        <v>614</v>
      </c>
      <c r="J115" s="3">
        <v>122</v>
      </c>
      <c r="K115" s="3">
        <v>7.87</v>
      </c>
      <c r="L115" s="3" t="s">
        <v>623</v>
      </c>
    </row>
    <row r="116" spans="1:12" ht="14.5" x14ac:dyDescent="0.35">
      <c r="A116" s="3" t="s">
        <v>396</v>
      </c>
      <c r="B116" s="3" t="s">
        <v>397</v>
      </c>
      <c r="C116" s="4">
        <v>38266</v>
      </c>
      <c r="D116" s="3">
        <v>907743339</v>
      </c>
      <c r="E116" s="3" t="s">
        <v>797</v>
      </c>
      <c r="F116" s="3" t="s">
        <v>611</v>
      </c>
      <c r="G116" s="3" t="s">
        <v>612</v>
      </c>
      <c r="H116" s="3" t="s">
        <v>613</v>
      </c>
      <c r="I116" s="3" t="s">
        <v>614</v>
      </c>
      <c r="J116" s="3">
        <v>122</v>
      </c>
      <c r="K116" s="3">
        <v>7.6</v>
      </c>
      <c r="L116" s="3" t="s">
        <v>623</v>
      </c>
    </row>
    <row r="117" spans="1:12" ht="14.5" x14ac:dyDescent="0.35">
      <c r="A117" s="3" t="s">
        <v>132</v>
      </c>
      <c r="B117" s="3" t="s">
        <v>133</v>
      </c>
      <c r="C117" s="3" t="s">
        <v>798</v>
      </c>
      <c r="D117" s="3">
        <v>2838111947</v>
      </c>
      <c r="E117" s="3" t="s">
        <v>799</v>
      </c>
      <c r="F117" s="3" t="s">
        <v>611</v>
      </c>
      <c r="G117" s="3" t="s">
        <v>612</v>
      </c>
      <c r="H117" s="3" t="s">
        <v>613</v>
      </c>
      <c r="I117" s="3" t="s">
        <v>614</v>
      </c>
      <c r="J117" s="3">
        <v>124</v>
      </c>
      <c r="K117" s="3">
        <v>8.3699999999999992</v>
      </c>
      <c r="L117" s="3" t="s">
        <v>615</v>
      </c>
    </row>
    <row r="118" spans="1:12" ht="14.5" x14ac:dyDescent="0.35">
      <c r="A118" s="3" t="s">
        <v>134</v>
      </c>
      <c r="B118" s="3" t="s">
        <v>135</v>
      </c>
      <c r="C118" s="3" t="s">
        <v>800</v>
      </c>
      <c r="D118" s="3">
        <v>912617467</v>
      </c>
      <c r="E118" s="3" t="s">
        <v>801</v>
      </c>
      <c r="F118" s="3" t="s">
        <v>611</v>
      </c>
      <c r="G118" s="3" t="s">
        <v>612</v>
      </c>
      <c r="H118" s="3" t="s">
        <v>613</v>
      </c>
      <c r="I118" s="3" t="s">
        <v>614</v>
      </c>
      <c r="J118" s="3">
        <v>124</v>
      </c>
      <c r="K118" s="3">
        <v>8.19</v>
      </c>
      <c r="L118" s="3" t="s">
        <v>615</v>
      </c>
    </row>
    <row r="119" spans="1:12" ht="14.5" x14ac:dyDescent="0.35">
      <c r="A119" s="3" t="s">
        <v>184</v>
      </c>
      <c r="B119" s="3" t="s">
        <v>185</v>
      </c>
      <c r="C119" s="4">
        <v>38203</v>
      </c>
      <c r="D119" s="3">
        <v>376095514</v>
      </c>
      <c r="E119" s="3" t="s">
        <v>802</v>
      </c>
      <c r="F119" s="3" t="s">
        <v>611</v>
      </c>
      <c r="G119" s="3" t="s">
        <v>612</v>
      </c>
      <c r="H119" s="3" t="s">
        <v>613</v>
      </c>
      <c r="I119" s="3" t="s">
        <v>653</v>
      </c>
      <c r="J119" s="3">
        <v>124</v>
      </c>
      <c r="K119" s="3">
        <v>7.58</v>
      </c>
      <c r="L119" s="3" t="s">
        <v>623</v>
      </c>
    </row>
    <row r="120" spans="1:12" ht="14.5" x14ac:dyDescent="0.35">
      <c r="A120" s="3" t="s">
        <v>29</v>
      </c>
      <c r="B120" s="3" t="s">
        <v>30</v>
      </c>
      <c r="C120" s="3" t="s">
        <v>803</v>
      </c>
      <c r="D120" s="6"/>
      <c r="E120" s="3" t="s">
        <v>804</v>
      </c>
      <c r="F120" s="3" t="s">
        <v>611</v>
      </c>
      <c r="G120" s="3" t="s">
        <v>612</v>
      </c>
      <c r="H120" s="3" t="s">
        <v>613</v>
      </c>
      <c r="I120" s="3" t="s">
        <v>614</v>
      </c>
      <c r="J120" s="3">
        <v>124</v>
      </c>
      <c r="K120" s="3">
        <v>8.07</v>
      </c>
      <c r="L120" s="3" t="s">
        <v>615</v>
      </c>
    </row>
    <row r="121" spans="1:12" ht="14.5" x14ac:dyDescent="0.35">
      <c r="A121" s="3" t="s">
        <v>31</v>
      </c>
      <c r="B121" s="3" t="s">
        <v>32</v>
      </c>
      <c r="C121" s="4">
        <v>38325</v>
      </c>
      <c r="D121" s="3">
        <v>392855979</v>
      </c>
      <c r="E121" s="3" t="s">
        <v>805</v>
      </c>
      <c r="F121" s="3" t="s">
        <v>611</v>
      </c>
      <c r="G121" s="3" t="s">
        <v>612</v>
      </c>
      <c r="H121" s="3" t="s">
        <v>613</v>
      </c>
      <c r="I121" s="3" t="s">
        <v>614</v>
      </c>
      <c r="J121" s="3">
        <v>124</v>
      </c>
      <c r="K121" s="3">
        <v>8.18</v>
      </c>
      <c r="L121" s="3" t="s">
        <v>615</v>
      </c>
    </row>
    <row r="122" spans="1:12" ht="14.5" x14ac:dyDescent="0.35">
      <c r="A122" s="3" t="s">
        <v>33</v>
      </c>
      <c r="B122" s="3" t="s">
        <v>34</v>
      </c>
      <c r="C122" s="3" t="s">
        <v>806</v>
      </c>
      <c r="D122" s="3">
        <v>339955080</v>
      </c>
      <c r="E122" s="3" t="s">
        <v>807</v>
      </c>
      <c r="F122" s="3" t="s">
        <v>611</v>
      </c>
      <c r="G122" s="3" t="s">
        <v>612</v>
      </c>
      <c r="H122" s="3" t="s">
        <v>613</v>
      </c>
      <c r="I122" s="3" t="s">
        <v>614</v>
      </c>
      <c r="J122" s="3">
        <v>124</v>
      </c>
      <c r="K122" s="3">
        <v>8.0299999999999994</v>
      </c>
      <c r="L122" s="3" t="s">
        <v>615</v>
      </c>
    </row>
    <row r="123" spans="1:12" ht="14.5" x14ac:dyDescent="0.35">
      <c r="A123" s="3" t="s">
        <v>101</v>
      </c>
      <c r="B123" s="3" t="s">
        <v>102</v>
      </c>
      <c r="C123" s="3" t="s">
        <v>808</v>
      </c>
      <c r="D123" s="3">
        <v>797081709</v>
      </c>
      <c r="E123" s="3" t="s">
        <v>809</v>
      </c>
      <c r="F123" s="3" t="s">
        <v>611</v>
      </c>
      <c r="G123" s="3" t="s">
        <v>612</v>
      </c>
      <c r="H123" s="3" t="s">
        <v>613</v>
      </c>
      <c r="I123" s="3" t="s">
        <v>614</v>
      </c>
      <c r="J123" s="3">
        <v>124</v>
      </c>
      <c r="K123" s="3">
        <v>8.17</v>
      </c>
      <c r="L123" s="3" t="s">
        <v>615</v>
      </c>
    </row>
    <row r="124" spans="1:12" ht="14.5" x14ac:dyDescent="0.35">
      <c r="A124" s="3" t="s">
        <v>158</v>
      </c>
      <c r="B124" s="3" t="s">
        <v>159</v>
      </c>
      <c r="C124" s="3" t="s">
        <v>664</v>
      </c>
      <c r="D124" s="3">
        <v>766996499</v>
      </c>
      <c r="E124" s="3" t="s">
        <v>810</v>
      </c>
      <c r="F124" s="3" t="s">
        <v>611</v>
      </c>
      <c r="G124" s="3" t="s">
        <v>612</v>
      </c>
      <c r="H124" s="3" t="s">
        <v>613</v>
      </c>
      <c r="I124" s="3" t="s">
        <v>614</v>
      </c>
      <c r="J124" s="3">
        <v>124</v>
      </c>
      <c r="K124" s="3">
        <v>7.75</v>
      </c>
      <c r="L124" s="3" t="s">
        <v>623</v>
      </c>
    </row>
    <row r="125" spans="1:12" ht="14.5" x14ac:dyDescent="0.35">
      <c r="A125" s="3" t="s">
        <v>478</v>
      </c>
      <c r="B125" s="3" t="s">
        <v>479</v>
      </c>
      <c r="C125" s="4">
        <v>38028</v>
      </c>
      <c r="D125" s="3">
        <v>933790771</v>
      </c>
      <c r="E125" s="3" t="s">
        <v>811</v>
      </c>
      <c r="F125" s="3" t="s">
        <v>611</v>
      </c>
      <c r="G125" s="3" t="s">
        <v>612</v>
      </c>
      <c r="H125" s="3" t="s">
        <v>613</v>
      </c>
      <c r="I125" s="3" t="s">
        <v>614</v>
      </c>
      <c r="J125" s="3">
        <v>122</v>
      </c>
      <c r="K125" s="3">
        <v>7.86</v>
      </c>
      <c r="L125" s="3" t="s">
        <v>623</v>
      </c>
    </row>
    <row r="126" spans="1:12" ht="14.5" x14ac:dyDescent="0.35">
      <c r="A126" s="3" t="s">
        <v>160</v>
      </c>
      <c r="B126" s="3" t="s">
        <v>161</v>
      </c>
      <c r="C126" s="4">
        <v>38179</v>
      </c>
      <c r="D126" s="3">
        <v>978914971</v>
      </c>
      <c r="E126" s="3" t="s">
        <v>812</v>
      </c>
      <c r="F126" s="3" t="s">
        <v>611</v>
      </c>
      <c r="G126" s="3" t="s">
        <v>612</v>
      </c>
      <c r="H126" s="3" t="s">
        <v>613</v>
      </c>
      <c r="I126" s="3" t="s">
        <v>614</v>
      </c>
      <c r="J126" s="3">
        <v>124</v>
      </c>
      <c r="K126" s="3">
        <v>8.56</v>
      </c>
      <c r="L126" s="3" t="s">
        <v>615</v>
      </c>
    </row>
    <row r="127" spans="1:12" ht="14.5" x14ac:dyDescent="0.35">
      <c r="A127" s="3" t="s">
        <v>186</v>
      </c>
      <c r="B127" s="3" t="s">
        <v>187</v>
      </c>
      <c r="C127" s="3" t="s">
        <v>781</v>
      </c>
      <c r="D127" s="3">
        <v>334332285</v>
      </c>
      <c r="E127" s="3" t="s">
        <v>813</v>
      </c>
      <c r="F127" s="3" t="s">
        <v>611</v>
      </c>
      <c r="G127" s="3" t="s">
        <v>612</v>
      </c>
      <c r="H127" s="3" t="s">
        <v>613</v>
      </c>
      <c r="I127" s="3" t="s">
        <v>614</v>
      </c>
      <c r="J127" s="3">
        <v>124</v>
      </c>
      <c r="K127" s="3">
        <v>8.43</v>
      </c>
      <c r="L127" s="3" t="s">
        <v>615</v>
      </c>
    </row>
    <row r="128" spans="1:12" ht="14.5" x14ac:dyDescent="0.35">
      <c r="A128" s="3" t="s">
        <v>103</v>
      </c>
      <c r="B128" s="3" t="s">
        <v>104</v>
      </c>
      <c r="C128" s="4">
        <v>38176</v>
      </c>
      <c r="D128" s="3">
        <v>379917445</v>
      </c>
      <c r="E128" s="3" t="s">
        <v>814</v>
      </c>
      <c r="F128" s="3" t="s">
        <v>611</v>
      </c>
      <c r="G128" s="3" t="s">
        <v>612</v>
      </c>
      <c r="H128" s="3" t="s">
        <v>613</v>
      </c>
      <c r="I128" s="3" t="s">
        <v>614</v>
      </c>
      <c r="J128" s="3">
        <v>124</v>
      </c>
      <c r="K128" s="3">
        <v>7.6</v>
      </c>
      <c r="L128" s="3" t="s">
        <v>623</v>
      </c>
    </row>
    <row r="129" spans="1:12" ht="14.5" x14ac:dyDescent="0.35">
      <c r="A129" s="3" t="s">
        <v>188</v>
      </c>
      <c r="B129" s="3" t="s">
        <v>189</v>
      </c>
      <c r="C129" s="3" t="s">
        <v>815</v>
      </c>
      <c r="D129" s="3">
        <v>813500098</v>
      </c>
      <c r="E129" s="3" t="s">
        <v>816</v>
      </c>
      <c r="F129" s="3" t="s">
        <v>611</v>
      </c>
      <c r="G129" s="3" t="s">
        <v>612</v>
      </c>
      <c r="H129" s="3" t="s">
        <v>613</v>
      </c>
      <c r="I129" s="3" t="s">
        <v>614</v>
      </c>
      <c r="J129" s="3">
        <v>124</v>
      </c>
      <c r="K129" s="3">
        <v>7.68</v>
      </c>
      <c r="L129" s="3" t="s">
        <v>623</v>
      </c>
    </row>
    <row r="130" spans="1:12" ht="14.5" x14ac:dyDescent="0.35">
      <c r="A130" s="3" t="s">
        <v>105</v>
      </c>
      <c r="B130" s="3" t="s">
        <v>106</v>
      </c>
      <c r="C130" s="4">
        <v>38262</v>
      </c>
      <c r="D130" s="3">
        <v>868941769</v>
      </c>
      <c r="E130" s="3" t="s">
        <v>817</v>
      </c>
      <c r="F130" s="3" t="s">
        <v>611</v>
      </c>
      <c r="G130" s="3" t="s">
        <v>612</v>
      </c>
      <c r="H130" s="3" t="s">
        <v>613</v>
      </c>
      <c r="I130" s="3" t="s">
        <v>614</v>
      </c>
      <c r="J130" s="3">
        <v>124</v>
      </c>
      <c r="K130" s="3">
        <v>8.59</v>
      </c>
      <c r="L130" s="3" t="s">
        <v>615</v>
      </c>
    </row>
    <row r="131" spans="1:12" ht="14.5" x14ac:dyDescent="0.35">
      <c r="A131" s="3" t="s">
        <v>107</v>
      </c>
      <c r="B131" s="3" t="s">
        <v>108</v>
      </c>
      <c r="C131" s="3" t="s">
        <v>818</v>
      </c>
      <c r="D131" s="3">
        <v>984748673</v>
      </c>
      <c r="E131" s="3" t="s">
        <v>819</v>
      </c>
      <c r="F131" s="3" t="s">
        <v>611</v>
      </c>
      <c r="G131" s="3" t="s">
        <v>612</v>
      </c>
      <c r="H131" s="3" t="s">
        <v>613</v>
      </c>
      <c r="I131" s="3" t="s">
        <v>653</v>
      </c>
      <c r="J131" s="3">
        <v>119</v>
      </c>
      <c r="K131" s="3">
        <v>6.6</v>
      </c>
      <c r="L131" s="3" t="s">
        <v>676</v>
      </c>
    </row>
    <row r="132" spans="1:12" ht="14.5" x14ac:dyDescent="0.35">
      <c r="A132" s="3" t="s">
        <v>109</v>
      </c>
      <c r="B132" s="3" t="s">
        <v>110</v>
      </c>
      <c r="C132" s="4">
        <v>38118</v>
      </c>
      <c r="D132" s="3">
        <v>933905711</v>
      </c>
      <c r="E132" s="3" t="s">
        <v>820</v>
      </c>
      <c r="F132" s="3" t="s">
        <v>611</v>
      </c>
      <c r="G132" s="3" t="s">
        <v>612</v>
      </c>
      <c r="H132" s="3" t="s">
        <v>613</v>
      </c>
      <c r="I132" s="3" t="s">
        <v>614</v>
      </c>
      <c r="J132" s="3">
        <v>124</v>
      </c>
      <c r="K132" s="3">
        <v>8.33</v>
      </c>
      <c r="L132" s="3" t="s">
        <v>615</v>
      </c>
    </row>
    <row r="133" spans="1:12" ht="14.5" x14ac:dyDescent="0.35">
      <c r="A133" s="3" t="s">
        <v>424</v>
      </c>
      <c r="B133" s="3" t="s">
        <v>425</v>
      </c>
      <c r="C133" s="4">
        <v>37780</v>
      </c>
      <c r="D133" s="3">
        <v>818588088</v>
      </c>
      <c r="E133" s="3" t="s">
        <v>821</v>
      </c>
      <c r="F133" s="3" t="s">
        <v>611</v>
      </c>
      <c r="G133" s="3" t="s">
        <v>612</v>
      </c>
      <c r="H133" s="3" t="s">
        <v>613</v>
      </c>
      <c r="I133" s="3" t="s">
        <v>653</v>
      </c>
      <c r="J133" s="3">
        <v>117</v>
      </c>
      <c r="K133" s="3">
        <v>7.31</v>
      </c>
      <c r="L133" s="3" t="s">
        <v>623</v>
      </c>
    </row>
    <row r="134" spans="1:12" ht="14.5" x14ac:dyDescent="0.35">
      <c r="A134" s="3" t="s">
        <v>554</v>
      </c>
      <c r="B134" s="3" t="s">
        <v>555</v>
      </c>
      <c r="C134" s="3" t="s">
        <v>808</v>
      </c>
      <c r="D134" s="3">
        <v>373758112</v>
      </c>
      <c r="E134" s="3" t="s">
        <v>822</v>
      </c>
      <c r="F134" s="3" t="s">
        <v>611</v>
      </c>
      <c r="G134" s="3" t="s">
        <v>612</v>
      </c>
      <c r="H134" s="3" t="s">
        <v>613</v>
      </c>
      <c r="I134" s="3" t="s">
        <v>653</v>
      </c>
      <c r="J134" s="3">
        <v>119</v>
      </c>
      <c r="K134" s="3">
        <v>7.14</v>
      </c>
      <c r="L134" s="3" t="s">
        <v>623</v>
      </c>
    </row>
    <row r="135" spans="1:12" ht="14.5" x14ac:dyDescent="0.35">
      <c r="A135" s="3" t="s">
        <v>524</v>
      </c>
      <c r="B135" s="3" t="s">
        <v>525</v>
      </c>
      <c r="C135" s="4">
        <v>38179</v>
      </c>
      <c r="D135" s="3">
        <v>353789741</v>
      </c>
      <c r="E135" s="3" t="s">
        <v>823</v>
      </c>
      <c r="F135" s="3" t="s">
        <v>824</v>
      </c>
      <c r="G135" s="3" t="s">
        <v>825</v>
      </c>
      <c r="H135" s="3" t="s">
        <v>613</v>
      </c>
      <c r="I135" s="3" t="s">
        <v>614</v>
      </c>
      <c r="J135" s="3">
        <v>112</v>
      </c>
      <c r="K135" s="3">
        <v>7.33</v>
      </c>
      <c r="L135" s="3" t="s">
        <v>623</v>
      </c>
    </row>
    <row r="136" spans="1:12" ht="14.5" x14ac:dyDescent="0.35">
      <c r="A136" s="3" t="s">
        <v>826</v>
      </c>
      <c r="B136" s="3" t="s">
        <v>827</v>
      </c>
      <c r="C136" s="3" t="s">
        <v>828</v>
      </c>
      <c r="D136" s="3">
        <v>905300264</v>
      </c>
      <c r="E136" s="3" t="s">
        <v>829</v>
      </c>
      <c r="F136" s="3" t="s">
        <v>824</v>
      </c>
      <c r="G136" s="3" t="s">
        <v>825</v>
      </c>
      <c r="H136" s="3" t="s">
        <v>613</v>
      </c>
      <c r="I136" s="3" t="s">
        <v>614</v>
      </c>
      <c r="J136" s="3">
        <v>73</v>
      </c>
      <c r="K136" s="3">
        <v>6.96</v>
      </c>
      <c r="L136" s="3" t="s">
        <v>676</v>
      </c>
    </row>
    <row r="137" spans="1:12" ht="14.5" x14ac:dyDescent="0.35">
      <c r="A137" s="3" t="s">
        <v>568</v>
      </c>
      <c r="B137" s="3" t="s">
        <v>569</v>
      </c>
      <c r="C137" s="3" t="s">
        <v>830</v>
      </c>
      <c r="D137" s="3">
        <v>908907899</v>
      </c>
      <c r="E137" s="3" t="s">
        <v>831</v>
      </c>
      <c r="F137" s="3" t="s">
        <v>824</v>
      </c>
      <c r="G137" s="3" t="s">
        <v>825</v>
      </c>
      <c r="H137" s="3" t="s">
        <v>613</v>
      </c>
      <c r="I137" s="3" t="s">
        <v>614</v>
      </c>
      <c r="J137" s="3">
        <v>112</v>
      </c>
      <c r="K137" s="3">
        <v>7.25</v>
      </c>
      <c r="L137" s="3" t="s">
        <v>623</v>
      </c>
    </row>
    <row r="138" spans="1:12" ht="14.5" x14ac:dyDescent="0.35">
      <c r="A138" s="3" t="s">
        <v>556</v>
      </c>
      <c r="B138" s="3" t="s">
        <v>557</v>
      </c>
      <c r="C138" s="4">
        <v>38328</v>
      </c>
      <c r="D138" s="3">
        <v>918659165</v>
      </c>
      <c r="E138" s="3" t="s">
        <v>832</v>
      </c>
      <c r="F138" s="3" t="s">
        <v>824</v>
      </c>
      <c r="G138" s="3" t="s">
        <v>825</v>
      </c>
      <c r="H138" s="3" t="s">
        <v>613</v>
      </c>
      <c r="I138" s="3" t="s">
        <v>653</v>
      </c>
      <c r="J138" s="3">
        <v>103</v>
      </c>
      <c r="K138" s="3">
        <v>6.77</v>
      </c>
      <c r="L138" s="3" t="s">
        <v>676</v>
      </c>
    </row>
    <row r="139" spans="1:12" ht="14.5" x14ac:dyDescent="0.35">
      <c r="A139" s="3" t="s">
        <v>561</v>
      </c>
      <c r="B139" s="3" t="s">
        <v>562</v>
      </c>
      <c r="C139" s="3" t="s">
        <v>833</v>
      </c>
      <c r="D139" s="3">
        <v>773660497</v>
      </c>
      <c r="E139" s="3" t="s">
        <v>834</v>
      </c>
      <c r="F139" s="3" t="s">
        <v>824</v>
      </c>
      <c r="G139" s="3" t="s">
        <v>825</v>
      </c>
      <c r="H139" s="3" t="s">
        <v>613</v>
      </c>
      <c r="I139" s="3" t="s">
        <v>653</v>
      </c>
      <c r="J139" s="3">
        <v>108</v>
      </c>
      <c r="K139" s="3">
        <v>7.12</v>
      </c>
      <c r="L139" s="3" t="s">
        <v>623</v>
      </c>
    </row>
    <row r="140" spans="1:12" ht="14.5" x14ac:dyDescent="0.35">
      <c r="A140" s="3" t="s">
        <v>546</v>
      </c>
      <c r="B140" s="3" t="s">
        <v>547</v>
      </c>
      <c r="C140" s="5">
        <v>38272</v>
      </c>
      <c r="D140" s="3">
        <v>961843031</v>
      </c>
      <c r="E140" s="3" t="s">
        <v>835</v>
      </c>
      <c r="F140" s="3" t="s">
        <v>824</v>
      </c>
      <c r="G140" s="3" t="s">
        <v>825</v>
      </c>
      <c r="H140" s="3" t="s">
        <v>613</v>
      </c>
      <c r="I140" s="3" t="s">
        <v>614</v>
      </c>
      <c r="J140" s="3">
        <v>114</v>
      </c>
      <c r="K140" s="3">
        <v>8.1</v>
      </c>
      <c r="L140" s="3" t="s">
        <v>615</v>
      </c>
    </row>
    <row r="141" spans="1:12" ht="14.5" x14ac:dyDescent="0.35">
      <c r="A141" s="3" t="s">
        <v>836</v>
      </c>
      <c r="B141" s="3" t="s">
        <v>837</v>
      </c>
      <c r="C141" s="4">
        <v>37926</v>
      </c>
      <c r="D141" s="3">
        <v>865696213</v>
      </c>
      <c r="E141" s="3" t="s">
        <v>838</v>
      </c>
      <c r="F141" s="3" t="s">
        <v>824</v>
      </c>
      <c r="G141" s="3" t="s">
        <v>825</v>
      </c>
      <c r="H141" s="3" t="s">
        <v>613</v>
      </c>
      <c r="I141" s="3" t="s">
        <v>653</v>
      </c>
      <c r="J141" s="3">
        <v>59</v>
      </c>
      <c r="K141" s="3">
        <v>6.41</v>
      </c>
      <c r="L141" s="3" t="s">
        <v>676</v>
      </c>
    </row>
    <row r="142" spans="1:12" ht="14.5" x14ac:dyDescent="0.35">
      <c r="A142" s="3" t="s">
        <v>549</v>
      </c>
      <c r="B142" s="3" t="s">
        <v>550</v>
      </c>
      <c r="C142" s="3" t="s">
        <v>839</v>
      </c>
      <c r="D142" s="3">
        <v>392875509</v>
      </c>
      <c r="E142" s="3" t="s">
        <v>840</v>
      </c>
      <c r="F142" s="3" t="s">
        <v>824</v>
      </c>
      <c r="G142" s="3" t="s">
        <v>825</v>
      </c>
      <c r="H142" s="3" t="s">
        <v>613</v>
      </c>
      <c r="I142" s="3" t="s">
        <v>614</v>
      </c>
      <c r="J142" s="3">
        <v>112</v>
      </c>
      <c r="K142" s="3">
        <v>7.88</v>
      </c>
      <c r="L142" s="3" t="s">
        <v>623</v>
      </c>
    </row>
    <row r="143" spans="1:12" ht="14.5" x14ac:dyDescent="0.35">
      <c r="A143" s="3" t="s">
        <v>558</v>
      </c>
      <c r="B143" s="3" t="s">
        <v>559</v>
      </c>
      <c r="C143" s="4">
        <v>38200</v>
      </c>
      <c r="D143" s="3">
        <v>888586256</v>
      </c>
      <c r="E143" s="3" t="s">
        <v>841</v>
      </c>
      <c r="F143" s="3" t="s">
        <v>824</v>
      </c>
      <c r="G143" s="3" t="s">
        <v>825</v>
      </c>
      <c r="H143" s="3" t="s">
        <v>613</v>
      </c>
      <c r="I143" s="3" t="s">
        <v>614</v>
      </c>
      <c r="J143" s="3">
        <v>112</v>
      </c>
      <c r="K143" s="3">
        <v>7.57</v>
      </c>
      <c r="L143" s="3" t="s">
        <v>623</v>
      </c>
    </row>
    <row r="144" spans="1:12" ht="14.5" x14ac:dyDescent="0.35">
      <c r="A144" s="3" t="s">
        <v>528</v>
      </c>
      <c r="B144" s="3" t="s">
        <v>529</v>
      </c>
      <c r="C144" s="3" t="s">
        <v>670</v>
      </c>
      <c r="D144" s="3">
        <v>707040411</v>
      </c>
      <c r="E144" s="3" t="s">
        <v>842</v>
      </c>
      <c r="F144" s="3" t="s">
        <v>824</v>
      </c>
      <c r="G144" s="3" t="s">
        <v>825</v>
      </c>
      <c r="H144" s="3" t="s">
        <v>613</v>
      </c>
      <c r="I144" s="3" t="s">
        <v>614</v>
      </c>
      <c r="J144" s="3">
        <v>114</v>
      </c>
      <c r="K144" s="3">
        <v>8.34</v>
      </c>
      <c r="L144" s="3" t="s">
        <v>615</v>
      </c>
    </row>
    <row r="145" spans="1:12" ht="14.5" x14ac:dyDescent="0.35">
      <c r="A145" s="3" t="s">
        <v>582</v>
      </c>
      <c r="B145" s="3" t="s">
        <v>583</v>
      </c>
      <c r="C145" s="4">
        <v>38327</v>
      </c>
      <c r="D145" s="3">
        <v>935778348</v>
      </c>
      <c r="E145" s="3" t="s">
        <v>843</v>
      </c>
      <c r="F145" s="3" t="s">
        <v>824</v>
      </c>
      <c r="G145" s="3" t="s">
        <v>825</v>
      </c>
      <c r="H145" s="3" t="s">
        <v>613</v>
      </c>
      <c r="I145" s="3" t="s">
        <v>614</v>
      </c>
      <c r="J145" s="3">
        <v>112</v>
      </c>
      <c r="K145" s="3">
        <v>7.6</v>
      </c>
      <c r="L145" s="3" t="s">
        <v>623</v>
      </c>
    </row>
    <row r="146" spans="1:12" ht="14.5" x14ac:dyDescent="0.35">
      <c r="A146" s="3" t="s">
        <v>564</v>
      </c>
      <c r="B146" s="3" t="s">
        <v>565</v>
      </c>
      <c r="C146" s="4">
        <v>36902</v>
      </c>
      <c r="D146" s="3">
        <v>342474336</v>
      </c>
      <c r="E146" s="3" t="s">
        <v>844</v>
      </c>
      <c r="F146" s="3" t="s">
        <v>824</v>
      </c>
      <c r="G146" s="3" t="s">
        <v>825</v>
      </c>
      <c r="H146" s="3" t="s">
        <v>613</v>
      </c>
      <c r="I146" s="3" t="s">
        <v>653</v>
      </c>
      <c r="J146" s="3">
        <v>114</v>
      </c>
      <c r="K146" s="3">
        <v>6.88</v>
      </c>
      <c r="L146" s="3" t="s">
        <v>676</v>
      </c>
    </row>
    <row r="147" spans="1:12" ht="14.5" x14ac:dyDescent="0.35">
      <c r="A147" s="3" t="s">
        <v>538</v>
      </c>
      <c r="B147" s="3" t="s">
        <v>539</v>
      </c>
      <c r="C147" s="4">
        <v>38232</v>
      </c>
      <c r="D147" s="3">
        <v>943749798</v>
      </c>
      <c r="E147" s="3" t="s">
        <v>845</v>
      </c>
      <c r="F147" s="3" t="s">
        <v>824</v>
      </c>
      <c r="G147" s="3" t="s">
        <v>825</v>
      </c>
      <c r="H147" s="3" t="s">
        <v>613</v>
      </c>
      <c r="I147" s="3" t="s">
        <v>653</v>
      </c>
      <c r="J147" s="3">
        <v>97</v>
      </c>
      <c r="K147" s="3">
        <v>6.24</v>
      </c>
      <c r="L147" s="3" t="s">
        <v>676</v>
      </c>
    </row>
    <row r="148" spans="1:12" ht="14.5" x14ac:dyDescent="0.35">
      <c r="A148" s="3" t="s">
        <v>585</v>
      </c>
      <c r="B148" s="3" t="s">
        <v>586</v>
      </c>
      <c r="C148" s="3" t="s">
        <v>846</v>
      </c>
      <c r="D148" s="3">
        <v>901460543</v>
      </c>
      <c r="E148" s="3" t="s">
        <v>847</v>
      </c>
      <c r="F148" s="3" t="s">
        <v>824</v>
      </c>
      <c r="G148" s="3" t="s">
        <v>825</v>
      </c>
      <c r="H148" s="3" t="s">
        <v>613</v>
      </c>
      <c r="I148" s="3" t="s">
        <v>653</v>
      </c>
      <c r="J148" s="3">
        <v>112</v>
      </c>
      <c r="K148" s="3">
        <v>7.9</v>
      </c>
      <c r="L148" s="3" t="s">
        <v>623</v>
      </c>
    </row>
    <row r="149" spans="1:12" ht="14.5" x14ac:dyDescent="0.35">
      <c r="A149" s="3" t="s">
        <v>567</v>
      </c>
      <c r="B149" s="3" t="s">
        <v>488</v>
      </c>
      <c r="C149" s="4">
        <v>37987</v>
      </c>
      <c r="D149" s="3">
        <v>846392223</v>
      </c>
      <c r="E149" s="3" t="s">
        <v>848</v>
      </c>
      <c r="F149" s="3" t="s">
        <v>824</v>
      </c>
      <c r="G149" s="3" t="s">
        <v>825</v>
      </c>
      <c r="H149" s="3" t="s">
        <v>613</v>
      </c>
      <c r="I149" s="3" t="s">
        <v>614</v>
      </c>
      <c r="J149" s="3">
        <v>112</v>
      </c>
      <c r="K149" s="3">
        <v>7.89</v>
      </c>
      <c r="L149" s="3" t="s">
        <v>623</v>
      </c>
    </row>
    <row r="150" spans="1:12" ht="14.5" x14ac:dyDescent="0.35">
      <c r="A150" s="3" t="s">
        <v>531</v>
      </c>
      <c r="B150" s="3" t="s">
        <v>532</v>
      </c>
      <c r="C150" s="4">
        <v>38145</v>
      </c>
      <c r="D150" s="6"/>
      <c r="E150" s="3" t="s">
        <v>849</v>
      </c>
      <c r="F150" s="3" t="s">
        <v>824</v>
      </c>
      <c r="G150" s="3" t="s">
        <v>825</v>
      </c>
      <c r="H150" s="3" t="s">
        <v>613</v>
      </c>
      <c r="I150" s="3" t="s">
        <v>614</v>
      </c>
      <c r="J150" s="3">
        <v>112</v>
      </c>
      <c r="K150" s="3">
        <v>9.07</v>
      </c>
      <c r="L150" s="3" t="s">
        <v>732</v>
      </c>
    </row>
    <row r="151" spans="1:12" ht="14.5" x14ac:dyDescent="0.35">
      <c r="A151" s="3" t="s">
        <v>534</v>
      </c>
      <c r="B151" s="3" t="s">
        <v>535</v>
      </c>
      <c r="C151" s="3" t="s">
        <v>850</v>
      </c>
      <c r="D151" s="3">
        <v>902620412</v>
      </c>
      <c r="E151" s="3" t="s">
        <v>851</v>
      </c>
      <c r="F151" s="3" t="s">
        <v>824</v>
      </c>
      <c r="G151" s="3" t="s">
        <v>825</v>
      </c>
      <c r="H151" s="3" t="s">
        <v>613</v>
      </c>
      <c r="I151" s="3" t="s">
        <v>614</v>
      </c>
      <c r="J151" s="3">
        <v>112</v>
      </c>
      <c r="K151" s="3">
        <v>8.1300000000000008</v>
      </c>
      <c r="L151" s="3" t="s">
        <v>615</v>
      </c>
    </row>
    <row r="152" spans="1:12" ht="14.5" x14ac:dyDescent="0.35">
      <c r="A152" s="3" t="s">
        <v>571</v>
      </c>
      <c r="B152" s="3" t="s">
        <v>572</v>
      </c>
      <c r="C152" s="4">
        <v>37987</v>
      </c>
      <c r="D152" s="3">
        <v>786290137</v>
      </c>
      <c r="E152" s="3" t="s">
        <v>852</v>
      </c>
      <c r="F152" s="3" t="s">
        <v>824</v>
      </c>
      <c r="G152" s="3" t="s">
        <v>825</v>
      </c>
      <c r="H152" s="3" t="s">
        <v>613</v>
      </c>
      <c r="I152" s="3" t="s">
        <v>614</v>
      </c>
      <c r="J152" s="3">
        <v>109</v>
      </c>
      <c r="K152" s="3">
        <v>7.55</v>
      </c>
      <c r="L152" s="3" t="s">
        <v>623</v>
      </c>
    </row>
    <row r="153" spans="1:12" ht="14.5" x14ac:dyDescent="0.35">
      <c r="A153" s="3" t="s">
        <v>588</v>
      </c>
      <c r="B153" s="3" t="s">
        <v>589</v>
      </c>
      <c r="C153" s="4">
        <v>38082</v>
      </c>
      <c r="D153" s="3">
        <v>913647763</v>
      </c>
      <c r="E153" s="3" t="s">
        <v>853</v>
      </c>
      <c r="F153" s="3" t="s">
        <v>824</v>
      </c>
      <c r="G153" s="3" t="s">
        <v>825</v>
      </c>
      <c r="H153" s="3" t="s">
        <v>613</v>
      </c>
      <c r="I153" s="3" t="s">
        <v>614</v>
      </c>
      <c r="J153" s="3">
        <v>114</v>
      </c>
      <c r="K153" s="3">
        <v>7.3</v>
      </c>
      <c r="L153" s="3" t="s">
        <v>623</v>
      </c>
    </row>
    <row r="154" spans="1:12" ht="14.5" x14ac:dyDescent="0.35">
      <c r="A154" s="3" t="s">
        <v>576</v>
      </c>
      <c r="B154" s="3" t="s">
        <v>577</v>
      </c>
      <c r="C154" s="4">
        <v>38328</v>
      </c>
      <c r="D154" s="3">
        <v>773583348</v>
      </c>
      <c r="E154" s="3" t="s">
        <v>854</v>
      </c>
      <c r="F154" s="3" t="s">
        <v>824</v>
      </c>
      <c r="G154" s="3" t="s">
        <v>825</v>
      </c>
      <c r="H154" s="3" t="s">
        <v>613</v>
      </c>
      <c r="I154" s="3" t="s">
        <v>614</v>
      </c>
      <c r="J154" s="3">
        <v>112</v>
      </c>
      <c r="K154" s="3">
        <v>8.11</v>
      </c>
      <c r="L154" s="3" t="s">
        <v>615</v>
      </c>
    </row>
    <row r="155" spans="1:12" ht="14.5" x14ac:dyDescent="0.35">
      <c r="A155" s="3" t="s">
        <v>591</v>
      </c>
      <c r="B155" s="3" t="s">
        <v>523</v>
      </c>
      <c r="C155" s="3" t="s">
        <v>760</v>
      </c>
      <c r="D155" s="3">
        <v>354927938</v>
      </c>
      <c r="E155" s="3" t="s">
        <v>855</v>
      </c>
      <c r="F155" s="3" t="s">
        <v>824</v>
      </c>
      <c r="G155" s="3" t="s">
        <v>825</v>
      </c>
      <c r="H155" s="3" t="s">
        <v>613</v>
      </c>
      <c r="I155" s="3" t="s">
        <v>614</v>
      </c>
      <c r="J155" s="3">
        <v>112</v>
      </c>
      <c r="K155" s="3">
        <v>8.16</v>
      </c>
      <c r="L155" s="3" t="s">
        <v>615</v>
      </c>
    </row>
    <row r="156" spans="1:12" ht="14.5" x14ac:dyDescent="0.35">
      <c r="A156" s="3" t="s">
        <v>578</v>
      </c>
      <c r="B156" s="3" t="s">
        <v>579</v>
      </c>
      <c r="C156" s="4">
        <v>38085</v>
      </c>
      <c r="D156" s="3">
        <v>779490369</v>
      </c>
      <c r="E156" s="3" t="s">
        <v>856</v>
      </c>
      <c r="F156" s="3" t="s">
        <v>824</v>
      </c>
      <c r="G156" s="3" t="s">
        <v>825</v>
      </c>
      <c r="H156" s="3" t="s">
        <v>613</v>
      </c>
      <c r="I156" s="3" t="s">
        <v>653</v>
      </c>
      <c r="J156" s="3">
        <v>114</v>
      </c>
      <c r="K156" s="3">
        <v>7.02</v>
      </c>
      <c r="L156" s="3" t="s">
        <v>623</v>
      </c>
    </row>
    <row r="157" spans="1:12" ht="14.5" x14ac:dyDescent="0.35">
      <c r="A157" s="3" t="s">
        <v>580</v>
      </c>
      <c r="B157" s="3" t="s">
        <v>581</v>
      </c>
      <c r="C157" s="3" t="s">
        <v>684</v>
      </c>
      <c r="D157" s="3">
        <v>933417386</v>
      </c>
      <c r="E157" s="3" t="s">
        <v>857</v>
      </c>
      <c r="F157" s="3" t="s">
        <v>824</v>
      </c>
      <c r="G157" s="3" t="s">
        <v>825</v>
      </c>
      <c r="H157" s="3" t="s">
        <v>613</v>
      </c>
      <c r="I157" s="3" t="s">
        <v>614</v>
      </c>
      <c r="J157" s="3">
        <v>112</v>
      </c>
      <c r="K157" s="3">
        <v>7.26</v>
      </c>
      <c r="L157" s="3" t="s">
        <v>623</v>
      </c>
    </row>
    <row r="158" spans="1:12" ht="14.5" x14ac:dyDescent="0.35">
      <c r="A158" s="3" t="s">
        <v>540</v>
      </c>
      <c r="B158" s="3" t="s">
        <v>541</v>
      </c>
      <c r="C158" s="4">
        <v>38324</v>
      </c>
      <c r="D158" s="6"/>
      <c r="E158" s="3" t="s">
        <v>858</v>
      </c>
      <c r="F158" s="3" t="s">
        <v>824</v>
      </c>
      <c r="G158" s="3" t="s">
        <v>825</v>
      </c>
      <c r="H158" s="3" t="s">
        <v>613</v>
      </c>
      <c r="I158" s="3" t="s">
        <v>614</v>
      </c>
      <c r="J158" s="3">
        <v>114</v>
      </c>
      <c r="K158" s="3">
        <v>8.33</v>
      </c>
      <c r="L158" s="3" t="s">
        <v>615</v>
      </c>
    </row>
    <row r="159" spans="1:12" ht="14.5" x14ac:dyDescent="0.35">
      <c r="A159" s="3" t="s">
        <v>543</v>
      </c>
      <c r="B159" s="3" t="s">
        <v>544</v>
      </c>
      <c r="C159" s="4">
        <v>37987</v>
      </c>
      <c r="D159" s="3">
        <v>829066064</v>
      </c>
      <c r="E159" s="3" t="s">
        <v>859</v>
      </c>
      <c r="F159" s="3" t="s">
        <v>824</v>
      </c>
      <c r="G159" s="3" t="s">
        <v>825</v>
      </c>
      <c r="H159" s="3" t="s">
        <v>613</v>
      </c>
      <c r="I159" s="3" t="s">
        <v>653</v>
      </c>
      <c r="J159" s="3">
        <v>114</v>
      </c>
      <c r="K159" s="3">
        <v>7.88</v>
      </c>
      <c r="L159" s="3" t="s">
        <v>623</v>
      </c>
    </row>
    <row r="160" spans="1:12" ht="14.5" x14ac:dyDescent="0.35">
      <c r="A160" s="3" t="s">
        <v>551</v>
      </c>
      <c r="B160" s="3" t="s">
        <v>552</v>
      </c>
      <c r="C160" s="3" t="s">
        <v>670</v>
      </c>
      <c r="D160" s="6"/>
      <c r="E160" s="3" t="s">
        <v>860</v>
      </c>
      <c r="F160" s="3" t="s">
        <v>824</v>
      </c>
      <c r="G160" s="3" t="s">
        <v>825</v>
      </c>
      <c r="H160" s="3" t="s">
        <v>613</v>
      </c>
      <c r="I160" s="3" t="s">
        <v>614</v>
      </c>
      <c r="J160" s="3">
        <v>112</v>
      </c>
      <c r="K160" s="3">
        <v>8.1</v>
      </c>
      <c r="L160" s="3" t="s">
        <v>615</v>
      </c>
    </row>
    <row r="161" spans="1:12" ht="14.5" x14ac:dyDescent="0.35">
      <c r="A161" s="3" t="s">
        <v>290</v>
      </c>
      <c r="B161" s="3" t="s">
        <v>291</v>
      </c>
      <c r="C161" s="3" t="s">
        <v>861</v>
      </c>
      <c r="D161" s="6"/>
      <c r="E161" s="3" t="s">
        <v>862</v>
      </c>
      <c r="F161" s="3">
        <v>412</v>
      </c>
      <c r="G161" s="3" t="s">
        <v>617</v>
      </c>
      <c r="H161" s="3" t="s">
        <v>613</v>
      </c>
      <c r="I161" s="3" t="s">
        <v>614</v>
      </c>
      <c r="J161" s="3">
        <v>124</v>
      </c>
      <c r="K161" s="3">
        <v>7.93</v>
      </c>
      <c r="L161" s="3" t="s">
        <v>623</v>
      </c>
    </row>
    <row r="162" spans="1:12" ht="14.5" x14ac:dyDescent="0.35">
      <c r="A162" s="3" t="s">
        <v>292</v>
      </c>
      <c r="B162" s="3" t="s">
        <v>863</v>
      </c>
      <c r="C162" s="4">
        <v>37447</v>
      </c>
      <c r="D162" s="6"/>
      <c r="E162" s="3" t="s">
        <v>864</v>
      </c>
      <c r="F162" s="3">
        <v>412</v>
      </c>
      <c r="G162" s="3" t="s">
        <v>617</v>
      </c>
      <c r="H162" s="3" t="s">
        <v>613</v>
      </c>
      <c r="I162" s="3" t="s">
        <v>614</v>
      </c>
      <c r="J162" s="3">
        <v>121</v>
      </c>
      <c r="K162" s="3">
        <v>6.2</v>
      </c>
      <c r="L162" s="3" t="s">
        <v>676</v>
      </c>
    </row>
    <row r="163" spans="1:12" ht="14.5" x14ac:dyDescent="0.35">
      <c r="A163" s="3" t="s">
        <v>293</v>
      </c>
      <c r="B163" s="3" t="s">
        <v>865</v>
      </c>
      <c r="C163" s="3" t="s">
        <v>866</v>
      </c>
      <c r="D163" s="6"/>
      <c r="E163" s="3" t="s">
        <v>867</v>
      </c>
      <c r="F163" s="3">
        <v>412</v>
      </c>
      <c r="G163" s="3" t="s">
        <v>617</v>
      </c>
      <c r="H163" s="3" t="s">
        <v>613</v>
      </c>
      <c r="I163" s="3" t="s">
        <v>614</v>
      </c>
      <c r="J163" s="3">
        <v>124</v>
      </c>
      <c r="K163" s="3">
        <v>6.27</v>
      </c>
      <c r="L163" s="3" t="s">
        <v>676</v>
      </c>
    </row>
    <row r="164" spans="1:12" ht="14.5" x14ac:dyDescent="0.35">
      <c r="A164" s="3" t="s">
        <v>295</v>
      </c>
      <c r="B164" s="3" t="s">
        <v>296</v>
      </c>
      <c r="C164" s="3" t="s">
        <v>868</v>
      </c>
      <c r="D164" s="6"/>
      <c r="E164" s="3" t="s">
        <v>869</v>
      </c>
      <c r="F164" s="3">
        <v>412</v>
      </c>
      <c r="G164" s="3" t="s">
        <v>617</v>
      </c>
      <c r="H164" s="3" t="s">
        <v>613</v>
      </c>
      <c r="I164" s="3" t="s">
        <v>614</v>
      </c>
      <c r="J164" s="3">
        <v>128</v>
      </c>
      <c r="K164" s="3">
        <v>6.39</v>
      </c>
      <c r="L164" s="3" t="s">
        <v>676</v>
      </c>
    </row>
    <row r="165" spans="1:12" ht="14.5" x14ac:dyDescent="0.35">
      <c r="A165" s="3" t="s">
        <v>59</v>
      </c>
      <c r="B165" s="3" t="s">
        <v>60</v>
      </c>
      <c r="C165" s="3" t="s">
        <v>870</v>
      </c>
      <c r="D165" s="3">
        <v>703139071</v>
      </c>
      <c r="E165" s="3" t="s">
        <v>871</v>
      </c>
      <c r="F165" s="3">
        <v>414</v>
      </c>
      <c r="G165" s="3" t="s">
        <v>872</v>
      </c>
      <c r="H165" s="3" t="s">
        <v>613</v>
      </c>
      <c r="I165" s="3" t="s">
        <v>614</v>
      </c>
      <c r="J165" s="3">
        <v>123</v>
      </c>
      <c r="K165" s="3">
        <v>8.08</v>
      </c>
      <c r="L165" s="3" t="s">
        <v>615</v>
      </c>
    </row>
    <row r="166" spans="1:12" ht="14.5" x14ac:dyDescent="0.35">
      <c r="A166" s="3" t="s">
        <v>75</v>
      </c>
      <c r="B166" s="3" t="s">
        <v>76</v>
      </c>
      <c r="C166" s="3" t="s">
        <v>873</v>
      </c>
      <c r="D166" s="6"/>
      <c r="E166" s="3" t="s">
        <v>874</v>
      </c>
      <c r="F166" s="3">
        <v>414</v>
      </c>
      <c r="G166" s="3" t="s">
        <v>872</v>
      </c>
      <c r="H166" s="3" t="s">
        <v>613</v>
      </c>
      <c r="I166" s="3" t="s">
        <v>653</v>
      </c>
      <c r="J166" s="3">
        <v>123</v>
      </c>
      <c r="K166" s="3">
        <v>7.8</v>
      </c>
      <c r="L166" s="3" t="s">
        <v>623</v>
      </c>
    </row>
    <row r="167" spans="1:12" ht="14.5" x14ac:dyDescent="0.35">
      <c r="A167" s="3" t="s">
        <v>77</v>
      </c>
      <c r="B167" s="3" t="s">
        <v>78</v>
      </c>
      <c r="C167" s="4">
        <v>38147</v>
      </c>
      <c r="D167" s="3">
        <v>908095781</v>
      </c>
      <c r="E167" s="3" t="s">
        <v>875</v>
      </c>
      <c r="F167" s="3">
        <v>414</v>
      </c>
      <c r="G167" s="3" t="s">
        <v>872</v>
      </c>
      <c r="H167" s="3" t="s">
        <v>613</v>
      </c>
      <c r="I167" s="3" t="s">
        <v>653</v>
      </c>
      <c r="J167" s="3">
        <v>117</v>
      </c>
      <c r="K167" s="3">
        <v>7.36</v>
      </c>
      <c r="L167" s="3" t="s">
        <v>623</v>
      </c>
    </row>
    <row r="168" spans="1:12" ht="14.5" x14ac:dyDescent="0.35">
      <c r="A168" s="3" t="s">
        <v>15</v>
      </c>
      <c r="B168" s="3" t="s">
        <v>16</v>
      </c>
      <c r="C168" s="5">
        <v>38332</v>
      </c>
      <c r="D168" s="3">
        <v>352042409</v>
      </c>
      <c r="E168" s="3" t="s">
        <v>876</v>
      </c>
      <c r="F168" s="3">
        <v>414</v>
      </c>
      <c r="G168" s="3" t="s">
        <v>872</v>
      </c>
      <c r="H168" s="3" t="s">
        <v>613</v>
      </c>
      <c r="I168" s="3" t="s">
        <v>653</v>
      </c>
      <c r="J168" s="3">
        <v>123</v>
      </c>
      <c r="K168" s="3">
        <v>7.3</v>
      </c>
      <c r="L168" s="3" t="s">
        <v>623</v>
      </c>
    </row>
    <row r="169" spans="1:12" ht="14.5" x14ac:dyDescent="0.35">
      <c r="A169" s="3" t="s">
        <v>80</v>
      </c>
      <c r="B169" s="3" t="s">
        <v>81</v>
      </c>
      <c r="C169" s="3" t="s">
        <v>870</v>
      </c>
      <c r="D169" s="6"/>
      <c r="E169" s="3" t="s">
        <v>877</v>
      </c>
      <c r="F169" s="3">
        <v>414</v>
      </c>
      <c r="G169" s="3" t="s">
        <v>872</v>
      </c>
      <c r="H169" s="3" t="s">
        <v>613</v>
      </c>
      <c r="I169" s="3" t="s">
        <v>614</v>
      </c>
      <c r="J169" s="3">
        <v>123</v>
      </c>
      <c r="K169" s="3">
        <v>7.93</v>
      </c>
      <c r="L169" s="3" t="s">
        <v>623</v>
      </c>
    </row>
    <row r="170" spans="1:12" ht="14.5" x14ac:dyDescent="0.35">
      <c r="A170" s="3" t="s">
        <v>20</v>
      </c>
      <c r="B170" s="3" t="s">
        <v>21</v>
      </c>
      <c r="C170" s="3" t="s">
        <v>878</v>
      </c>
      <c r="D170" s="3">
        <v>364734132</v>
      </c>
      <c r="E170" s="3" t="s">
        <v>879</v>
      </c>
      <c r="F170" s="3">
        <v>414</v>
      </c>
      <c r="G170" s="3" t="s">
        <v>872</v>
      </c>
      <c r="H170" s="3" t="s">
        <v>613</v>
      </c>
      <c r="I170" s="3" t="s">
        <v>614</v>
      </c>
      <c r="J170" s="3">
        <v>123</v>
      </c>
      <c r="K170" s="3">
        <v>7.48</v>
      </c>
      <c r="L170" s="3" t="s">
        <v>623</v>
      </c>
    </row>
    <row r="171" spans="1:12" ht="14.5" x14ac:dyDescent="0.35">
      <c r="A171" s="3" t="s">
        <v>51</v>
      </c>
      <c r="B171" s="3" t="s">
        <v>52</v>
      </c>
      <c r="C171" s="3" t="s">
        <v>880</v>
      </c>
      <c r="D171" s="3">
        <v>365068334</v>
      </c>
      <c r="E171" s="3" t="s">
        <v>881</v>
      </c>
      <c r="F171" s="3">
        <v>414</v>
      </c>
      <c r="G171" s="3" t="s">
        <v>872</v>
      </c>
      <c r="H171" s="3" t="s">
        <v>613</v>
      </c>
      <c r="I171" s="3" t="s">
        <v>653</v>
      </c>
      <c r="J171" s="3">
        <v>121</v>
      </c>
      <c r="K171" s="3">
        <v>7.58</v>
      </c>
      <c r="L171" s="3" t="s">
        <v>623</v>
      </c>
    </row>
    <row r="172" spans="1:12" ht="14.5" x14ac:dyDescent="0.35">
      <c r="A172" s="3" t="s">
        <v>82</v>
      </c>
      <c r="B172" s="3" t="s">
        <v>83</v>
      </c>
      <c r="C172" s="3" t="s">
        <v>882</v>
      </c>
      <c r="D172" s="3">
        <v>869374505</v>
      </c>
      <c r="E172" s="3" t="s">
        <v>883</v>
      </c>
      <c r="F172" s="3">
        <v>414</v>
      </c>
      <c r="G172" s="3" t="s">
        <v>872</v>
      </c>
      <c r="H172" s="3" t="s">
        <v>613</v>
      </c>
      <c r="I172" s="3" t="s">
        <v>614</v>
      </c>
      <c r="J172" s="3">
        <v>123</v>
      </c>
      <c r="K172" s="3">
        <v>7.69</v>
      </c>
      <c r="L172" s="3" t="s">
        <v>623</v>
      </c>
    </row>
    <row r="173" spans="1:12" ht="14.5" x14ac:dyDescent="0.35">
      <c r="A173" s="3" t="s">
        <v>61</v>
      </c>
      <c r="B173" s="3" t="s">
        <v>62</v>
      </c>
      <c r="C173" s="3" t="s">
        <v>884</v>
      </c>
      <c r="D173" s="3">
        <v>337933214</v>
      </c>
      <c r="E173" s="3" t="s">
        <v>885</v>
      </c>
      <c r="F173" s="3">
        <v>414</v>
      </c>
      <c r="G173" s="3" t="s">
        <v>872</v>
      </c>
      <c r="H173" s="3" t="s">
        <v>613</v>
      </c>
      <c r="I173" s="3" t="s">
        <v>614</v>
      </c>
      <c r="J173" s="3">
        <v>123</v>
      </c>
      <c r="K173" s="3">
        <v>8.25</v>
      </c>
      <c r="L173" s="3" t="s">
        <v>615</v>
      </c>
    </row>
    <row r="174" spans="1:12" ht="14.5" x14ac:dyDescent="0.35">
      <c r="A174" s="3" t="s">
        <v>23</v>
      </c>
      <c r="B174" s="3" t="s">
        <v>24</v>
      </c>
      <c r="C174" s="4">
        <v>37900</v>
      </c>
      <c r="D174" s="3">
        <v>334672302</v>
      </c>
      <c r="E174" s="3" t="s">
        <v>886</v>
      </c>
      <c r="F174" s="3">
        <v>414</v>
      </c>
      <c r="G174" s="3" t="s">
        <v>872</v>
      </c>
      <c r="H174" s="3" t="s">
        <v>613</v>
      </c>
      <c r="I174" s="3" t="s">
        <v>614</v>
      </c>
      <c r="J174" s="3">
        <v>123</v>
      </c>
      <c r="K174" s="3">
        <v>8.19</v>
      </c>
      <c r="L174" s="3" t="s">
        <v>615</v>
      </c>
    </row>
    <row r="175" spans="1:12" ht="14.5" x14ac:dyDescent="0.35">
      <c r="A175" s="3" t="s">
        <v>35</v>
      </c>
      <c r="B175" s="3" t="s">
        <v>36</v>
      </c>
      <c r="C175" s="5">
        <v>38301</v>
      </c>
      <c r="D175" s="3">
        <v>842600468</v>
      </c>
      <c r="E175" s="3" t="s">
        <v>887</v>
      </c>
      <c r="F175" s="3">
        <v>414</v>
      </c>
      <c r="G175" s="3" t="s">
        <v>872</v>
      </c>
      <c r="H175" s="3" t="s">
        <v>613</v>
      </c>
      <c r="I175" s="3" t="s">
        <v>614</v>
      </c>
      <c r="J175" s="3">
        <v>118</v>
      </c>
      <c r="K175" s="3">
        <v>7.66</v>
      </c>
      <c r="L175" s="3" t="s">
        <v>623</v>
      </c>
    </row>
    <row r="176" spans="1:12" ht="14.5" x14ac:dyDescent="0.35">
      <c r="A176" s="3" t="s">
        <v>204</v>
      </c>
      <c r="B176" s="3" t="s">
        <v>205</v>
      </c>
      <c r="C176" s="4">
        <v>38239</v>
      </c>
      <c r="D176" s="3">
        <v>397008802</v>
      </c>
      <c r="E176" s="3" t="s">
        <v>888</v>
      </c>
      <c r="F176" s="3">
        <v>414</v>
      </c>
      <c r="G176" s="3" t="s">
        <v>872</v>
      </c>
      <c r="H176" s="3" t="s">
        <v>613</v>
      </c>
      <c r="I176" s="3" t="s">
        <v>614</v>
      </c>
      <c r="J176" s="3">
        <v>120</v>
      </c>
      <c r="K176" s="3">
        <v>7.76</v>
      </c>
      <c r="L176" s="3" t="s">
        <v>623</v>
      </c>
    </row>
    <row r="177" spans="1:12" ht="14.5" x14ac:dyDescent="0.35">
      <c r="A177" s="3" t="s">
        <v>190</v>
      </c>
      <c r="B177" s="3" t="s">
        <v>191</v>
      </c>
      <c r="C177" s="4">
        <v>38048</v>
      </c>
      <c r="D177" s="6"/>
      <c r="E177" s="3" t="s">
        <v>889</v>
      </c>
      <c r="F177" s="3">
        <v>414</v>
      </c>
      <c r="G177" s="3" t="s">
        <v>872</v>
      </c>
      <c r="H177" s="3" t="s">
        <v>613</v>
      </c>
      <c r="I177" s="3" t="s">
        <v>614</v>
      </c>
      <c r="J177" s="3">
        <v>125</v>
      </c>
      <c r="K177" s="3">
        <v>8.34</v>
      </c>
      <c r="L177" s="3" t="s">
        <v>615</v>
      </c>
    </row>
    <row r="178" spans="1:12" ht="14.5" x14ac:dyDescent="0.35">
      <c r="A178" s="3" t="s">
        <v>207</v>
      </c>
      <c r="B178" s="3" t="s">
        <v>208</v>
      </c>
      <c r="C178" s="3" t="s">
        <v>890</v>
      </c>
      <c r="D178" s="6"/>
      <c r="E178" s="3" t="s">
        <v>891</v>
      </c>
      <c r="F178" s="3">
        <v>414</v>
      </c>
      <c r="G178" s="3" t="s">
        <v>872</v>
      </c>
      <c r="H178" s="3" t="s">
        <v>613</v>
      </c>
      <c r="I178" s="3" t="s">
        <v>614</v>
      </c>
      <c r="J178" s="3">
        <v>125</v>
      </c>
      <c r="K178" s="3">
        <v>7.96</v>
      </c>
      <c r="L178" s="3" t="s">
        <v>623</v>
      </c>
    </row>
    <row r="179" spans="1:12" ht="14.5" x14ac:dyDescent="0.35">
      <c r="A179" s="3" t="s">
        <v>892</v>
      </c>
      <c r="B179" s="3" t="s">
        <v>893</v>
      </c>
      <c r="C179" s="3" t="s">
        <v>894</v>
      </c>
      <c r="D179" s="3">
        <v>584377779</v>
      </c>
      <c r="E179" s="3" t="s">
        <v>895</v>
      </c>
      <c r="F179" s="3">
        <v>414</v>
      </c>
      <c r="G179" s="3" t="s">
        <v>872</v>
      </c>
      <c r="H179" s="3" t="s">
        <v>613</v>
      </c>
      <c r="I179" s="3" t="s">
        <v>653</v>
      </c>
      <c r="J179" s="3">
        <v>92</v>
      </c>
      <c r="K179" s="3">
        <v>7.73</v>
      </c>
      <c r="L179" s="3" t="s">
        <v>623</v>
      </c>
    </row>
    <row r="180" spans="1:12" ht="14.5" x14ac:dyDescent="0.35">
      <c r="A180" s="3" t="s">
        <v>192</v>
      </c>
      <c r="B180" s="3" t="s">
        <v>193</v>
      </c>
      <c r="C180" s="3" t="s">
        <v>896</v>
      </c>
      <c r="D180" s="3">
        <v>962586124</v>
      </c>
      <c r="E180" s="3" t="s">
        <v>897</v>
      </c>
      <c r="F180" s="3">
        <v>414</v>
      </c>
      <c r="G180" s="3" t="s">
        <v>872</v>
      </c>
      <c r="H180" s="3" t="s">
        <v>613</v>
      </c>
      <c r="I180" s="3" t="s">
        <v>614</v>
      </c>
      <c r="J180" s="3">
        <v>123</v>
      </c>
      <c r="K180" s="3">
        <v>8.2200000000000006</v>
      </c>
      <c r="L180" s="3" t="s">
        <v>615</v>
      </c>
    </row>
    <row r="181" spans="1:12" ht="14.5" x14ac:dyDescent="0.35">
      <c r="A181" s="3" t="s">
        <v>210</v>
      </c>
      <c r="B181" s="3" t="s">
        <v>211</v>
      </c>
      <c r="C181" s="3" t="s">
        <v>882</v>
      </c>
      <c r="D181" s="3">
        <v>839279609</v>
      </c>
      <c r="E181" s="3" t="s">
        <v>898</v>
      </c>
      <c r="F181" s="3">
        <v>414</v>
      </c>
      <c r="G181" s="3" t="s">
        <v>872</v>
      </c>
      <c r="H181" s="3" t="s">
        <v>613</v>
      </c>
      <c r="I181" s="3" t="s">
        <v>614</v>
      </c>
      <c r="J181" s="3">
        <v>123</v>
      </c>
      <c r="K181" s="3">
        <v>7.24</v>
      </c>
      <c r="L181" s="3" t="s">
        <v>623</v>
      </c>
    </row>
    <row r="182" spans="1:12" ht="14.5" x14ac:dyDescent="0.35">
      <c r="A182" s="3" t="s">
        <v>38</v>
      </c>
      <c r="B182" s="3" t="s">
        <v>39</v>
      </c>
      <c r="C182" s="4">
        <v>38050</v>
      </c>
      <c r="D182" s="3">
        <v>338718127</v>
      </c>
      <c r="E182" s="3" t="s">
        <v>899</v>
      </c>
      <c r="F182" s="3">
        <v>414</v>
      </c>
      <c r="G182" s="3" t="s">
        <v>872</v>
      </c>
      <c r="H182" s="3" t="s">
        <v>613</v>
      </c>
      <c r="I182" s="3" t="s">
        <v>614</v>
      </c>
      <c r="J182" s="3">
        <v>123</v>
      </c>
      <c r="K182" s="3">
        <v>8.2799999999999994</v>
      </c>
      <c r="L182" s="3" t="s">
        <v>615</v>
      </c>
    </row>
    <row r="183" spans="1:12" ht="14.5" x14ac:dyDescent="0.35">
      <c r="A183" s="3" t="s">
        <v>54</v>
      </c>
      <c r="B183" s="3" t="s">
        <v>55</v>
      </c>
      <c r="C183" s="3" t="s">
        <v>778</v>
      </c>
      <c r="D183" s="3">
        <v>377260738</v>
      </c>
      <c r="E183" s="3" t="s">
        <v>900</v>
      </c>
      <c r="F183" s="3">
        <v>414</v>
      </c>
      <c r="G183" s="3" t="s">
        <v>872</v>
      </c>
      <c r="H183" s="3" t="s">
        <v>613</v>
      </c>
      <c r="I183" s="3" t="s">
        <v>653</v>
      </c>
      <c r="J183" s="3">
        <v>123</v>
      </c>
      <c r="K183" s="3">
        <v>7.96</v>
      </c>
      <c r="L183" s="3" t="s">
        <v>623</v>
      </c>
    </row>
    <row r="184" spans="1:12" ht="14.5" x14ac:dyDescent="0.35">
      <c r="A184" s="3" t="s">
        <v>212</v>
      </c>
      <c r="B184" s="3" t="s">
        <v>213</v>
      </c>
      <c r="C184" s="4">
        <v>38261</v>
      </c>
      <c r="D184" s="3">
        <v>846333129</v>
      </c>
      <c r="E184" s="3" t="s">
        <v>901</v>
      </c>
      <c r="F184" s="3">
        <v>414</v>
      </c>
      <c r="G184" s="3" t="s">
        <v>872</v>
      </c>
      <c r="H184" s="3" t="s">
        <v>613</v>
      </c>
      <c r="I184" s="3" t="s">
        <v>614</v>
      </c>
      <c r="J184" s="3">
        <v>123</v>
      </c>
      <c r="K184" s="3">
        <v>8.58</v>
      </c>
      <c r="L184" s="3" t="s">
        <v>615</v>
      </c>
    </row>
    <row r="185" spans="1:12" ht="14.5" x14ac:dyDescent="0.35">
      <c r="A185" s="3" t="s">
        <v>214</v>
      </c>
      <c r="B185" s="3" t="s">
        <v>215</v>
      </c>
      <c r="C185" s="4">
        <v>38057</v>
      </c>
      <c r="D185" s="3">
        <v>357093416</v>
      </c>
      <c r="E185" s="3" t="s">
        <v>902</v>
      </c>
      <c r="F185" s="3">
        <v>414</v>
      </c>
      <c r="G185" s="3" t="s">
        <v>872</v>
      </c>
      <c r="H185" s="3" t="s">
        <v>613</v>
      </c>
      <c r="I185" s="3" t="s">
        <v>614</v>
      </c>
      <c r="J185" s="3">
        <v>123</v>
      </c>
      <c r="K185" s="3">
        <v>8.76</v>
      </c>
      <c r="L185" s="3" t="s">
        <v>615</v>
      </c>
    </row>
    <row r="186" spans="1:12" ht="14.5" x14ac:dyDescent="0.35">
      <c r="A186" s="3" t="s">
        <v>194</v>
      </c>
      <c r="B186" s="3" t="s">
        <v>195</v>
      </c>
      <c r="C186" s="3" t="s">
        <v>903</v>
      </c>
      <c r="D186" s="3">
        <v>963008142</v>
      </c>
      <c r="E186" s="3" t="s">
        <v>904</v>
      </c>
      <c r="F186" s="3">
        <v>414</v>
      </c>
      <c r="G186" s="3" t="s">
        <v>872</v>
      </c>
      <c r="H186" s="3" t="s">
        <v>613</v>
      </c>
      <c r="I186" s="3" t="s">
        <v>614</v>
      </c>
      <c r="J186" s="3">
        <v>123</v>
      </c>
      <c r="K186" s="3">
        <v>7.79</v>
      </c>
      <c r="L186" s="3" t="s">
        <v>623</v>
      </c>
    </row>
    <row r="187" spans="1:12" ht="14.5" x14ac:dyDescent="0.35">
      <c r="A187" s="3" t="s">
        <v>301</v>
      </c>
      <c r="B187" s="3" t="s">
        <v>905</v>
      </c>
      <c r="C187" s="3" t="s">
        <v>906</v>
      </c>
      <c r="D187" s="6"/>
      <c r="E187" s="3" t="s">
        <v>907</v>
      </c>
      <c r="F187" s="3">
        <v>414</v>
      </c>
      <c r="G187" s="3" t="s">
        <v>872</v>
      </c>
      <c r="H187" s="3" t="s">
        <v>613</v>
      </c>
      <c r="I187" s="3" t="s">
        <v>614</v>
      </c>
      <c r="J187" s="3">
        <v>123</v>
      </c>
      <c r="K187" s="3">
        <v>7.71</v>
      </c>
      <c r="L187" s="3" t="s">
        <v>623</v>
      </c>
    </row>
    <row r="188" spans="1:12" ht="14.5" x14ac:dyDescent="0.35">
      <c r="A188" s="3" t="s">
        <v>120</v>
      </c>
      <c r="B188" s="3" t="s">
        <v>121</v>
      </c>
      <c r="C188" s="4">
        <v>38267</v>
      </c>
      <c r="D188" s="3">
        <v>373730998</v>
      </c>
      <c r="E188" s="3" t="s">
        <v>908</v>
      </c>
      <c r="F188" s="3">
        <v>414</v>
      </c>
      <c r="G188" s="3" t="s">
        <v>872</v>
      </c>
      <c r="H188" s="3" t="s">
        <v>613</v>
      </c>
      <c r="I188" s="3" t="s">
        <v>614</v>
      </c>
      <c r="J188" s="3">
        <v>123</v>
      </c>
      <c r="K188" s="3">
        <v>8.23</v>
      </c>
      <c r="L188" s="3" t="s">
        <v>615</v>
      </c>
    </row>
    <row r="189" spans="1:12" ht="14.5" x14ac:dyDescent="0.35">
      <c r="A189" s="3" t="s">
        <v>197</v>
      </c>
      <c r="B189" s="3" t="s">
        <v>198</v>
      </c>
      <c r="C189" s="3" t="s">
        <v>909</v>
      </c>
      <c r="D189" s="3">
        <v>394986395</v>
      </c>
      <c r="E189" s="3" t="s">
        <v>910</v>
      </c>
      <c r="F189" s="3">
        <v>414</v>
      </c>
      <c r="G189" s="3" t="s">
        <v>872</v>
      </c>
      <c r="H189" s="3" t="s">
        <v>613</v>
      </c>
      <c r="I189" s="3" t="s">
        <v>653</v>
      </c>
      <c r="J189" s="3">
        <v>123</v>
      </c>
      <c r="K189" s="3">
        <v>8.58</v>
      </c>
      <c r="L189" s="3" t="s">
        <v>615</v>
      </c>
    </row>
    <row r="190" spans="1:12" ht="14.5" x14ac:dyDescent="0.35">
      <c r="A190" s="3" t="s">
        <v>358</v>
      </c>
      <c r="B190" s="3" t="s">
        <v>359</v>
      </c>
      <c r="C190" s="4">
        <v>38055</v>
      </c>
      <c r="D190" s="3">
        <v>969569635</v>
      </c>
      <c r="E190" s="3" t="s">
        <v>911</v>
      </c>
      <c r="F190" s="3">
        <v>414</v>
      </c>
      <c r="G190" s="3" t="s">
        <v>872</v>
      </c>
      <c r="H190" s="3" t="s">
        <v>613</v>
      </c>
      <c r="I190" s="3" t="s">
        <v>614</v>
      </c>
      <c r="J190" s="3">
        <v>123</v>
      </c>
      <c r="K190" s="3">
        <v>8.34</v>
      </c>
      <c r="L190" s="3" t="s">
        <v>615</v>
      </c>
    </row>
    <row r="191" spans="1:12" ht="14.5" x14ac:dyDescent="0.35">
      <c r="A191" s="3" t="s">
        <v>200</v>
      </c>
      <c r="B191" s="3" t="s">
        <v>201</v>
      </c>
      <c r="C191" s="3" t="s">
        <v>629</v>
      </c>
      <c r="D191" s="3">
        <v>762646455</v>
      </c>
      <c r="E191" s="3" t="s">
        <v>912</v>
      </c>
      <c r="F191" s="3">
        <v>414</v>
      </c>
      <c r="G191" s="3" t="s">
        <v>872</v>
      </c>
      <c r="H191" s="3" t="s">
        <v>613</v>
      </c>
      <c r="I191" s="3" t="s">
        <v>614</v>
      </c>
      <c r="J191" s="3">
        <v>123</v>
      </c>
      <c r="K191" s="3">
        <v>7.92</v>
      </c>
      <c r="L191" s="3" t="s">
        <v>623</v>
      </c>
    </row>
    <row r="192" spans="1:12" ht="14.5" x14ac:dyDescent="0.35">
      <c r="A192" s="3" t="s">
        <v>123</v>
      </c>
      <c r="B192" s="3" t="s">
        <v>124</v>
      </c>
      <c r="C192" s="3" t="s">
        <v>609</v>
      </c>
      <c r="D192" s="3">
        <v>903806436</v>
      </c>
      <c r="E192" s="3" t="s">
        <v>913</v>
      </c>
      <c r="F192" s="3">
        <v>414</v>
      </c>
      <c r="G192" s="3" t="s">
        <v>872</v>
      </c>
      <c r="H192" s="3" t="s">
        <v>613</v>
      </c>
      <c r="I192" s="3" t="s">
        <v>614</v>
      </c>
      <c r="J192" s="3">
        <v>123</v>
      </c>
      <c r="K192" s="3">
        <v>8.02</v>
      </c>
      <c r="L192" s="3" t="s">
        <v>615</v>
      </c>
    </row>
    <row r="193" spans="1:12" ht="14.5" x14ac:dyDescent="0.35">
      <c r="A193" s="3" t="s">
        <v>136</v>
      </c>
      <c r="B193" s="3" t="s">
        <v>137</v>
      </c>
      <c r="C193" s="4">
        <v>38297</v>
      </c>
      <c r="D193" s="3">
        <v>378080079</v>
      </c>
      <c r="E193" s="3" t="s">
        <v>914</v>
      </c>
      <c r="F193" s="3">
        <v>414</v>
      </c>
      <c r="G193" s="3" t="s">
        <v>872</v>
      </c>
      <c r="H193" s="3" t="s">
        <v>613</v>
      </c>
      <c r="I193" s="3" t="s">
        <v>614</v>
      </c>
      <c r="J193" s="3">
        <v>123</v>
      </c>
      <c r="K193" s="3">
        <v>7.71</v>
      </c>
      <c r="L193" s="3" t="s">
        <v>623</v>
      </c>
    </row>
    <row r="194" spans="1:12" ht="14.5" x14ac:dyDescent="0.35">
      <c r="A194" s="3" t="s">
        <v>242</v>
      </c>
      <c r="B194" s="3" t="s">
        <v>915</v>
      </c>
      <c r="C194" s="3" t="s">
        <v>916</v>
      </c>
      <c r="D194" s="3">
        <v>896652031</v>
      </c>
      <c r="E194" s="3" t="s">
        <v>917</v>
      </c>
      <c r="F194" s="3">
        <v>414</v>
      </c>
      <c r="G194" s="3" t="s">
        <v>872</v>
      </c>
      <c r="H194" s="3" t="s">
        <v>613</v>
      </c>
      <c r="I194" s="3" t="s">
        <v>614</v>
      </c>
      <c r="J194" s="3">
        <v>123</v>
      </c>
      <c r="K194" s="3">
        <v>8</v>
      </c>
      <c r="L194" s="3" t="s">
        <v>615</v>
      </c>
    </row>
    <row r="195" spans="1:12" ht="14.5" x14ac:dyDescent="0.35">
      <c r="A195" s="3" t="s">
        <v>918</v>
      </c>
      <c r="B195" s="3" t="s">
        <v>919</v>
      </c>
      <c r="C195" s="4">
        <v>37873</v>
      </c>
      <c r="D195" s="3">
        <v>909362003</v>
      </c>
      <c r="E195" s="3" t="s">
        <v>920</v>
      </c>
      <c r="F195" s="3">
        <v>414</v>
      </c>
      <c r="G195" s="3" t="s">
        <v>872</v>
      </c>
      <c r="H195" s="3" t="s">
        <v>921</v>
      </c>
      <c r="I195" s="3" t="s">
        <v>653</v>
      </c>
      <c r="J195" s="3">
        <v>63</v>
      </c>
      <c r="K195" s="3">
        <v>8.27</v>
      </c>
      <c r="L195" s="3" t="s">
        <v>615</v>
      </c>
    </row>
    <row r="196" spans="1:12" ht="14.5" x14ac:dyDescent="0.35">
      <c r="A196" s="3" t="s">
        <v>360</v>
      </c>
      <c r="B196" s="3" t="s">
        <v>922</v>
      </c>
      <c r="C196" s="3" t="s">
        <v>923</v>
      </c>
      <c r="D196" s="3">
        <v>385187748</v>
      </c>
      <c r="E196" s="3" t="s">
        <v>924</v>
      </c>
      <c r="F196" s="3">
        <v>414</v>
      </c>
      <c r="G196" s="3" t="s">
        <v>872</v>
      </c>
      <c r="H196" s="3" t="s">
        <v>613</v>
      </c>
      <c r="I196" s="3" t="s">
        <v>614</v>
      </c>
      <c r="J196" s="3">
        <v>123</v>
      </c>
      <c r="K196" s="3">
        <v>8.6</v>
      </c>
      <c r="L196" s="3" t="s">
        <v>615</v>
      </c>
    </row>
    <row r="197" spans="1:12" ht="14.5" x14ac:dyDescent="0.35">
      <c r="A197" s="3" t="s">
        <v>244</v>
      </c>
      <c r="B197" s="3" t="s">
        <v>245</v>
      </c>
      <c r="C197" s="3" t="s">
        <v>925</v>
      </c>
      <c r="D197" s="3">
        <v>942814341</v>
      </c>
      <c r="E197" s="3" t="s">
        <v>926</v>
      </c>
      <c r="F197" s="3">
        <v>414</v>
      </c>
      <c r="G197" s="3" t="s">
        <v>872</v>
      </c>
      <c r="H197" s="3" t="s">
        <v>613</v>
      </c>
      <c r="I197" s="3" t="s">
        <v>614</v>
      </c>
      <c r="J197" s="3">
        <v>123</v>
      </c>
      <c r="K197" s="3">
        <v>8.42</v>
      </c>
      <c r="L197" s="3" t="s">
        <v>615</v>
      </c>
    </row>
    <row r="198" spans="1:12" ht="14.5" x14ac:dyDescent="0.35">
      <c r="A198" s="3" t="s">
        <v>246</v>
      </c>
      <c r="B198" s="3" t="s">
        <v>247</v>
      </c>
      <c r="C198" s="3" t="s">
        <v>927</v>
      </c>
      <c r="D198" s="3">
        <v>937812385</v>
      </c>
      <c r="E198" s="3" t="s">
        <v>928</v>
      </c>
      <c r="F198" s="3">
        <v>414</v>
      </c>
      <c r="G198" s="3" t="s">
        <v>872</v>
      </c>
      <c r="H198" s="3" t="s">
        <v>613</v>
      </c>
      <c r="I198" s="3" t="s">
        <v>614</v>
      </c>
      <c r="J198" s="3">
        <v>123</v>
      </c>
      <c r="K198" s="3">
        <v>7.85</v>
      </c>
      <c r="L198" s="3" t="s">
        <v>623</v>
      </c>
    </row>
    <row r="199" spans="1:12" ht="14.5" x14ac:dyDescent="0.35">
      <c r="A199" s="3" t="s">
        <v>362</v>
      </c>
      <c r="B199" s="3" t="s">
        <v>363</v>
      </c>
      <c r="C199" s="3" t="s">
        <v>929</v>
      </c>
      <c r="D199" s="3">
        <v>869216298</v>
      </c>
      <c r="E199" s="3" t="s">
        <v>930</v>
      </c>
      <c r="F199" s="3">
        <v>414</v>
      </c>
      <c r="G199" s="3" t="s">
        <v>872</v>
      </c>
      <c r="H199" s="3" t="s">
        <v>613</v>
      </c>
      <c r="I199" s="3" t="s">
        <v>653</v>
      </c>
      <c r="J199" s="3">
        <v>123</v>
      </c>
      <c r="K199" s="3">
        <v>7.71</v>
      </c>
      <c r="L199" s="3" t="s">
        <v>623</v>
      </c>
    </row>
    <row r="200" spans="1:12" ht="14.5" x14ac:dyDescent="0.35">
      <c r="A200" s="3" t="s">
        <v>139</v>
      </c>
      <c r="B200" s="3" t="s">
        <v>140</v>
      </c>
      <c r="C200" s="3" t="s">
        <v>896</v>
      </c>
      <c r="D200" s="6"/>
      <c r="E200" s="3" t="s">
        <v>931</v>
      </c>
      <c r="F200" s="3">
        <v>414</v>
      </c>
      <c r="G200" s="3" t="s">
        <v>872</v>
      </c>
      <c r="H200" s="3" t="s">
        <v>613</v>
      </c>
      <c r="I200" s="3" t="s">
        <v>614</v>
      </c>
      <c r="J200" s="3">
        <v>123</v>
      </c>
      <c r="K200" s="3">
        <v>8.2100000000000009</v>
      </c>
      <c r="L200" s="3" t="s">
        <v>615</v>
      </c>
    </row>
    <row r="201" spans="1:12" ht="14.5" x14ac:dyDescent="0.35">
      <c r="A201" s="3" t="s">
        <v>141</v>
      </c>
      <c r="B201" s="3" t="s">
        <v>142</v>
      </c>
      <c r="C201" s="4">
        <v>38299</v>
      </c>
      <c r="D201" s="3">
        <v>968402362</v>
      </c>
      <c r="E201" s="3" t="s">
        <v>932</v>
      </c>
      <c r="F201" s="3">
        <v>414</v>
      </c>
      <c r="G201" s="3" t="s">
        <v>872</v>
      </c>
      <c r="H201" s="3" t="s">
        <v>613</v>
      </c>
      <c r="I201" s="3" t="s">
        <v>614</v>
      </c>
      <c r="J201" s="3">
        <v>123</v>
      </c>
      <c r="K201" s="3">
        <v>8.09</v>
      </c>
      <c r="L201" s="3" t="s">
        <v>615</v>
      </c>
    </row>
    <row r="202" spans="1:12" ht="14.5" x14ac:dyDescent="0.35">
      <c r="A202" s="3" t="s">
        <v>248</v>
      </c>
      <c r="B202" s="3" t="s">
        <v>249</v>
      </c>
      <c r="C202" s="3" t="s">
        <v>695</v>
      </c>
      <c r="D202" s="3">
        <v>908732800</v>
      </c>
      <c r="E202" s="3" t="s">
        <v>933</v>
      </c>
      <c r="F202" s="3">
        <v>414</v>
      </c>
      <c r="G202" s="3" t="s">
        <v>872</v>
      </c>
      <c r="H202" s="3" t="s">
        <v>613</v>
      </c>
      <c r="I202" s="3" t="s">
        <v>614</v>
      </c>
      <c r="J202" s="3">
        <v>123</v>
      </c>
      <c r="K202" s="3">
        <v>8.25</v>
      </c>
      <c r="L202" s="3" t="s">
        <v>615</v>
      </c>
    </row>
    <row r="203" spans="1:12" ht="14.5" x14ac:dyDescent="0.35">
      <c r="A203" s="3" t="s">
        <v>84</v>
      </c>
      <c r="B203" s="3" t="s">
        <v>85</v>
      </c>
      <c r="C203" s="4">
        <v>38142</v>
      </c>
      <c r="D203" s="3">
        <v>794211591</v>
      </c>
      <c r="E203" s="3" t="s">
        <v>934</v>
      </c>
      <c r="F203" s="3">
        <v>414</v>
      </c>
      <c r="G203" s="3" t="s">
        <v>872</v>
      </c>
      <c r="H203" s="3" t="s">
        <v>613</v>
      </c>
      <c r="I203" s="3" t="s">
        <v>614</v>
      </c>
      <c r="J203" s="3">
        <v>123</v>
      </c>
      <c r="K203" s="3">
        <v>7.48</v>
      </c>
      <c r="L203" s="3" t="s">
        <v>623</v>
      </c>
    </row>
    <row r="204" spans="1:12" ht="14.5" x14ac:dyDescent="0.35">
      <c r="A204" s="3" t="s">
        <v>935</v>
      </c>
      <c r="B204" s="3" t="s">
        <v>936</v>
      </c>
      <c r="C204" s="3" t="s">
        <v>740</v>
      </c>
      <c r="D204" s="3">
        <v>769577101</v>
      </c>
      <c r="E204" s="3" t="s">
        <v>937</v>
      </c>
      <c r="F204" s="3">
        <v>414</v>
      </c>
      <c r="G204" s="3" t="s">
        <v>872</v>
      </c>
      <c r="H204" s="3" t="s">
        <v>921</v>
      </c>
      <c r="I204" s="3" t="s">
        <v>653</v>
      </c>
      <c r="J204" s="3">
        <v>23</v>
      </c>
      <c r="K204" s="3">
        <v>6.74</v>
      </c>
      <c r="L204" s="3" t="s">
        <v>676</v>
      </c>
    </row>
    <row r="205" spans="1:12" ht="14.5" x14ac:dyDescent="0.35">
      <c r="A205" s="3" t="s">
        <v>299</v>
      </c>
      <c r="B205" s="3" t="s">
        <v>300</v>
      </c>
      <c r="C205" s="4">
        <v>38171</v>
      </c>
      <c r="D205" s="3">
        <v>961390152</v>
      </c>
      <c r="E205" s="3" t="s">
        <v>938</v>
      </c>
      <c r="F205" s="3">
        <v>414</v>
      </c>
      <c r="G205" s="3" t="s">
        <v>872</v>
      </c>
      <c r="H205" s="3" t="s">
        <v>613</v>
      </c>
      <c r="I205" s="3" t="s">
        <v>614</v>
      </c>
      <c r="J205" s="3">
        <v>123</v>
      </c>
      <c r="K205" s="3">
        <v>7.86</v>
      </c>
      <c r="L205" s="3" t="s">
        <v>623</v>
      </c>
    </row>
    <row r="206" spans="1:12" ht="14.5" x14ac:dyDescent="0.35">
      <c r="A206" s="3" t="s">
        <v>378</v>
      </c>
      <c r="B206" s="3" t="s">
        <v>379</v>
      </c>
      <c r="C206" s="3" t="s">
        <v>939</v>
      </c>
      <c r="D206" s="3">
        <v>912194736</v>
      </c>
      <c r="E206" s="3" t="s">
        <v>940</v>
      </c>
      <c r="F206" s="3">
        <v>414</v>
      </c>
      <c r="G206" s="3" t="s">
        <v>872</v>
      </c>
      <c r="H206" s="3" t="s">
        <v>613</v>
      </c>
      <c r="I206" s="3" t="s">
        <v>653</v>
      </c>
      <c r="J206" s="3">
        <v>123</v>
      </c>
      <c r="K206" s="3">
        <v>8.5299999999999994</v>
      </c>
      <c r="L206" s="3" t="s">
        <v>615</v>
      </c>
    </row>
    <row r="207" spans="1:12" ht="14.5" x14ac:dyDescent="0.35">
      <c r="A207" s="3" t="s">
        <v>941</v>
      </c>
      <c r="B207" s="3" t="s">
        <v>942</v>
      </c>
      <c r="C207" s="3" t="s">
        <v>943</v>
      </c>
      <c r="D207" s="3">
        <v>902603499</v>
      </c>
      <c r="E207" s="3" t="s">
        <v>944</v>
      </c>
      <c r="F207" s="3">
        <v>414</v>
      </c>
      <c r="G207" s="3" t="s">
        <v>872</v>
      </c>
      <c r="H207" s="3" t="s">
        <v>613</v>
      </c>
      <c r="I207" s="3" t="s">
        <v>614</v>
      </c>
      <c r="J207" s="3">
        <v>101</v>
      </c>
      <c r="K207" s="3">
        <v>7.6</v>
      </c>
      <c r="L207" s="3" t="s">
        <v>623</v>
      </c>
    </row>
    <row r="208" spans="1:12" ht="14.5" x14ac:dyDescent="0.35">
      <c r="A208" s="3" t="s">
        <v>945</v>
      </c>
      <c r="B208" s="3" t="s">
        <v>946</v>
      </c>
      <c r="C208" s="3" t="s">
        <v>947</v>
      </c>
      <c r="D208" s="3">
        <v>941857317</v>
      </c>
      <c r="E208" s="3" t="s">
        <v>948</v>
      </c>
      <c r="F208" s="3">
        <v>414</v>
      </c>
      <c r="G208" s="3" t="s">
        <v>872</v>
      </c>
      <c r="H208" s="3" t="s">
        <v>613</v>
      </c>
      <c r="I208" s="3" t="s">
        <v>614</v>
      </c>
      <c r="J208" s="3">
        <v>94</v>
      </c>
      <c r="K208" s="3">
        <v>6.79</v>
      </c>
      <c r="L208" s="3" t="s">
        <v>676</v>
      </c>
    </row>
    <row r="209" spans="1:12" ht="14.5" x14ac:dyDescent="0.35">
      <c r="A209" s="3" t="s">
        <v>381</v>
      </c>
      <c r="B209" s="3" t="s">
        <v>382</v>
      </c>
      <c r="C209" s="3" t="s">
        <v>927</v>
      </c>
      <c r="D209" s="3">
        <v>789681105</v>
      </c>
      <c r="E209" s="3" t="s">
        <v>949</v>
      </c>
      <c r="F209" s="3">
        <v>414</v>
      </c>
      <c r="G209" s="3" t="s">
        <v>872</v>
      </c>
      <c r="H209" s="3" t="s">
        <v>613</v>
      </c>
      <c r="I209" s="3" t="s">
        <v>614</v>
      </c>
      <c r="J209" s="3">
        <v>123</v>
      </c>
      <c r="K209" s="3">
        <v>7.46</v>
      </c>
      <c r="L209" s="3" t="s">
        <v>623</v>
      </c>
    </row>
    <row r="210" spans="1:12" ht="14.5" x14ac:dyDescent="0.35">
      <c r="A210" s="3" t="s">
        <v>297</v>
      </c>
      <c r="B210" s="3" t="s">
        <v>298</v>
      </c>
      <c r="C210" s="3" t="s">
        <v>950</v>
      </c>
      <c r="D210" s="3">
        <v>589412110</v>
      </c>
      <c r="E210" s="3" t="s">
        <v>951</v>
      </c>
      <c r="F210" s="3">
        <v>414</v>
      </c>
      <c r="G210" s="3" t="s">
        <v>872</v>
      </c>
      <c r="H210" s="3" t="s">
        <v>613</v>
      </c>
      <c r="I210" s="3" t="s">
        <v>653</v>
      </c>
      <c r="J210" s="3">
        <v>123</v>
      </c>
      <c r="K210" s="3">
        <v>7.87</v>
      </c>
      <c r="L210" s="3" t="s">
        <v>623</v>
      </c>
    </row>
    <row r="211" spans="1:12" ht="14.5" x14ac:dyDescent="0.35">
      <c r="A211" s="3" t="s">
        <v>427</v>
      </c>
      <c r="B211" s="3" t="s">
        <v>428</v>
      </c>
      <c r="C211" s="4">
        <v>38242</v>
      </c>
      <c r="D211" s="3">
        <v>933526114</v>
      </c>
      <c r="E211" s="3" t="s">
        <v>952</v>
      </c>
      <c r="F211" s="3">
        <v>414</v>
      </c>
      <c r="G211" s="3" t="s">
        <v>872</v>
      </c>
      <c r="H211" s="3" t="s">
        <v>613</v>
      </c>
      <c r="I211" s="3" t="s">
        <v>614</v>
      </c>
      <c r="J211" s="3">
        <v>123</v>
      </c>
      <c r="K211" s="3">
        <v>8.0500000000000007</v>
      </c>
      <c r="L211" s="3" t="s">
        <v>615</v>
      </c>
    </row>
    <row r="212" spans="1:12" ht="14.5" x14ac:dyDescent="0.35">
      <c r="A212" s="3" t="s">
        <v>367</v>
      </c>
      <c r="B212" s="3" t="s">
        <v>368</v>
      </c>
      <c r="C212" s="3" t="s">
        <v>953</v>
      </c>
      <c r="D212" s="3">
        <v>816554972</v>
      </c>
      <c r="E212" s="3" t="s">
        <v>954</v>
      </c>
      <c r="F212" s="3">
        <v>414</v>
      </c>
      <c r="G212" s="3" t="s">
        <v>872</v>
      </c>
      <c r="H212" s="3" t="s">
        <v>613</v>
      </c>
      <c r="I212" s="3" t="s">
        <v>653</v>
      </c>
      <c r="J212" s="3">
        <v>91</v>
      </c>
      <c r="K212" s="3">
        <v>7.13</v>
      </c>
      <c r="L212" s="3" t="s">
        <v>623</v>
      </c>
    </row>
    <row r="213" spans="1:12" ht="14.5" x14ac:dyDescent="0.35">
      <c r="A213" s="3" t="s">
        <v>384</v>
      </c>
      <c r="B213" s="3" t="s">
        <v>385</v>
      </c>
      <c r="C213" s="4">
        <v>38235</v>
      </c>
      <c r="D213" s="3">
        <v>782793850</v>
      </c>
      <c r="E213" s="3" t="s">
        <v>955</v>
      </c>
      <c r="F213" s="3">
        <v>414</v>
      </c>
      <c r="G213" s="3" t="s">
        <v>872</v>
      </c>
      <c r="H213" s="3" t="s">
        <v>613</v>
      </c>
      <c r="I213" s="3" t="s">
        <v>653</v>
      </c>
      <c r="J213" s="3">
        <v>123</v>
      </c>
      <c r="K213" s="3">
        <v>7.72</v>
      </c>
      <c r="L213" s="3" t="s">
        <v>623</v>
      </c>
    </row>
    <row r="214" spans="1:12" ht="14.5" x14ac:dyDescent="0.35">
      <c r="A214" s="3" t="s">
        <v>386</v>
      </c>
      <c r="B214" s="3" t="s">
        <v>387</v>
      </c>
      <c r="C214" s="3" t="s">
        <v>956</v>
      </c>
      <c r="D214" s="3">
        <v>915250854</v>
      </c>
      <c r="E214" s="3" t="s">
        <v>957</v>
      </c>
      <c r="F214" s="3">
        <v>414</v>
      </c>
      <c r="G214" s="3" t="s">
        <v>872</v>
      </c>
      <c r="H214" s="3" t="s">
        <v>613</v>
      </c>
      <c r="I214" s="3" t="s">
        <v>614</v>
      </c>
      <c r="J214" s="3">
        <v>123</v>
      </c>
      <c r="K214" s="3">
        <v>7.81</v>
      </c>
      <c r="L214" s="3" t="s">
        <v>623</v>
      </c>
    </row>
    <row r="215" spans="1:12" ht="14.5" x14ac:dyDescent="0.35">
      <c r="A215" s="3" t="s">
        <v>958</v>
      </c>
      <c r="B215" s="3" t="s">
        <v>959</v>
      </c>
      <c r="C215" s="3" t="s">
        <v>960</v>
      </c>
      <c r="D215" s="3">
        <v>374905400</v>
      </c>
      <c r="E215" s="3" t="s">
        <v>961</v>
      </c>
      <c r="F215" s="3">
        <v>414</v>
      </c>
      <c r="G215" s="3" t="s">
        <v>872</v>
      </c>
      <c r="H215" s="3" t="s">
        <v>613</v>
      </c>
      <c r="I215" s="3" t="s">
        <v>614</v>
      </c>
      <c r="J215" s="3">
        <v>36</v>
      </c>
      <c r="K215" s="3">
        <v>6.86</v>
      </c>
      <c r="L215" s="3" t="s">
        <v>676</v>
      </c>
    </row>
    <row r="216" spans="1:12" ht="14.5" x14ac:dyDescent="0.35">
      <c r="A216" s="3" t="s">
        <v>56</v>
      </c>
      <c r="B216" s="3" t="s">
        <v>57</v>
      </c>
      <c r="C216" s="4">
        <v>37595</v>
      </c>
      <c r="D216" s="3">
        <v>394061044</v>
      </c>
      <c r="E216" s="3" t="s">
        <v>962</v>
      </c>
      <c r="F216" s="3">
        <v>414</v>
      </c>
      <c r="G216" s="3" t="s">
        <v>872</v>
      </c>
      <c r="H216" s="3" t="s">
        <v>613</v>
      </c>
      <c r="I216" s="3" t="s">
        <v>653</v>
      </c>
      <c r="J216" s="3">
        <v>123</v>
      </c>
      <c r="K216" s="3">
        <v>7.6</v>
      </c>
      <c r="L216" s="3" t="s">
        <v>623</v>
      </c>
    </row>
    <row r="217" spans="1:12" ht="14.5" x14ac:dyDescent="0.35">
      <c r="A217" s="3" t="s">
        <v>429</v>
      </c>
      <c r="B217" s="3" t="s">
        <v>430</v>
      </c>
      <c r="C217" s="3" t="s">
        <v>963</v>
      </c>
      <c r="D217" s="3">
        <v>867869844</v>
      </c>
      <c r="E217" s="3" t="s">
        <v>964</v>
      </c>
      <c r="F217" s="3">
        <v>414</v>
      </c>
      <c r="G217" s="3" t="s">
        <v>872</v>
      </c>
      <c r="H217" s="3" t="s">
        <v>613</v>
      </c>
      <c r="I217" s="3" t="s">
        <v>614</v>
      </c>
      <c r="J217" s="3">
        <v>123</v>
      </c>
      <c r="K217" s="3">
        <v>8.01</v>
      </c>
      <c r="L217" s="3" t="s">
        <v>615</v>
      </c>
    </row>
    <row r="218" spans="1:12" ht="14.5" x14ac:dyDescent="0.35">
      <c r="A218" s="3" t="s">
        <v>388</v>
      </c>
      <c r="B218" s="3" t="s">
        <v>389</v>
      </c>
      <c r="C218" s="3" t="s">
        <v>965</v>
      </c>
      <c r="D218" s="3">
        <v>983617470</v>
      </c>
      <c r="E218" s="3" t="s">
        <v>966</v>
      </c>
      <c r="F218" s="3">
        <v>414</v>
      </c>
      <c r="G218" s="3" t="s">
        <v>872</v>
      </c>
      <c r="H218" s="3" t="s">
        <v>613</v>
      </c>
      <c r="I218" s="3" t="s">
        <v>614</v>
      </c>
      <c r="J218" s="3">
        <v>123</v>
      </c>
      <c r="K218" s="3">
        <v>7.59</v>
      </c>
      <c r="L218" s="3" t="s">
        <v>623</v>
      </c>
    </row>
    <row r="219" spans="1:12" ht="14.5" x14ac:dyDescent="0.35">
      <c r="A219" s="3" t="s">
        <v>370</v>
      </c>
      <c r="B219" s="3" t="s">
        <v>371</v>
      </c>
      <c r="C219" s="3" t="s">
        <v>967</v>
      </c>
      <c r="D219" s="6"/>
      <c r="E219" s="3" t="s">
        <v>968</v>
      </c>
      <c r="F219" s="3">
        <v>414</v>
      </c>
      <c r="G219" s="3" t="s">
        <v>872</v>
      </c>
      <c r="H219" s="3" t="s">
        <v>613</v>
      </c>
      <c r="I219" s="3" t="s">
        <v>614</v>
      </c>
      <c r="J219" s="3">
        <v>123</v>
      </c>
      <c r="K219" s="3">
        <v>8.17</v>
      </c>
      <c r="L219" s="3" t="s">
        <v>615</v>
      </c>
    </row>
    <row r="220" spans="1:12" ht="14.5" x14ac:dyDescent="0.35">
      <c r="A220" s="3" t="s">
        <v>372</v>
      </c>
      <c r="B220" s="3" t="s">
        <v>373</v>
      </c>
      <c r="C220" s="4">
        <v>37987</v>
      </c>
      <c r="D220" s="3">
        <v>393309117</v>
      </c>
      <c r="E220" s="3" t="s">
        <v>969</v>
      </c>
      <c r="F220" s="3">
        <v>414</v>
      </c>
      <c r="G220" s="3" t="s">
        <v>872</v>
      </c>
      <c r="H220" s="3" t="s">
        <v>613</v>
      </c>
      <c r="I220" s="3" t="s">
        <v>614</v>
      </c>
      <c r="J220" s="3">
        <v>123</v>
      </c>
      <c r="K220" s="3">
        <v>8.2100000000000009</v>
      </c>
      <c r="L220" s="3" t="s">
        <v>615</v>
      </c>
    </row>
    <row r="221" spans="1:12" ht="14.5" x14ac:dyDescent="0.35">
      <c r="A221" s="3" t="s">
        <v>87</v>
      </c>
      <c r="B221" s="3" t="s">
        <v>88</v>
      </c>
      <c r="C221" s="3" t="s">
        <v>970</v>
      </c>
      <c r="D221" s="3">
        <v>379795762</v>
      </c>
      <c r="E221" s="3" t="s">
        <v>971</v>
      </c>
      <c r="F221" s="3">
        <v>414</v>
      </c>
      <c r="G221" s="3" t="s">
        <v>872</v>
      </c>
      <c r="H221" s="3" t="s">
        <v>613</v>
      </c>
      <c r="I221" s="3" t="s">
        <v>614</v>
      </c>
      <c r="J221" s="3">
        <v>123</v>
      </c>
      <c r="K221" s="3">
        <v>8.2200000000000006</v>
      </c>
      <c r="L221" s="3" t="s">
        <v>615</v>
      </c>
    </row>
    <row r="222" spans="1:12" ht="14.5" x14ac:dyDescent="0.35">
      <c r="A222" s="3" t="s">
        <v>116</v>
      </c>
      <c r="B222" s="3" t="s">
        <v>117</v>
      </c>
      <c r="C222" s="3" t="s">
        <v>972</v>
      </c>
      <c r="D222" s="3">
        <v>937939581</v>
      </c>
      <c r="E222" s="3" t="s">
        <v>973</v>
      </c>
      <c r="F222" s="3">
        <v>414</v>
      </c>
      <c r="G222" s="3" t="s">
        <v>872</v>
      </c>
      <c r="H222" s="3" t="s">
        <v>613</v>
      </c>
      <c r="I222" s="3" t="s">
        <v>614</v>
      </c>
      <c r="J222" s="3">
        <v>123</v>
      </c>
      <c r="K222" s="3">
        <v>8.58</v>
      </c>
      <c r="L222" s="3" t="s">
        <v>615</v>
      </c>
    </row>
    <row r="223" spans="1:12" ht="14.5" x14ac:dyDescent="0.35">
      <c r="A223" s="3" t="s">
        <v>47</v>
      </c>
      <c r="B223" s="3" t="s">
        <v>48</v>
      </c>
      <c r="C223" s="4">
        <v>38205</v>
      </c>
      <c r="D223" s="3">
        <v>349095278</v>
      </c>
      <c r="E223" s="3" t="s">
        <v>974</v>
      </c>
      <c r="F223" s="3" t="s">
        <v>975</v>
      </c>
      <c r="G223" s="3" t="s">
        <v>976</v>
      </c>
      <c r="H223" s="3" t="s">
        <v>613</v>
      </c>
      <c r="I223" s="3" t="s">
        <v>614</v>
      </c>
      <c r="J223" s="3">
        <v>123</v>
      </c>
      <c r="K223" s="3">
        <v>7.51</v>
      </c>
      <c r="L223" s="3" t="s">
        <v>623</v>
      </c>
    </row>
    <row r="224" spans="1:12" ht="14.5" x14ac:dyDescent="0.35">
      <c r="A224" s="3" t="s">
        <v>96</v>
      </c>
      <c r="B224" s="3" t="s">
        <v>97</v>
      </c>
      <c r="C224" s="3" t="s">
        <v>977</v>
      </c>
      <c r="D224" s="3">
        <v>868160204</v>
      </c>
      <c r="E224" s="3" t="s">
        <v>978</v>
      </c>
      <c r="F224" s="3" t="s">
        <v>975</v>
      </c>
      <c r="G224" s="3" t="s">
        <v>976</v>
      </c>
      <c r="H224" s="3" t="s">
        <v>613</v>
      </c>
      <c r="I224" s="3" t="s">
        <v>614</v>
      </c>
      <c r="J224" s="3">
        <v>123</v>
      </c>
      <c r="K224" s="3">
        <v>8.73</v>
      </c>
      <c r="L224" s="3" t="s">
        <v>615</v>
      </c>
    </row>
    <row r="225" spans="1:12" ht="14.5" x14ac:dyDescent="0.35">
      <c r="A225" s="3" t="s">
        <v>40</v>
      </c>
      <c r="B225" s="3" t="s">
        <v>41</v>
      </c>
      <c r="C225" s="3" t="s">
        <v>979</v>
      </c>
      <c r="D225" s="3">
        <v>935837785</v>
      </c>
      <c r="E225" s="3" t="s">
        <v>980</v>
      </c>
      <c r="F225" s="3" t="s">
        <v>975</v>
      </c>
      <c r="G225" s="3" t="s">
        <v>976</v>
      </c>
      <c r="H225" s="3" t="s">
        <v>613</v>
      </c>
      <c r="I225" s="3" t="s">
        <v>653</v>
      </c>
      <c r="J225" s="3">
        <v>120</v>
      </c>
      <c r="K225" s="3">
        <v>7.19</v>
      </c>
      <c r="L225" s="3" t="s">
        <v>623</v>
      </c>
    </row>
    <row r="226" spans="1:12" ht="14.5" x14ac:dyDescent="0.35">
      <c r="A226" s="3" t="s">
        <v>4</v>
      </c>
      <c r="B226" s="3" t="s">
        <v>5</v>
      </c>
      <c r="C226" s="4">
        <v>37997</v>
      </c>
      <c r="D226" s="3">
        <v>942900359</v>
      </c>
      <c r="E226" s="3" t="s">
        <v>981</v>
      </c>
      <c r="F226" s="3" t="s">
        <v>975</v>
      </c>
      <c r="G226" s="3" t="s">
        <v>976</v>
      </c>
      <c r="H226" s="3" t="s">
        <v>613</v>
      </c>
      <c r="I226" s="3" t="s">
        <v>653</v>
      </c>
      <c r="J226" s="3">
        <v>121</v>
      </c>
      <c r="K226" s="3">
        <v>8.25</v>
      </c>
      <c r="L226" s="3" t="s">
        <v>615</v>
      </c>
    </row>
    <row r="227" spans="1:12" ht="14.5" x14ac:dyDescent="0.35">
      <c r="A227" s="3" t="s">
        <v>118</v>
      </c>
      <c r="B227" s="3" t="s">
        <v>119</v>
      </c>
      <c r="C227" s="4">
        <v>37686</v>
      </c>
      <c r="D227" s="3">
        <v>347120512</v>
      </c>
      <c r="E227" s="3" t="s">
        <v>982</v>
      </c>
      <c r="F227" s="3" t="s">
        <v>975</v>
      </c>
      <c r="G227" s="3" t="s">
        <v>976</v>
      </c>
      <c r="H227" s="3" t="s">
        <v>613</v>
      </c>
      <c r="I227" s="3" t="s">
        <v>653</v>
      </c>
      <c r="J227" s="3">
        <v>119</v>
      </c>
      <c r="K227" s="3">
        <v>7.49</v>
      </c>
      <c r="L227" s="3" t="s">
        <v>623</v>
      </c>
    </row>
    <row r="228" spans="1:12" ht="14.5" x14ac:dyDescent="0.35">
      <c r="A228" s="3" t="s">
        <v>63</v>
      </c>
      <c r="B228" s="3" t="s">
        <v>64</v>
      </c>
      <c r="C228" s="3" t="s">
        <v>906</v>
      </c>
      <c r="D228" s="3">
        <v>878835304</v>
      </c>
      <c r="E228" s="3" t="s">
        <v>983</v>
      </c>
      <c r="F228" s="3" t="s">
        <v>975</v>
      </c>
      <c r="G228" s="3" t="s">
        <v>976</v>
      </c>
      <c r="H228" s="3" t="s">
        <v>613</v>
      </c>
      <c r="I228" s="3" t="s">
        <v>614</v>
      </c>
      <c r="J228" s="3">
        <v>123</v>
      </c>
      <c r="K228" s="3">
        <v>8.09</v>
      </c>
      <c r="L228" s="3" t="s">
        <v>615</v>
      </c>
    </row>
    <row r="229" spans="1:12" ht="14.5" x14ac:dyDescent="0.35">
      <c r="A229" s="3" t="s">
        <v>216</v>
      </c>
      <c r="B229" s="3" t="s">
        <v>217</v>
      </c>
      <c r="C229" s="3" t="s">
        <v>939</v>
      </c>
      <c r="D229" s="3">
        <v>933198598</v>
      </c>
      <c r="E229" s="3" t="s">
        <v>984</v>
      </c>
      <c r="F229" s="3" t="s">
        <v>975</v>
      </c>
      <c r="G229" s="3" t="s">
        <v>976</v>
      </c>
      <c r="H229" s="3" t="s">
        <v>613</v>
      </c>
      <c r="I229" s="3" t="s">
        <v>614</v>
      </c>
      <c r="J229" s="3">
        <v>110</v>
      </c>
      <c r="K229" s="3">
        <v>7.01</v>
      </c>
      <c r="L229" s="3" t="s">
        <v>623</v>
      </c>
    </row>
    <row r="230" spans="1:12" ht="14.5" x14ac:dyDescent="0.35">
      <c r="A230" s="3" t="s">
        <v>236</v>
      </c>
      <c r="B230" s="3" t="s">
        <v>237</v>
      </c>
      <c r="C230" s="3" t="s">
        <v>985</v>
      </c>
      <c r="D230" s="6"/>
      <c r="E230" s="3" t="s">
        <v>986</v>
      </c>
      <c r="F230" s="3" t="s">
        <v>975</v>
      </c>
      <c r="G230" s="3" t="s">
        <v>976</v>
      </c>
      <c r="H230" s="3" t="s">
        <v>613</v>
      </c>
      <c r="I230" s="3" t="s">
        <v>614</v>
      </c>
      <c r="J230" s="3">
        <v>123</v>
      </c>
      <c r="K230" s="3">
        <v>8.4</v>
      </c>
      <c r="L230" s="3" t="s">
        <v>615</v>
      </c>
    </row>
    <row r="231" spans="1:12" ht="14.5" x14ac:dyDescent="0.35">
      <c r="A231" s="3" t="s">
        <v>239</v>
      </c>
      <c r="B231" s="3" t="s">
        <v>240</v>
      </c>
      <c r="C231" s="4">
        <v>38057</v>
      </c>
      <c r="D231" s="6"/>
      <c r="E231" s="3" t="s">
        <v>987</v>
      </c>
      <c r="F231" s="3" t="s">
        <v>975</v>
      </c>
      <c r="G231" s="3" t="s">
        <v>976</v>
      </c>
      <c r="H231" s="3" t="s">
        <v>613</v>
      </c>
      <c r="I231" s="3" t="s">
        <v>614</v>
      </c>
      <c r="J231" s="3">
        <v>123</v>
      </c>
      <c r="K231" s="3">
        <v>8.51</v>
      </c>
      <c r="L231" s="3" t="s">
        <v>615</v>
      </c>
    </row>
    <row r="232" spans="1:12" ht="14.5" x14ac:dyDescent="0.35">
      <c r="A232" s="3" t="s">
        <v>536</v>
      </c>
      <c r="B232" s="3" t="s">
        <v>537</v>
      </c>
      <c r="C232" s="5">
        <v>38302</v>
      </c>
      <c r="D232" s="3">
        <v>961397040</v>
      </c>
      <c r="E232" s="3" t="s">
        <v>988</v>
      </c>
      <c r="F232" s="3" t="s">
        <v>975</v>
      </c>
      <c r="G232" s="3" t="s">
        <v>976</v>
      </c>
      <c r="H232" s="3" t="s">
        <v>613</v>
      </c>
      <c r="I232" s="3" t="s">
        <v>614</v>
      </c>
      <c r="J232" s="3">
        <v>114</v>
      </c>
      <c r="K232" s="3">
        <v>7.22</v>
      </c>
      <c r="L232" s="3" t="s">
        <v>623</v>
      </c>
    </row>
    <row r="233" spans="1:12" ht="14.5" x14ac:dyDescent="0.35">
      <c r="A233" s="3" t="s">
        <v>162</v>
      </c>
      <c r="B233" s="3" t="s">
        <v>163</v>
      </c>
      <c r="C233" s="3" t="s">
        <v>989</v>
      </c>
      <c r="D233" s="6"/>
      <c r="E233" s="3" t="s">
        <v>990</v>
      </c>
      <c r="F233" s="3" t="s">
        <v>975</v>
      </c>
      <c r="G233" s="3" t="s">
        <v>976</v>
      </c>
      <c r="H233" s="3" t="s">
        <v>613</v>
      </c>
      <c r="I233" s="3" t="s">
        <v>614</v>
      </c>
      <c r="J233" s="3">
        <v>123</v>
      </c>
      <c r="K233" s="3">
        <v>7.8</v>
      </c>
      <c r="L233" s="3" t="s">
        <v>623</v>
      </c>
    </row>
    <row r="234" spans="1:12" ht="14.5" x14ac:dyDescent="0.35">
      <c r="A234" s="3" t="s">
        <v>202</v>
      </c>
      <c r="B234" s="3" t="s">
        <v>203</v>
      </c>
      <c r="C234" s="3" t="s">
        <v>657</v>
      </c>
      <c r="D234" s="3">
        <v>368300736</v>
      </c>
      <c r="E234" s="3" t="s">
        <v>991</v>
      </c>
      <c r="F234" s="3" t="s">
        <v>975</v>
      </c>
      <c r="G234" s="3" t="s">
        <v>976</v>
      </c>
      <c r="H234" s="3" t="s">
        <v>613</v>
      </c>
      <c r="I234" s="3" t="s">
        <v>653</v>
      </c>
      <c r="J234" s="3">
        <v>123</v>
      </c>
      <c r="K234" s="3">
        <v>7.57</v>
      </c>
      <c r="L234" s="3" t="s">
        <v>623</v>
      </c>
    </row>
    <row r="235" spans="1:12" ht="14.5" x14ac:dyDescent="0.35">
      <c r="A235" s="3" t="s">
        <v>89</v>
      </c>
      <c r="B235" s="3" t="s">
        <v>90</v>
      </c>
      <c r="C235" s="3" t="s">
        <v>992</v>
      </c>
      <c r="D235" s="6"/>
      <c r="E235" s="3" t="s">
        <v>993</v>
      </c>
      <c r="F235" s="3" t="s">
        <v>975</v>
      </c>
      <c r="G235" s="3" t="s">
        <v>976</v>
      </c>
      <c r="H235" s="3" t="s">
        <v>613</v>
      </c>
      <c r="I235" s="3" t="s">
        <v>614</v>
      </c>
      <c r="J235" s="3">
        <v>123</v>
      </c>
      <c r="K235" s="3">
        <v>8.51</v>
      </c>
      <c r="L235" s="3" t="s">
        <v>615</v>
      </c>
    </row>
    <row r="236" spans="1:12" ht="14.5" x14ac:dyDescent="0.35">
      <c r="A236" s="3" t="s">
        <v>91</v>
      </c>
      <c r="B236" s="3" t="s">
        <v>92</v>
      </c>
      <c r="C236" s="3" t="s">
        <v>994</v>
      </c>
      <c r="D236" s="3">
        <v>399884721</v>
      </c>
      <c r="E236" s="3" t="s">
        <v>995</v>
      </c>
      <c r="F236" s="3" t="s">
        <v>975</v>
      </c>
      <c r="G236" s="3" t="s">
        <v>976</v>
      </c>
      <c r="H236" s="3" t="s">
        <v>613</v>
      </c>
      <c r="I236" s="3" t="s">
        <v>614</v>
      </c>
      <c r="J236" s="3">
        <v>123</v>
      </c>
      <c r="K236" s="3">
        <v>7.64</v>
      </c>
      <c r="L236" s="3" t="s">
        <v>623</v>
      </c>
    </row>
    <row r="237" spans="1:12" ht="14.5" x14ac:dyDescent="0.35">
      <c r="A237" s="3" t="s">
        <v>111</v>
      </c>
      <c r="B237" s="3" t="s">
        <v>996</v>
      </c>
      <c r="C237" s="3" t="s">
        <v>758</v>
      </c>
      <c r="D237" s="3">
        <v>818239100</v>
      </c>
      <c r="E237" s="3" t="s">
        <v>997</v>
      </c>
      <c r="F237" s="3" t="s">
        <v>975</v>
      </c>
      <c r="G237" s="3" t="s">
        <v>976</v>
      </c>
      <c r="H237" s="3" t="s">
        <v>613</v>
      </c>
      <c r="I237" s="3" t="s">
        <v>614</v>
      </c>
      <c r="J237" s="3">
        <v>123</v>
      </c>
      <c r="K237" s="3">
        <v>8.02</v>
      </c>
      <c r="L237" s="3" t="s">
        <v>615</v>
      </c>
    </row>
    <row r="238" spans="1:12" ht="14.5" x14ac:dyDescent="0.35">
      <c r="A238" s="3" t="s">
        <v>94</v>
      </c>
      <c r="B238" s="3" t="s">
        <v>998</v>
      </c>
      <c r="C238" s="5">
        <v>38301</v>
      </c>
      <c r="D238" s="3">
        <v>828551004</v>
      </c>
      <c r="E238" s="3" t="s">
        <v>999</v>
      </c>
      <c r="F238" s="3" t="s">
        <v>975</v>
      </c>
      <c r="G238" s="3" t="s">
        <v>976</v>
      </c>
      <c r="H238" s="3" t="s">
        <v>613</v>
      </c>
      <c r="I238" s="3" t="s">
        <v>614</v>
      </c>
      <c r="J238" s="3">
        <v>123</v>
      </c>
      <c r="K238" s="3">
        <v>8.08</v>
      </c>
      <c r="L238" s="3" t="s">
        <v>615</v>
      </c>
    </row>
    <row r="239" spans="1:12" ht="14.5" x14ac:dyDescent="0.35">
      <c r="A239" s="3" t="s">
        <v>222</v>
      </c>
      <c r="B239" s="3" t="s">
        <v>223</v>
      </c>
      <c r="C239" s="3" t="s">
        <v>972</v>
      </c>
      <c r="D239" s="3">
        <v>902943692</v>
      </c>
      <c r="E239" s="3" t="s">
        <v>1000</v>
      </c>
      <c r="F239" s="3" t="s">
        <v>975</v>
      </c>
      <c r="G239" s="3" t="s">
        <v>976</v>
      </c>
      <c r="H239" s="3" t="s">
        <v>613</v>
      </c>
      <c r="I239" s="3" t="s">
        <v>653</v>
      </c>
      <c r="J239" s="3">
        <v>123</v>
      </c>
      <c r="K239" s="3">
        <v>7.36</v>
      </c>
      <c r="L239" s="3" t="s">
        <v>623</v>
      </c>
    </row>
    <row r="240" spans="1:12" ht="14.5" x14ac:dyDescent="0.35">
      <c r="A240" s="3" t="s">
        <v>165</v>
      </c>
      <c r="B240" s="3" t="s">
        <v>166</v>
      </c>
      <c r="C240" s="4">
        <v>38177</v>
      </c>
      <c r="D240" s="3">
        <v>797367864</v>
      </c>
      <c r="E240" s="3" t="s">
        <v>1001</v>
      </c>
      <c r="F240" s="3" t="s">
        <v>975</v>
      </c>
      <c r="G240" s="3" t="s">
        <v>976</v>
      </c>
      <c r="H240" s="3" t="s">
        <v>613</v>
      </c>
      <c r="I240" s="3" t="s">
        <v>614</v>
      </c>
      <c r="J240" s="3">
        <v>123</v>
      </c>
      <c r="K240" s="3">
        <v>8.36</v>
      </c>
      <c r="L240" s="3" t="s">
        <v>615</v>
      </c>
    </row>
    <row r="241" spans="1:12" ht="14.5" x14ac:dyDescent="0.35">
      <c r="A241" s="3" t="s">
        <v>43</v>
      </c>
      <c r="B241" s="3" t="s">
        <v>44</v>
      </c>
      <c r="C241" s="3" t="s">
        <v>808</v>
      </c>
      <c r="D241" s="3">
        <v>335394616</v>
      </c>
      <c r="E241" s="3" t="s">
        <v>1002</v>
      </c>
      <c r="F241" s="3" t="s">
        <v>975</v>
      </c>
      <c r="G241" s="3" t="s">
        <v>976</v>
      </c>
      <c r="H241" s="3" t="s">
        <v>613</v>
      </c>
      <c r="I241" s="3" t="s">
        <v>614</v>
      </c>
      <c r="J241" s="3">
        <v>123</v>
      </c>
      <c r="K241" s="3">
        <v>8.1999999999999993</v>
      </c>
      <c r="L241" s="3" t="s">
        <v>615</v>
      </c>
    </row>
    <row r="242" spans="1:12" ht="14.5" x14ac:dyDescent="0.35">
      <c r="A242" s="3" t="s">
        <v>225</v>
      </c>
      <c r="B242" s="3" t="s">
        <v>226</v>
      </c>
      <c r="C242" s="4">
        <v>38029</v>
      </c>
      <c r="D242" s="3">
        <v>354642408</v>
      </c>
      <c r="E242" s="3" t="s">
        <v>1003</v>
      </c>
      <c r="F242" s="3" t="s">
        <v>975</v>
      </c>
      <c r="G242" s="3" t="s">
        <v>976</v>
      </c>
      <c r="H242" s="3" t="s">
        <v>613</v>
      </c>
      <c r="I242" s="3" t="s">
        <v>614</v>
      </c>
      <c r="J242" s="3">
        <v>111</v>
      </c>
      <c r="K242" s="3">
        <v>6.76</v>
      </c>
      <c r="L242" s="3" t="s">
        <v>676</v>
      </c>
    </row>
    <row r="243" spans="1:12" ht="14.5" x14ac:dyDescent="0.35">
      <c r="A243" s="3" t="s">
        <v>228</v>
      </c>
      <c r="B243" s="3" t="s">
        <v>229</v>
      </c>
      <c r="C243" s="4">
        <v>38268</v>
      </c>
      <c r="D243" s="3">
        <v>905095331</v>
      </c>
      <c r="E243" s="3" t="s">
        <v>1004</v>
      </c>
      <c r="F243" s="3" t="s">
        <v>975</v>
      </c>
      <c r="G243" s="3" t="s">
        <v>976</v>
      </c>
      <c r="H243" s="3" t="s">
        <v>613</v>
      </c>
      <c r="I243" s="3" t="s">
        <v>614</v>
      </c>
      <c r="J243" s="3">
        <v>123</v>
      </c>
      <c r="K243" s="3">
        <v>7.37</v>
      </c>
      <c r="L243" s="3" t="s">
        <v>623</v>
      </c>
    </row>
    <row r="244" spans="1:12" ht="14.5" x14ac:dyDescent="0.35">
      <c r="A244" s="3" t="s">
        <v>45</v>
      </c>
      <c r="B244" s="3" t="s">
        <v>46</v>
      </c>
      <c r="C244" s="3" t="s">
        <v>1005</v>
      </c>
      <c r="D244" s="3">
        <v>707628369</v>
      </c>
      <c r="E244" s="3" t="s">
        <v>1006</v>
      </c>
      <c r="F244" s="3" t="s">
        <v>975</v>
      </c>
      <c r="G244" s="3" t="s">
        <v>976</v>
      </c>
      <c r="H244" s="3" t="s">
        <v>613</v>
      </c>
      <c r="I244" s="3" t="s">
        <v>614</v>
      </c>
      <c r="J244" s="3">
        <v>123</v>
      </c>
      <c r="K244" s="3">
        <v>8</v>
      </c>
      <c r="L244" s="3" t="s">
        <v>615</v>
      </c>
    </row>
    <row r="245" spans="1:12" ht="14.5" x14ac:dyDescent="0.35">
      <c r="A245" s="3" t="s">
        <v>231</v>
      </c>
      <c r="B245" s="3" t="s">
        <v>232</v>
      </c>
      <c r="C245" s="3" t="s">
        <v>1007</v>
      </c>
      <c r="D245" s="3">
        <v>374546281</v>
      </c>
      <c r="E245" s="3" t="s">
        <v>1008</v>
      </c>
      <c r="F245" s="3" t="s">
        <v>975</v>
      </c>
      <c r="G245" s="3" t="s">
        <v>976</v>
      </c>
      <c r="H245" s="3" t="s">
        <v>613</v>
      </c>
      <c r="I245" s="3" t="s">
        <v>614</v>
      </c>
      <c r="J245" s="3">
        <v>123</v>
      </c>
      <c r="K245" s="3">
        <v>8</v>
      </c>
      <c r="L245" s="3" t="s">
        <v>615</v>
      </c>
    </row>
    <row r="246" spans="1:12" ht="14.5" x14ac:dyDescent="0.35">
      <c r="A246" s="3" t="s">
        <v>234</v>
      </c>
      <c r="B246" s="3" t="s">
        <v>235</v>
      </c>
      <c r="C246" s="3" t="s">
        <v>1009</v>
      </c>
      <c r="D246" s="3">
        <v>931430750</v>
      </c>
      <c r="E246" s="3" t="s">
        <v>1010</v>
      </c>
      <c r="F246" s="3" t="s">
        <v>975</v>
      </c>
      <c r="G246" s="3" t="s">
        <v>976</v>
      </c>
      <c r="H246" s="3" t="s">
        <v>613</v>
      </c>
      <c r="I246" s="3" t="s">
        <v>653</v>
      </c>
      <c r="J246" s="3">
        <v>123</v>
      </c>
      <c r="K246" s="3">
        <v>7.32</v>
      </c>
      <c r="L246" s="3" t="s">
        <v>623</v>
      </c>
    </row>
    <row r="247" spans="1:12" ht="14.5" x14ac:dyDescent="0.35">
      <c r="A247" s="3" t="s">
        <v>593</v>
      </c>
      <c r="B247" s="3" t="s">
        <v>594</v>
      </c>
      <c r="C247" s="4">
        <v>38330</v>
      </c>
      <c r="D247" s="3">
        <v>368331836</v>
      </c>
      <c r="E247" s="3" t="s">
        <v>1011</v>
      </c>
      <c r="F247" s="3" t="s">
        <v>975</v>
      </c>
      <c r="G247" s="3" t="s">
        <v>976</v>
      </c>
      <c r="H247" s="3" t="s">
        <v>613</v>
      </c>
      <c r="I247" s="3" t="s">
        <v>653</v>
      </c>
      <c r="J247" s="3">
        <v>123</v>
      </c>
      <c r="K247" s="3">
        <v>7.58</v>
      </c>
      <c r="L247" s="3" t="s">
        <v>623</v>
      </c>
    </row>
    <row r="248" spans="1:12" ht="14.5" x14ac:dyDescent="0.35">
      <c r="A248" s="3" t="s">
        <v>143</v>
      </c>
      <c r="B248" s="3" t="s">
        <v>144</v>
      </c>
      <c r="C248" s="3" t="s">
        <v>1012</v>
      </c>
      <c r="D248" s="3">
        <v>933614637</v>
      </c>
      <c r="E248" s="3" t="s">
        <v>1013</v>
      </c>
      <c r="F248" s="3" t="s">
        <v>975</v>
      </c>
      <c r="G248" s="3" t="s">
        <v>976</v>
      </c>
      <c r="H248" s="3" t="s">
        <v>613</v>
      </c>
      <c r="I248" s="3" t="s">
        <v>614</v>
      </c>
      <c r="J248" s="3">
        <v>123</v>
      </c>
      <c r="K248" s="3">
        <v>7.75</v>
      </c>
      <c r="L248" s="3" t="s">
        <v>623</v>
      </c>
    </row>
    <row r="249" spans="1:12" ht="14.5" x14ac:dyDescent="0.35">
      <c r="A249" s="3" t="s">
        <v>12</v>
      </c>
      <c r="B249" s="3" t="s">
        <v>1014</v>
      </c>
      <c r="C249" s="4">
        <v>38322</v>
      </c>
      <c r="D249" s="3">
        <v>788826928</v>
      </c>
      <c r="E249" s="3" t="s">
        <v>1015</v>
      </c>
      <c r="F249" s="3" t="s">
        <v>975</v>
      </c>
      <c r="G249" s="3" t="s">
        <v>976</v>
      </c>
      <c r="H249" s="3" t="s">
        <v>613</v>
      </c>
      <c r="I249" s="3" t="s">
        <v>614</v>
      </c>
      <c r="J249" s="3">
        <v>120</v>
      </c>
      <c r="K249" s="3">
        <v>7.47</v>
      </c>
      <c r="L249" s="3" t="s">
        <v>623</v>
      </c>
    </row>
    <row r="250" spans="1:12" ht="14.5" x14ac:dyDescent="0.35">
      <c r="A250" s="3" t="s">
        <v>218</v>
      </c>
      <c r="B250" s="3" t="s">
        <v>219</v>
      </c>
      <c r="C250" s="4">
        <v>38203</v>
      </c>
      <c r="D250" s="3">
        <v>911123200</v>
      </c>
      <c r="E250" s="3" t="s">
        <v>1016</v>
      </c>
      <c r="F250" s="3" t="s">
        <v>975</v>
      </c>
      <c r="G250" s="3" t="s">
        <v>976</v>
      </c>
      <c r="H250" s="3" t="s">
        <v>613</v>
      </c>
      <c r="I250" s="3" t="s">
        <v>653</v>
      </c>
      <c r="J250" s="3">
        <v>123</v>
      </c>
      <c r="K250" s="3">
        <v>7.83</v>
      </c>
      <c r="L250" s="3" t="s">
        <v>623</v>
      </c>
    </row>
    <row r="251" spans="1:12" ht="14.5" x14ac:dyDescent="0.35">
      <c r="A251" s="3" t="s">
        <v>167</v>
      </c>
      <c r="B251" s="3" t="s">
        <v>168</v>
      </c>
      <c r="C251" s="4">
        <v>38079</v>
      </c>
      <c r="D251" s="3">
        <v>903072597</v>
      </c>
      <c r="E251" s="3" t="s">
        <v>1017</v>
      </c>
      <c r="F251" s="3" t="s">
        <v>975</v>
      </c>
      <c r="G251" s="3" t="s">
        <v>976</v>
      </c>
      <c r="H251" s="3" t="s">
        <v>613</v>
      </c>
      <c r="I251" s="3" t="s">
        <v>614</v>
      </c>
      <c r="J251" s="3">
        <v>123</v>
      </c>
      <c r="K251" s="3">
        <v>8.3699999999999992</v>
      </c>
      <c r="L251" s="3" t="s">
        <v>615</v>
      </c>
    </row>
    <row r="252" spans="1:12" ht="14.5" x14ac:dyDescent="0.35">
      <c r="A252" s="3" t="s">
        <v>67</v>
      </c>
      <c r="B252" s="3" t="s">
        <v>68</v>
      </c>
      <c r="C252" s="3" t="s">
        <v>1018</v>
      </c>
      <c r="D252" s="3">
        <v>393364481</v>
      </c>
      <c r="E252" s="3" t="s">
        <v>1019</v>
      </c>
      <c r="F252" s="3" t="s">
        <v>975</v>
      </c>
      <c r="G252" s="3" t="s">
        <v>976</v>
      </c>
      <c r="H252" s="3" t="s">
        <v>613</v>
      </c>
      <c r="I252" s="3" t="s">
        <v>653</v>
      </c>
      <c r="J252" s="3">
        <v>123</v>
      </c>
      <c r="K252" s="3">
        <v>7.78</v>
      </c>
      <c r="L252" s="3" t="s">
        <v>623</v>
      </c>
    </row>
    <row r="253" spans="1:12" ht="14.5" x14ac:dyDescent="0.35">
      <c r="A253" s="3" t="s">
        <v>364</v>
      </c>
      <c r="B253" s="3" t="s">
        <v>365</v>
      </c>
      <c r="C253" s="3" t="s">
        <v>1020</v>
      </c>
      <c r="D253" s="3">
        <v>355434805</v>
      </c>
      <c r="E253" s="3" t="s">
        <v>1021</v>
      </c>
      <c r="F253" s="3" t="s">
        <v>975</v>
      </c>
      <c r="G253" s="3" t="s">
        <v>976</v>
      </c>
      <c r="H253" s="3" t="s">
        <v>613</v>
      </c>
      <c r="I253" s="3" t="s">
        <v>614</v>
      </c>
      <c r="J253" s="3">
        <v>123</v>
      </c>
      <c r="K253" s="3">
        <v>8.1999999999999993</v>
      </c>
      <c r="L253" s="3" t="s">
        <v>615</v>
      </c>
    </row>
    <row r="254" spans="1:12" ht="14.5" x14ac:dyDescent="0.35">
      <c r="A254" s="3" t="s">
        <v>146</v>
      </c>
      <c r="B254" s="3" t="s">
        <v>147</v>
      </c>
      <c r="C254" s="4">
        <v>38297</v>
      </c>
      <c r="D254" s="3">
        <v>782674148</v>
      </c>
      <c r="E254" s="3" t="s">
        <v>1022</v>
      </c>
      <c r="F254" s="3" t="s">
        <v>975</v>
      </c>
      <c r="G254" s="3" t="s">
        <v>976</v>
      </c>
      <c r="H254" s="3" t="s">
        <v>613</v>
      </c>
      <c r="I254" s="3" t="s">
        <v>614</v>
      </c>
      <c r="J254" s="3">
        <v>123</v>
      </c>
      <c r="K254" s="3">
        <v>7.74</v>
      </c>
      <c r="L254" s="3" t="s">
        <v>623</v>
      </c>
    </row>
    <row r="255" spans="1:12" ht="14.5" x14ac:dyDescent="0.35">
      <c r="A255" s="3" t="s">
        <v>113</v>
      </c>
      <c r="B255" s="3" t="s">
        <v>114</v>
      </c>
      <c r="C255" s="3" t="s">
        <v>1023</v>
      </c>
      <c r="D255" s="3">
        <v>909757844</v>
      </c>
      <c r="E255" s="3" t="s">
        <v>1024</v>
      </c>
      <c r="F255" s="3" t="s">
        <v>975</v>
      </c>
      <c r="G255" s="3" t="s">
        <v>976</v>
      </c>
      <c r="H255" s="3" t="s">
        <v>613</v>
      </c>
      <c r="I255" s="3" t="s">
        <v>614</v>
      </c>
      <c r="J255" s="3">
        <v>123</v>
      </c>
      <c r="K255" s="3">
        <v>7.7</v>
      </c>
      <c r="L255" s="3" t="s">
        <v>623</v>
      </c>
    </row>
    <row r="256" spans="1:12" ht="14.5" x14ac:dyDescent="0.35">
      <c r="A256" s="3" t="s">
        <v>220</v>
      </c>
      <c r="B256" s="3" t="s">
        <v>221</v>
      </c>
      <c r="C256" s="3" t="s">
        <v>712</v>
      </c>
      <c r="D256" s="3">
        <v>389538494</v>
      </c>
      <c r="E256" s="3" t="s">
        <v>1025</v>
      </c>
      <c r="F256" s="3" t="s">
        <v>975</v>
      </c>
      <c r="G256" s="3" t="s">
        <v>976</v>
      </c>
      <c r="H256" s="3" t="s">
        <v>613</v>
      </c>
      <c r="I256" s="3" t="s">
        <v>614</v>
      </c>
      <c r="J256" s="3">
        <v>123</v>
      </c>
      <c r="K256" s="3">
        <v>8.18</v>
      </c>
      <c r="L256" s="3" t="s">
        <v>615</v>
      </c>
    </row>
    <row r="257" spans="1:12" ht="14.5" x14ac:dyDescent="0.35">
      <c r="A257" s="3" t="s">
        <v>390</v>
      </c>
      <c r="B257" s="3" t="s">
        <v>391</v>
      </c>
      <c r="C257" s="3" t="s">
        <v>1026</v>
      </c>
      <c r="D257" s="3">
        <v>336920248</v>
      </c>
      <c r="E257" s="3" t="s">
        <v>1027</v>
      </c>
      <c r="F257" s="3" t="s">
        <v>975</v>
      </c>
      <c r="G257" s="3" t="s">
        <v>976</v>
      </c>
      <c r="H257" s="3" t="s">
        <v>613</v>
      </c>
      <c r="I257" s="3" t="s">
        <v>614</v>
      </c>
      <c r="J257" s="3">
        <v>123</v>
      </c>
      <c r="K257" s="3">
        <v>7.5</v>
      </c>
      <c r="L257" s="3" t="s">
        <v>623</v>
      </c>
    </row>
    <row r="258" spans="1:12" ht="14.5" x14ac:dyDescent="0.35">
      <c r="A258" s="3" t="s">
        <v>376</v>
      </c>
      <c r="B258" s="3" t="s">
        <v>377</v>
      </c>
      <c r="C258" s="3" t="s">
        <v>1028</v>
      </c>
      <c r="D258" s="6"/>
      <c r="E258" s="3" t="s">
        <v>1029</v>
      </c>
      <c r="F258" s="3">
        <v>414</v>
      </c>
      <c r="G258" s="3" t="s">
        <v>872</v>
      </c>
      <c r="H258" s="3" t="s">
        <v>613</v>
      </c>
      <c r="I258" s="3" t="s">
        <v>614</v>
      </c>
      <c r="J258" s="3">
        <v>123</v>
      </c>
      <c r="K258" s="3">
        <v>7.66</v>
      </c>
      <c r="L258" s="3" t="s">
        <v>623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3"/>
  <sheetViews>
    <sheetView workbookViewId="0"/>
  </sheetViews>
  <sheetFormatPr defaultColWidth="12.54296875" defaultRowHeight="15" customHeight="1" x14ac:dyDescent="0.25"/>
  <sheetData>
    <row r="1" spans="1:3" ht="15" customHeight="1" x14ac:dyDescent="0.25">
      <c r="B1" s="7" t="s">
        <v>3</v>
      </c>
      <c r="C1" s="7" t="s">
        <v>1030</v>
      </c>
    </row>
    <row r="2" spans="1:3" ht="15" customHeight="1" x14ac:dyDescent="0.25">
      <c r="A2" s="7" t="s">
        <v>1031</v>
      </c>
      <c r="B2" s="7">
        <v>1</v>
      </c>
      <c r="C2" s="7" t="e">
        <f>COUNTIF('Phân công'!#REF!,B2)</f>
        <v>#REF!</v>
      </c>
    </row>
    <row r="3" spans="1:3" ht="15" customHeight="1" x14ac:dyDescent="0.25">
      <c r="A3" s="7" t="s">
        <v>1031</v>
      </c>
      <c r="B3" s="7">
        <v>2</v>
      </c>
      <c r="C3" s="7" t="e">
        <f>COUNTIF('Phân công'!#REF!,B3)</f>
        <v>#REF!</v>
      </c>
    </row>
    <row r="4" spans="1:3" ht="15" customHeight="1" x14ac:dyDescent="0.25">
      <c r="A4" s="7" t="s">
        <v>1031</v>
      </c>
      <c r="B4" s="7">
        <v>3</v>
      </c>
      <c r="C4" s="7" t="e">
        <f>COUNTIF('Phân công'!#REF!,B4)</f>
        <v>#REF!</v>
      </c>
    </row>
    <row r="5" spans="1:3" ht="15" customHeight="1" x14ac:dyDescent="0.25">
      <c r="A5" s="7" t="s">
        <v>1031</v>
      </c>
      <c r="B5" s="7">
        <v>4</v>
      </c>
      <c r="C5" s="7" t="e">
        <f>COUNTIF('Phân công'!#REF!,B5)</f>
        <v>#REF!</v>
      </c>
    </row>
    <row r="6" spans="1:3" ht="15" customHeight="1" x14ac:dyDescent="0.25">
      <c r="A6" s="7" t="s">
        <v>1031</v>
      </c>
      <c r="B6" s="7">
        <v>5</v>
      </c>
      <c r="C6" s="7" t="e">
        <f>COUNTIF('Phân công'!#REF!,B6)</f>
        <v>#REF!</v>
      </c>
    </row>
    <row r="7" spans="1:3" ht="15" customHeight="1" x14ac:dyDescent="0.25">
      <c r="A7" s="7" t="s">
        <v>1031</v>
      </c>
      <c r="B7" s="7">
        <v>6</v>
      </c>
      <c r="C7" s="7" t="e">
        <f>COUNTIF('Phân công'!#REF!,B7)</f>
        <v>#REF!</v>
      </c>
    </row>
    <row r="8" spans="1:3" ht="15" customHeight="1" x14ac:dyDescent="0.25">
      <c r="A8" s="7" t="s">
        <v>1031</v>
      </c>
      <c r="B8" s="7">
        <v>7</v>
      </c>
      <c r="C8" s="7" t="e">
        <f>COUNTIF('Phân công'!#REF!,B8)</f>
        <v>#REF!</v>
      </c>
    </row>
    <row r="9" spans="1:3" ht="15" customHeight="1" x14ac:dyDescent="0.25">
      <c r="A9" s="7" t="s">
        <v>1031</v>
      </c>
      <c r="B9" s="7">
        <v>8</v>
      </c>
      <c r="C9" s="7" t="e">
        <f>COUNTIF('Phân công'!#REF!,B9)</f>
        <v>#REF!</v>
      </c>
    </row>
    <row r="10" spans="1:3" ht="15" customHeight="1" x14ac:dyDescent="0.25">
      <c r="A10" s="7" t="s">
        <v>611</v>
      </c>
      <c r="B10" s="7">
        <v>9</v>
      </c>
      <c r="C10" s="7" t="e">
        <f>COUNTIF('Phân công'!#REF!,B10)</f>
        <v>#REF!</v>
      </c>
    </row>
    <row r="11" spans="1:3" ht="15" customHeight="1" x14ac:dyDescent="0.25">
      <c r="A11" s="7" t="s">
        <v>1032</v>
      </c>
      <c r="B11" s="7">
        <v>10</v>
      </c>
      <c r="C11" s="7" t="e">
        <f>COUNTIF('Phân công'!#REF!,B11)</f>
        <v>#REF!</v>
      </c>
    </row>
    <row r="12" spans="1:3" ht="15" customHeight="1" x14ac:dyDescent="0.25">
      <c r="A12" s="7" t="s">
        <v>1033</v>
      </c>
      <c r="B12" s="7">
        <v>11</v>
      </c>
      <c r="C12" s="7" t="e">
        <f>COUNTIF('Phân công'!#REF!,B12)</f>
        <v>#REF!</v>
      </c>
    </row>
    <row r="13" spans="1:3" ht="15" customHeight="1" x14ac:dyDescent="0.25">
      <c r="A13" s="7" t="s">
        <v>1033</v>
      </c>
      <c r="B13" s="7">
        <v>12</v>
      </c>
      <c r="C13" s="7" t="e">
        <f>COUNTIF('Phân công'!#REF!,B13)</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O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2.54296875" defaultRowHeight="15" customHeight="1" x14ac:dyDescent="0.25"/>
  <cols>
    <col min="1" max="1" width="26.26953125" customWidth="1"/>
    <col min="2" max="57" width="5.54296875" customWidth="1"/>
    <col min="58" max="58" width="16.81640625" customWidth="1"/>
    <col min="59" max="62" width="14.1796875" customWidth="1"/>
    <col min="63" max="63" width="17.26953125" customWidth="1"/>
    <col min="64" max="64" width="25.7265625" customWidth="1"/>
    <col min="65" max="65" width="12.7265625" customWidth="1"/>
    <col min="66" max="66" width="19.453125" customWidth="1"/>
    <col min="67" max="67" width="12.7265625" customWidth="1"/>
  </cols>
  <sheetData>
    <row r="1" spans="1:67" ht="15.75" customHeight="1" x14ac:dyDescent="0.35">
      <c r="A1" s="8"/>
      <c r="B1" s="64" t="s">
        <v>2</v>
      </c>
      <c r="C1" s="65"/>
      <c r="D1" s="65"/>
      <c r="E1" s="65"/>
      <c r="F1" s="65"/>
      <c r="G1" s="65"/>
      <c r="H1" s="65"/>
      <c r="I1" s="66"/>
      <c r="J1" s="64" t="s">
        <v>1034</v>
      </c>
      <c r="K1" s="65"/>
      <c r="L1" s="65"/>
      <c r="M1" s="65"/>
      <c r="N1" s="65"/>
      <c r="O1" s="65"/>
      <c r="P1" s="65"/>
      <c r="Q1" s="66"/>
      <c r="R1" s="64" t="s">
        <v>1035</v>
      </c>
      <c r="S1" s="65"/>
      <c r="T1" s="65"/>
      <c r="U1" s="65"/>
      <c r="V1" s="65"/>
      <c r="W1" s="65"/>
      <c r="X1" s="65"/>
      <c r="Y1" s="66"/>
      <c r="Z1" s="64" t="s">
        <v>1036</v>
      </c>
      <c r="AA1" s="65"/>
      <c r="AB1" s="65"/>
      <c r="AC1" s="65"/>
      <c r="AD1" s="65"/>
      <c r="AE1" s="65"/>
      <c r="AF1" s="65"/>
      <c r="AG1" s="66"/>
      <c r="AH1" s="64" t="s">
        <v>1037</v>
      </c>
      <c r="AI1" s="65"/>
      <c r="AJ1" s="65"/>
      <c r="AK1" s="65"/>
      <c r="AL1" s="65"/>
      <c r="AM1" s="65"/>
      <c r="AN1" s="65"/>
      <c r="AO1" s="66"/>
      <c r="AP1" s="64" t="s">
        <v>1038</v>
      </c>
      <c r="AQ1" s="65"/>
      <c r="AR1" s="65"/>
      <c r="AS1" s="65"/>
      <c r="AT1" s="65"/>
      <c r="AU1" s="65"/>
      <c r="AV1" s="65"/>
      <c r="AW1" s="66"/>
      <c r="AX1" s="64" t="s">
        <v>1039</v>
      </c>
      <c r="AY1" s="65"/>
      <c r="AZ1" s="65"/>
      <c r="BA1" s="65"/>
      <c r="BB1" s="65"/>
      <c r="BC1" s="65"/>
      <c r="BD1" s="65"/>
      <c r="BE1" s="66"/>
      <c r="BF1" s="9" t="s">
        <v>1040</v>
      </c>
      <c r="BG1" s="9" t="s">
        <v>1035</v>
      </c>
      <c r="BH1" s="9" t="s">
        <v>1036</v>
      </c>
      <c r="BI1" s="9" t="s">
        <v>1041</v>
      </c>
      <c r="BJ1" s="9" t="s">
        <v>1042</v>
      </c>
      <c r="BK1" s="9" t="s">
        <v>1034</v>
      </c>
      <c r="BL1" s="62" t="s">
        <v>1043</v>
      </c>
      <c r="BM1" s="62" t="s">
        <v>1044</v>
      </c>
      <c r="BN1" s="62" t="s">
        <v>1045</v>
      </c>
      <c r="BO1" s="62" t="s">
        <v>1046</v>
      </c>
    </row>
    <row r="2" spans="1:67" ht="15.75" customHeight="1" x14ac:dyDescent="0.35">
      <c r="A2" s="10" t="s">
        <v>1047</v>
      </c>
      <c r="B2" s="11">
        <v>404</v>
      </c>
      <c r="C2" s="12">
        <v>412</v>
      </c>
      <c r="D2" s="13">
        <v>414</v>
      </c>
      <c r="E2" s="13" t="s">
        <v>611</v>
      </c>
      <c r="F2" s="14" t="s">
        <v>611</v>
      </c>
      <c r="G2" s="14" t="s">
        <v>975</v>
      </c>
      <c r="H2" s="14" t="s">
        <v>975</v>
      </c>
      <c r="I2" s="15" t="s">
        <v>1033</v>
      </c>
      <c r="J2" s="11">
        <v>404</v>
      </c>
      <c r="K2" s="12">
        <v>412</v>
      </c>
      <c r="L2" s="13">
        <v>414</v>
      </c>
      <c r="M2" s="13" t="s">
        <v>611</v>
      </c>
      <c r="N2" s="14" t="s">
        <v>611</v>
      </c>
      <c r="O2" s="14" t="s">
        <v>975</v>
      </c>
      <c r="P2" s="14" t="s">
        <v>975</v>
      </c>
      <c r="Q2" s="15" t="s">
        <v>1033</v>
      </c>
      <c r="R2" s="11">
        <v>404</v>
      </c>
      <c r="S2" s="12">
        <v>412</v>
      </c>
      <c r="T2" s="13">
        <v>414</v>
      </c>
      <c r="U2" s="13" t="s">
        <v>611</v>
      </c>
      <c r="V2" s="14" t="s">
        <v>611</v>
      </c>
      <c r="W2" s="14" t="s">
        <v>975</v>
      </c>
      <c r="X2" s="14" t="s">
        <v>975</v>
      </c>
      <c r="Y2" s="15" t="s">
        <v>1033</v>
      </c>
      <c r="Z2" s="11">
        <v>404</v>
      </c>
      <c r="AA2" s="12">
        <v>412</v>
      </c>
      <c r="AB2" s="13">
        <v>414</v>
      </c>
      <c r="AC2" s="13" t="s">
        <v>611</v>
      </c>
      <c r="AD2" s="14" t="s">
        <v>611</v>
      </c>
      <c r="AE2" s="14" t="s">
        <v>975</v>
      </c>
      <c r="AF2" s="14" t="s">
        <v>975</v>
      </c>
      <c r="AG2" s="15" t="s">
        <v>1033</v>
      </c>
      <c r="AH2" s="11">
        <v>404</v>
      </c>
      <c r="AI2" s="12">
        <v>412</v>
      </c>
      <c r="AJ2" s="13">
        <v>414</v>
      </c>
      <c r="AK2" s="13" t="s">
        <v>611</v>
      </c>
      <c r="AL2" s="14" t="s">
        <v>611</v>
      </c>
      <c r="AM2" s="14" t="s">
        <v>975</v>
      </c>
      <c r="AN2" s="14" t="s">
        <v>975</v>
      </c>
      <c r="AO2" s="15" t="s">
        <v>1033</v>
      </c>
      <c r="AP2" s="11">
        <v>404</v>
      </c>
      <c r="AQ2" s="12">
        <v>412</v>
      </c>
      <c r="AR2" s="13">
        <v>414</v>
      </c>
      <c r="AS2" s="13" t="s">
        <v>611</v>
      </c>
      <c r="AT2" s="14" t="s">
        <v>611</v>
      </c>
      <c r="AU2" s="14" t="s">
        <v>975</v>
      </c>
      <c r="AV2" s="14" t="s">
        <v>975</v>
      </c>
      <c r="AW2" s="15" t="s">
        <v>1033</v>
      </c>
      <c r="AX2" s="11">
        <v>404</v>
      </c>
      <c r="AY2" s="12">
        <v>412</v>
      </c>
      <c r="AZ2" s="13">
        <v>414</v>
      </c>
      <c r="BA2" s="13" t="s">
        <v>611</v>
      </c>
      <c r="BB2" s="14" t="s">
        <v>611</v>
      </c>
      <c r="BC2" s="14" t="s">
        <v>975</v>
      </c>
      <c r="BD2" s="14" t="s">
        <v>975</v>
      </c>
      <c r="BE2" s="15" t="s">
        <v>1033</v>
      </c>
      <c r="BF2" s="16">
        <v>420000</v>
      </c>
      <c r="BG2" s="16">
        <v>240000</v>
      </c>
      <c r="BH2" s="16">
        <v>150000</v>
      </c>
      <c r="BI2" s="16">
        <v>150000</v>
      </c>
      <c r="BJ2" s="17">
        <v>150000</v>
      </c>
      <c r="BK2" s="16">
        <v>720000</v>
      </c>
      <c r="BL2" s="63"/>
      <c r="BM2" s="63"/>
      <c r="BN2" s="63"/>
      <c r="BO2" s="63"/>
    </row>
    <row r="3" spans="1:67" ht="15.75" customHeight="1" x14ac:dyDescent="0.35">
      <c r="A3" s="18" t="s">
        <v>1048</v>
      </c>
      <c r="B3" s="19">
        <v>1</v>
      </c>
      <c r="C3" s="20">
        <v>1</v>
      </c>
      <c r="D3" s="21">
        <v>1</v>
      </c>
      <c r="E3" s="21">
        <v>1.5</v>
      </c>
      <c r="F3" s="21">
        <v>3</v>
      </c>
      <c r="G3" s="21">
        <v>1.5</v>
      </c>
      <c r="H3" s="22">
        <v>3</v>
      </c>
      <c r="I3" s="22">
        <v>3</v>
      </c>
      <c r="J3" s="19">
        <v>1</v>
      </c>
      <c r="K3" s="20">
        <v>1</v>
      </c>
      <c r="L3" s="21">
        <v>1</v>
      </c>
      <c r="M3" s="21">
        <v>1.5</v>
      </c>
      <c r="N3" s="21">
        <v>3</v>
      </c>
      <c r="O3" s="21">
        <v>1.5</v>
      </c>
      <c r="P3" s="22">
        <v>3</v>
      </c>
      <c r="Q3" s="22">
        <v>3</v>
      </c>
      <c r="R3" s="19">
        <v>1</v>
      </c>
      <c r="S3" s="20">
        <v>1</v>
      </c>
      <c r="T3" s="21">
        <v>1</v>
      </c>
      <c r="U3" s="21">
        <v>1.5</v>
      </c>
      <c r="V3" s="21">
        <v>3</v>
      </c>
      <c r="W3" s="21">
        <v>1.5</v>
      </c>
      <c r="X3" s="22">
        <v>3</v>
      </c>
      <c r="Y3" s="22">
        <v>3</v>
      </c>
      <c r="Z3" s="19">
        <v>1</v>
      </c>
      <c r="AA3" s="20">
        <v>1</v>
      </c>
      <c r="AB3" s="21">
        <v>1</v>
      </c>
      <c r="AC3" s="21">
        <v>1.5</v>
      </c>
      <c r="AD3" s="21">
        <v>3</v>
      </c>
      <c r="AE3" s="21">
        <v>1.5</v>
      </c>
      <c r="AF3" s="22">
        <v>3</v>
      </c>
      <c r="AG3" s="22">
        <v>3</v>
      </c>
      <c r="AH3" s="19">
        <v>1</v>
      </c>
      <c r="AI3" s="20">
        <v>1</v>
      </c>
      <c r="AJ3" s="21">
        <v>1</v>
      </c>
      <c r="AK3" s="21">
        <v>1.5</v>
      </c>
      <c r="AL3" s="21">
        <v>3</v>
      </c>
      <c r="AM3" s="21">
        <v>1.5</v>
      </c>
      <c r="AN3" s="22">
        <v>3</v>
      </c>
      <c r="AO3" s="22">
        <v>3</v>
      </c>
      <c r="AP3" s="19">
        <v>1</v>
      </c>
      <c r="AQ3" s="20">
        <v>1</v>
      </c>
      <c r="AR3" s="21">
        <v>1</v>
      </c>
      <c r="AS3" s="21">
        <v>1.5</v>
      </c>
      <c r="AT3" s="21">
        <v>3</v>
      </c>
      <c r="AU3" s="21">
        <v>1.5</v>
      </c>
      <c r="AV3" s="22">
        <v>3</v>
      </c>
      <c r="AW3" s="22">
        <v>3</v>
      </c>
      <c r="AX3" s="19">
        <v>1</v>
      </c>
      <c r="AY3" s="20">
        <v>1</v>
      </c>
      <c r="AZ3" s="21">
        <v>1</v>
      </c>
      <c r="BA3" s="21">
        <v>1.5</v>
      </c>
      <c r="BB3" s="21">
        <v>3</v>
      </c>
      <c r="BC3" s="21">
        <v>1.5</v>
      </c>
      <c r="BD3" s="22">
        <v>3</v>
      </c>
      <c r="BE3" s="22">
        <v>3</v>
      </c>
      <c r="BF3" s="23"/>
      <c r="BG3" s="23"/>
      <c r="BH3" s="23"/>
      <c r="BI3" s="23"/>
      <c r="BJ3" s="24"/>
      <c r="BK3" s="23"/>
      <c r="BL3" s="9"/>
      <c r="BM3" s="9"/>
      <c r="BN3" s="9"/>
      <c r="BO3" s="9"/>
    </row>
    <row r="4" spans="1:67" ht="15.75" customHeight="1" x14ac:dyDescent="0.35">
      <c r="A4" s="2" t="s">
        <v>413</v>
      </c>
      <c r="B4" s="25" t="e">
        <f>SUMPRODUCT(('Phân công'!#REF!=$A4)*('Phân công'!#REF!="X")*(RIGHT('Phân công'!#REF!,3)="404"))</f>
        <v>#REF!</v>
      </c>
      <c r="C4" s="26" t="e">
        <f>SUMPRODUCT(('Phân công'!#REF!=$A4)*('Phân công'!#REF!="X")*(RIGHT('Phân công'!#REF!,3)="412"))</f>
        <v>#REF!</v>
      </c>
      <c r="D4" s="26" t="e">
        <f>SUMPRODUCT(('Phân công'!#REF!=$A4)*('Phân công'!#REF!="X")*(RIGHT('Phân công'!#REF!,3)="414"))</f>
        <v>#REF!</v>
      </c>
      <c r="E4" s="26" t="e">
        <f>SUMPRODUCT(('Phân công'!#REF!=$A4)*('Phân công'!#REF!="X")*(RIGHT('Phân công'!#REF!,4)="404C")*('Phân công'!#REF!="Tiếng Việt"))</f>
        <v>#REF!</v>
      </c>
      <c r="F4" s="26" t="e">
        <f>SUMPRODUCT(('Phân công'!#REF!=$A4)*('Phân công'!#REF!="X")*(RIGHT('Phân công'!#REF!,4)="404C")*('Phân công'!#REF!="Tiếng Anh"))</f>
        <v>#REF!</v>
      </c>
      <c r="G4" s="26" t="e">
        <f>SUMPRODUCT(('Phân công'!#REF!=$A4)*('Phân công'!#REF!="X")*(RIGHT('Phân công'!#REF!,4)="414C")*('Phân công'!#REF!="Tiếng Việt"))</f>
        <v>#REF!</v>
      </c>
      <c r="H4" s="27" t="e">
        <f>SUMPRODUCT(('Phân công'!#REF!=$A4)*('Phân công'!#REF!="X")*(RIGHT('Phân công'!#REF!,4)="414C")*('Phân công'!#REF!="Tiếng Anh"))</f>
        <v>#REF!</v>
      </c>
      <c r="I4" s="28" t="e">
        <f>SUMPRODUCT(('Phân công'!#REF!=$A4)*('Phân công'!#REF!="X")*(RIGHT('Phân công'!#REF!,5)="404CA"))</f>
        <v>#REF!</v>
      </c>
      <c r="J4" s="25" t="e">
        <f>SUMPRODUCT(('Phân công'!#REF!=$A4)*('Phân công'!#REF!="X")*(RIGHT('Phân công'!#REF!,3)="404"))</f>
        <v>#REF!</v>
      </c>
      <c r="K4" s="26" t="e">
        <f>SUMPRODUCT(('Phân công'!#REF!=$A4)*('Phân công'!#REF!="X")*(RIGHT('Phân công'!#REF!,3)="412"))</f>
        <v>#REF!</v>
      </c>
      <c r="L4" s="26" t="e">
        <f>SUMPRODUCT(('Phân công'!#REF!=$A4)*('Phân công'!#REF!="X")*(RIGHT('Phân công'!#REF!,3)="414"))</f>
        <v>#REF!</v>
      </c>
      <c r="M4" s="26" t="e">
        <f>SUMPRODUCT(('Phân công'!#REF!=$A4)*('Phân công'!#REF!="X")*(RIGHT('Phân công'!#REF!,3)="04C")*('Phân công'!#REF!="Tiếng Việt"))</f>
        <v>#REF!</v>
      </c>
      <c r="N4" s="26" t="e">
        <f>SUMPRODUCT(('Phân công'!#REF!=$A4)*('Phân công'!#REF!="X")*(RIGHT('Phân công'!#REF!,3)="04C")*('Phân công'!#REF!="Tiếng Anh"))</f>
        <v>#REF!</v>
      </c>
      <c r="O4" s="26" t="e">
        <f>SUMPRODUCT(('Phân công'!#REF!=$A4)*('Phân công'!#REF!="X")*(RIGHT('Phân công'!#REF!,3)="14C")*('Phân công'!#REF!="Tiếng Việt"))</f>
        <v>#REF!</v>
      </c>
      <c r="P4" s="27" t="e">
        <f>SUMPRODUCT(('Phân công'!#REF!=$A4)*('Phân công'!#REF!="X")*(RIGHT('Phân công'!#REF!,3)="14C")*('Phân công'!#REF!="Tiếng Anh"))</f>
        <v>#REF!</v>
      </c>
      <c r="Q4" s="28" t="e">
        <f>SUMPRODUCT(('Phân công'!#REF!=$A4)*('Phân công'!#REF!="X")*(RIGHT('Phân công'!#REF!,3)="4CA"))</f>
        <v>#REF!</v>
      </c>
      <c r="R4" s="25" t="e">
        <f>SUMPRODUCT(('Phân công'!#REF!='Thù lao'!A4)*(RIGHT('Phân công'!#REF!,3)="404"))</f>
        <v>#REF!</v>
      </c>
      <c r="S4" s="29" t="e">
        <f>SUMPRODUCT(('Phân công'!#REF!='Thù lao'!A4)*(RIGHT('Phân công'!#REF!,3)="412"))</f>
        <v>#REF!</v>
      </c>
      <c r="T4" s="29" t="e">
        <f>SUMPRODUCT(('Phân công'!#REF!='Thù lao'!A4)*(RIGHT('Phân công'!#REF!,3)="414"))</f>
        <v>#REF!</v>
      </c>
      <c r="U4" s="26" t="e">
        <f>SUMPRODUCT(('Phân công'!#REF!='Thù lao'!A4)*(RIGHT('Phân công'!#REF!,3)="04C")*('Phân công'!#REF!="Tiếng Việt"))</f>
        <v>#REF!</v>
      </c>
      <c r="V4" s="26" t="e">
        <f>SUMPRODUCT(('Phân công'!#REF!='Thù lao'!A4)*(RIGHT('Phân công'!#REF!,3)="04C")*('Phân công'!#REF!="Tiếng Anh"))</f>
        <v>#REF!</v>
      </c>
      <c r="W4" s="26" t="e">
        <f>SUMPRODUCT(('Phân công'!#REF!='Thù lao'!A4)*(RIGHT('Phân công'!#REF!,3)="14C")*('Phân công'!#REF!="Tiếng Việt"))</f>
        <v>#REF!</v>
      </c>
      <c r="X4" s="27" t="e">
        <f>SUMPRODUCT(('Phân công'!#REF!='Thù lao'!A4)*(RIGHT('Phân công'!#REF!,3)="14C")*('Phân công'!#REF!="Tiếng Anh"))</f>
        <v>#REF!</v>
      </c>
      <c r="Y4" s="26" t="e">
        <f>SUMPRODUCT(('Phân công'!#REF!='Thù lao'!A4)*(RIGHT('Phân công'!#REF!,3)="4CA"))</f>
        <v>#REF!</v>
      </c>
      <c r="Z4" s="25" t="e">
        <f>SUMPRODUCT(('Phân công'!#REF!='Thù lao'!A4)*(RIGHT('Phân công'!#REF!,3)="404"))</f>
        <v>#REF!</v>
      </c>
      <c r="AA4" s="29" t="e">
        <f>SUMPRODUCT(('Phân công'!#REF!='Thù lao'!A4)*(RIGHT('Phân công'!#REF!,3)="412"))</f>
        <v>#REF!</v>
      </c>
      <c r="AB4" s="29" t="e">
        <f>SUMPRODUCT(('Phân công'!#REF!='Thù lao'!A4)*(RIGHT('Phân công'!#REF!,3)="414"))</f>
        <v>#REF!</v>
      </c>
      <c r="AC4" s="26" t="e">
        <f>SUMPRODUCT(('Phân công'!#REF!='Thù lao'!A4)*(RIGHT('Phân công'!#REF!,3)="04C")*('Phân công'!#REF!="Tiếng Việt"))</f>
        <v>#REF!</v>
      </c>
      <c r="AD4" s="26" t="e">
        <f>SUMPRODUCT(('Phân công'!#REF!='Thù lao'!A4)*(RIGHT('Phân công'!#REF!,3)="04C")*('Phân công'!#REF!="Tiếng Anh"))</f>
        <v>#REF!</v>
      </c>
      <c r="AE4" s="26" t="e">
        <f>SUMPRODUCT(('Phân công'!#REF!='Thù lao'!A4)*(RIGHT('Phân công'!#REF!,3)="14C")*('Phân công'!#REF!="Tiếng Việt"))</f>
        <v>#REF!</v>
      </c>
      <c r="AF4" s="27" t="e">
        <f>SUMPRODUCT(('Phân công'!#REF!='Thù lao'!A4)*(RIGHT('Phân công'!#REF!,3)="14C")*('Phân công'!#REF!="Tiếng Anh"))</f>
        <v>#REF!</v>
      </c>
      <c r="AG4" s="26" t="e">
        <f>SUMPRODUCT(('Phân công'!#REF!='Thù lao'!A4)*(RIGHT('Phân công'!#REF!,3)="4CA"))</f>
        <v>#REF!</v>
      </c>
      <c r="AH4" s="25" t="e">
        <f>SUMPRODUCT(('Phân công'!#REF!='Thù lao'!A4)*(RIGHT('Phân công'!#REF!,3)="404"))</f>
        <v>#REF!</v>
      </c>
      <c r="AI4" s="29" t="e">
        <f>SUMPRODUCT(('Phân công'!#REF!='Thù lao'!A4)*(RIGHT('Phân công'!#REF!,3)="412"))</f>
        <v>#REF!</v>
      </c>
      <c r="AJ4" s="29" t="e">
        <f>SUMPRODUCT(('Phân công'!#REF!='Thù lao'!A4)*(RIGHT('Phân công'!#REF!,3)="414"))</f>
        <v>#REF!</v>
      </c>
      <c r="AK4" s="26" t="e">
        <f>SUMPRODUCT(('Phân công'!#REF!='Thù lao'!A4)*(RIGHT('Phân công'!#REF!,3)="04C")*('Phân công'!#REF!="Tiếng Việt"))</f>
        <v>#REF!</v>
      </c>
      <c r="AL4" s="26" t="e">
        <f>SUMPRODUCT(('Phân công'!#REF!='Thù lao'!A4)*(RIGHT('Phân công'!#REF!,3)="04C")*('Phân công'!#REF!="Tiếng Anh"))</f>
        <v>#REF!</v>
      </c>
      <c r="AM4" s="26" t="e">
        <f>SUMPRODUCT(('Phân công'!#REF!='Thù lao'!A4)*(RIGHT('Phân công'!#REF!,3)="14C")*('Phân công'!#REF!="Tiếng Việt"))</f>
        <v>#REF!</v>
      </c>
      <c r="AN4" s="27" t="e">
        <f>SUMPRODUCT(('Phân công'!#REF!='Thù lao'!A4)*(RIGHT('Phân công'!#REF!,3)="14C")*('Phân công'!#REF!="Tiếng Anh"))</f>
        <v>#REF!</v>
      </c>
      <c r="AO4" s="26" t="e">
        <f>SUMPRODUCT(('Phân công'!#REF!='Thù lao'!A4)*(RIGHT('Phân công'!#REF!,3)="4CA"))</f>
        <v>#REF!</v>
      </c>
      <c r="AP4" s="25" t="e">
        <f>SUMPRODUCT(('Phân công'!#REF!='Thù lao'!A4)*(RIGHT('Phân công'!#REF!,3)="404"))</f>
        <v>#REF!</v>
      </c>
      <c r="AQ4" s="29" t="e">
        <f>SUMPRODUCT(('Phân công'!#REF!='Thù lao'!A4)*(RIGHT('Phân công'!#REF!,3)="412"))</f>
        <v>#REF!</v>
      </c>
      <c r="AR4" s="29" t="e">
        <f>SUMPRODUCT(('Phân công'!#REF!='Thù lao'!A4)*(RIGHT('Phân công'!#REF!,3)="414"))</f>
        <v>#REF!</v>
      </c>
      <c r="AS4" s="26" t="e">
        <f>SUMPRODUCT(('Phân công'!#REF!='Thù lao'!A4)*(RIGHT('Phân công'!#REF!,3)="04C")*('Phân công'!#REF!="Tiếng Việt"))</f>
        <v>#REF!</v>
      </c>
      <c r="AT4" s="26" t="e">
        <f>SUMPRODUCT(('Phân công'!#REF!='Thù lao'!A4)*(RIGHT('Phân công'!#REF!,3)="04C")*('Phân công'!#REF!="Tiếng Anh"))</f>
        <v>#REF!</v>
      </c>
      <c r="AU4" s="26" t="e">
        <f>SUMPRODUCT(('Phân công'!#REF!='Thù lao'!A4)*(RIGHT('Phân công'!#REF!,3)="14C")*('Phân công'!#REF!="Tiếng Việt"))</f>
        <v>#REF!</v>
      </c>
      <c r="AV4" s="27" t="e">
        <f>SUMPRODUCT(('Phân công'!#REF!='Thù lao'!A4)*(RIGHT('Phân công'!#REF!,3)="14C")*('Phân công'!#REF!="Tiếng Anh"))</f>
        <v>#REF!</v>
      </c>
      <c r="AW4" s="26" t="e">
        <f>SUMPRODUCT(('Phân công'!#REF!='Thù lao'!A4)*(RIGHT('Phân công'!#REF!,3)="4CA"))</f>
        <v>#REF!</v>
      </c>
      <c r="AX4" s="25" t="e">
        <f t="shared" ref="AX4:BE4" si="0">AP4+AH4+Z4+R4</f>
        <v>#REF!</v>
      </c>
      <c r="AY4" s="25" t="e">
        <f t="shared" si="0"/>
        <v>#REF!</v>
      </c>
      <c r="AZ4" s="25" t="e">
        <f t="shared" si="0"/>
        <v>#REF!</v>
      </c>
      <c r="BA4" s="25" t="e">
        <f t="shared" si="0"/>
        <v>#REF!</v>
      </c>
      <c r="BB4" s="25" t="e">
        <f t="shared" si="0"/>
        <v>#REF!</v>
      </c>
      <c r="BC4" s="25" t="e">
        <f t="shared" si="0"/>
        <v>#REF!</v>
      </c>
      <c r="BD4" s="25" t="e">
        <f t="shared" si="0"/>
        <v>#REF!</v>
      </c>
      <c r="BE4" s="25" t="e">
        <f t="shared" si="0"/>
        <v>#REF!</v>
      </c>
      <c r="BF4" s="30" t="e">
        <f t="shared" ref="BF4:BF22" si="1">SUMPRODUCT((B4:I4),($B$3:$I$3))*$BF$2</f>
        <v>#REF!</v>
      </c>
      <c r="BG4" s="30" t="e">
        <f t="shared" ref="BG4:BG22" si="2">SUMPRODUCT(R4:Y4,$R$3:$Y$3)*$BG$2</f>
        <v>#REF!</v>
      </c>
      <c r="BH4" s="30" t="e">
        <f t="shared" ref="BH4:BH22" si="3">SUMPRODUCT(Z4:AG4,$Z$3:$AG$3)*$BH$2</f>
        <v>#REF!</v>
      </c>
      <c r="BI4" s="30" t="e">
        <f t="shared" ref="BI4:BI22" si="4">SUMPRODUCT(AH4:AO4,$AH$3:$AO$3)*$BI$2</f>
        <v>#REF!</v>
      </c>
      <c r="BJ4" s="30" t="e">
        <f t="shared" ref="BJ4:BJ22" si="5">SUMPRODUCT(AP4:AW4,$AP$3:$AW$3)*$BJ$2</f>
        <v>#REF!</v>
      </c>
      <c r="BK4" s="30" t="e">
        <f t="shared" ref="BK4:BK22" si="6">SUMPRODUCT((J4:Q4),($J$3:$Q$3))*$BK$2</f>
        <v>#REF!</v>
      </c>
      <c r="BL4" s="31" t="e">
        <f t="shared" ref="BL4:BL22" si="7">BF4+BK4</f>
        <v>#REF!</v>
      </c>
      <c r="BM4" s="31" t="e">
        <f t="shared" ref="BM4:BM22" si="8">SUM(BG4:BJ4)</f>
        <v>#REF!</v>
      </c>
      <c r="BN4" s="31" t="e">
        <f t="shared" ref="BN4:BN22" si="9">BM4+BK4</f>
        <v>#REF!</v>
      </c>
      <c r="BO4" s="31" t="e">
        <f t="shared" ref="BO4:BO22" si="10">BL4+BM4</f>
        <v>#REF!</v>
      </c>
    </row>
    <row r="5" spans="1:67" ht="15.75" customHeight="1" x14ac:dyDescent="0.35">
      <c r="A5" s="2" t="s">
        <v>305</v>
      </c>
      <c r="B5" s="25" t="e">
        <f>SUMPRODUCT(('Phân công'!#REF!=$A5)*('Phân công'!#REF!="X")*(RIGHT('Phân công'!#REF!,3)="404"))</f>
        <v>#REF!</v>
      </c>
      <c r="C5" s="26" t="e">
        <f>SUMPRODUCT(('Phân công'!#REF!=$A5)*('Phân công'!#REF!="X")*(RIGHT('Phân công'!#REF!,3)="412"))</f>
        <v>#REF!</v>
      </c>
      <c r="D5" s="26" t="e">
        <f>SUMPRODUCT(('Phân công'!#REF!=$A5)*('Phân công'!#REF!="X")*(RIGHT('Phân công'!#REF!,3)="414"))</f>
        <v>#REF!</v>
      </c>
      <c r="E5" s="26" t="e">
        <f>SUMPRODUCT(('Phân công'!#REF!=$A5)*('Phân công'!#REF!="X")*(RIGHT('Phân công'!#REF!,4)="404C")*('Phân công'!#REF!="Tiếng Việt"))</f>
        <v>#REF!</v>
      </c>
      <c r="F5" s="26" t="e">
        <f>SUMPRODUCT(('Phân công'!#REF!=$A5)*('Phân công'!#REF!="X")*(RIGHT('Phân công'!#REF!,4)="404C")*('Phân công'!#REF!="Tiếng Anh"))</f>
        <v>#REF!</v>
      </c>
      <c r="G5" s="26" t="e">
        <f>SUMPRODUCT(('Phân công'!#REF!=$A5)*('Phân công'!#REF!="X")*(RIGHT('Phân công'!#REF!,4)="414C")*('Phân công'!#REF!="Tiếng Việt"))</f>
        <v>#REF!</v>
      </c>
      <c r="H5" s="27" t="e">
        <f>SUMPRODUCT(('Phân công'!#REF!=$A5)*('Phân công'!#REF!="X")*(RIGHT('Phân công'!#REF!,4)="414C")*('Phân công'!#REF!="Tiếng Anh"))</f>
        <v>#REF!</v>
      </c>
      <c r="I5" s="28" t="e">
        <f>SUMPRODUCT(('Phân công'!#REF!=$A5)*('Phân công'!#REF!="X")*(RIGHT('Phân công'!#REF!,5)="404CA"))</f>
        <v>#REF!</v>
      </c>
      <c r="J5" s="25" t="e">
        <f>SUMPRODUCT(('Phân công'!#REF!=$A5)*('Phân công'!#REF!="X")*(RIGHT('Phân công'!#REF!,3)="404"))</f>
        <v>#REF!</v>
      </c>
      <c r="K5" s="26" t="e">
        <f>SUMPRODUCT(('Phân công'!#REF!=$A5)*('Phân công'!#REF!="X")*(RIGHT('Phân công'!#REF!,3)="412"))</f>
        <v>#REF!</v>
      </c>
      <c r="L5" s="26" t="e">
        <f>SUMPRODUCT(('Phân công'!#REF!=$A5)*('Phân công'!#REF!="X")*(RIGHT('Phân công'!#REF!,3)="414"))</f>
        <v>#REF!</v>
      </c>
      <c r="M5" s="26" t="e">
        <f>SUMPRODUCT(('Phân công'!#REF!=$A5)*('Phân công'!#REF!="X")*(RIGHT('Phân công'!#REF!,3)="04C")*('Phân công'!#REF!="Tiếng Việt"))</f>
        <v>#REF!</v>
      </c>
      <c r="N5" s="26" t="e">
        <f>SUMPRODUCT(('Phân công'!#REF!=$A5)*('Phân công'!#REF!="X")*(RIGHT('Phân công'!#REF!,3)="04C")*('Phân công'!#REF!="Tiếng Anh"))</f>
        <v>#REF!</v>
      </c>
      <c r="O5" s="26" t="e">
        <f>SUMPRODUCT(('Phân công'!#REF!=$A5)*('Phân công'!#REF!="X")*(RIGHT('Phân công'!#REF!,3)="14C")*('Phân công'!#REF!="Tiếng Việt"))</f>
        <v>#REF!</v>
      </c>
      <c r="P5" s="27" t="e">
        <f>SUMPRODUCT(('Phân công'!#REF!=$A5)*('Phân công'!#REF!="X")*(RIGHT('Phân công'!#REF!,3)="14C")*('Phân công'!#REF!="Tiếng Anh"))</f>
        <v>#REF!</v>
      </c>
      <c r="Q5" s="28" t="e">
        <f>SUMPRODUCT(('Phân công'!#REF!=$A5)*('Phân công'!#REF!="X")*(RIGHT('Phân công'!#REF!,3)="4CA"))</f>
        <v>#REF!</v>
      </c>
      <c r="R5" s="25" t="e">
        <f>SUMPRODUCT(('Phân công'!#REF!='Thù lao'!A5)*(RIGHT('Phân công'!#REF!,3)="404"))</f>
        <v>#REF!</v>
      </c>
      <c r="S5" s="29" t="e">
        <f>SUMPRODUCT(('Phân công'!#REF!='Thù lao'!A5)*(RIGHT('Phân công'!#REF!,3)="412"))</f>
        <v>#REF!</v>
      </c>
      <c r="T5" s="29" t="e">
        <f>SUMPRODUCT(('Phân công'!#REF!='Thù lao'!A5)*(RIGHT('Phân công'!#REF!,3)="414"))</f>
        <v>#REF!</v>
      </c>
      <c r="U5" s="26" t="e">
        <f>SUMPRODUCT(('Phân công'!#REF!='Thù lao'!A5)*(RIGHT('Phân công'!#REF!,3)="04C")*('Phân công'!#REF!="Tiếng Việt"))</f>
        <v>#REF!</v>
      </c>
      <c r="V5" s="26" t="e">
        <f>SUMPRODUCT(('Phân công'!#REF!='Thù lao'!A5)*(RIGHT('Phân công'!#REF!,3)="04C")*('Phân công'!#REF!="Tiếng Anh"))</f>
        <v>#REF!</v>
      </c>
      <c r="W5" s="26" t="e">
        <f>SUMPRODUCT(('Phân công'!#REF!='Thù lao'!A5)*(RIGHT('Phân công'!#REF!,3)="14C")*('Phân công'!#REF!="Tiếng Việt"))</f>
        <v>#REF!</v>
      </c>
      <c r="X5" s="27" t="e">
        <f>SUMPRODUCT(('Phân công'!#REF!='Thù lao'!A5)*(RIGHT('Phân công'!#REF!,3)="14C")*('Phân công'!#REF!="Tiếng Anh"))</f>
        <v>#REF!</v>
      </c>
      <c r="Y5" s="26" t="e">
        <f>SUMPRODUCT(('Phân công'!#REF!='Thù lao'!A5)*(RIGHT('Phân công'!#REF!,3)="4CA"))</f>
        <v>#REF!</v>
      </c>
      <c r="Z5" s="25" t="e">
        <f>SUMPRODUCT(('Phân công'!#REF!='Thù lao'!A5)*(RIGHT('Phân công'!#REF!,3)="404"))</f>
        <v>#REF!</v>
      </c>
      <c r="AA5" s="29" t="e">
        <f>SUMPRODUCT(('Phân công'!#REF!='Thù lao'!A5)*(RIGHT('Phân công'!#REF!,3)="412"))</f>
        <v>#REF!</v>
      </c>
      <c r="AB5" s="29" t="e">
        <f>SUMPRODUCT(('Phân công'!#REF!='Thù lao'!A5)*(RIGHT('Phân công'!#REF!,3)="414"))</f>
        <v>#REF!</v>
      </c>
      <c r="AC5" s="26" t="e">
        <f>SUMPRODUCT(('Phân công'!#REF!='Thù lao'!A5)*(RIGHT('Phân công'!#REF!,3)="04C")*('Phân công'!#REF!="Tiếng Việt"))</f>
        <v>#REF!</v>
      </c>
      <c r="AD5" s="26" t="e">
        <f>SUMPRODUCT(('Phân công'!#REF!='Thù lao'!A5)*(RIGHT('Phân công'!#REF!,3)="04C")*('Phân công'!#REF!="Tiếng Anh"))</f>
        <v>#REF!</v>
      </c>
      <c r="AE5" s="26" t="e">
        <f>SUMPRODUCT(('Phân công'!#REF!='Thù lao'!A5)*(RIGHT('Phân công'!#REF!,3)="14C")*('Phân công'!#REF!="Tiếng Việt"))</f>
        <v>#REF!</v>
      </c>
      <c r="AF5" s="27" t="e">
        <f>SUMPRODUCT(('Phân công'!#REF!='Thù lao'!A5)*(RIGHT('Phân công'!#REF!,3)="14C")*('Phân công'!#REF!="Tiếng Anh"))</f>
        <v>#REF!</v>
      </c>
      <c r="AG5" s="26" t="e">
        <f>SUMPRODUCT(('Phân công'!#REF!='Thù lao'!A5)*(RIGHT('Phân công'!#REF!,3)="4CA"))</f>
        <v>#REF!</v>
      </c>
      <c r="AH5" s="25" t="e">
        <f>SUMPRODUCT(('Phân công'!#REF!='Thù lao'!A5)*(RIGHT('Phân công'!#REF!,3)="404"))</f>
        <v>#REF!</v>
      </c>
      <c r="AI5" s="29" t="e">
        <f>SUMPRODUCT(('Phân công'!#REF!='Thù lao'!A5)*(RIGHT('Phân công'!#REF!,3)="412"))</f>
        <v>#REF!</v>
      </c>
      <c r="AJ5" s="29" t="e">
        <f>SUMPRODUCT(('Phân công'!#REF!='Thù lao'!A5)*(RIGHT('Phân công'!#REF!,3)="414"))</f>
        <v>#REF!</v>
      </c>
      <c r="AK5" s="26" t="e">
        <f>SUMPRODUCT(('Phân công'!#REF!='Thù lao'!A5)*(RIGHT('Phân công'!#REF!,3)="04C")*('Phân công'!#REF!="Tiếng Việt"))</f>
        <v>#REF!</v>
      </c>
      <c r="AL5" s="26" t="e">
        <f>SUMPRODUCT(('Phân công'!#REF!='Thù lao'!A5)*(RIGHT('Phân công'!#REF!,3)="04C")*('Phân công'!#REF!="Tiếng Anh"))</f>
        <v>#REF!</v>
      </c>
      <c r="AM5" s="26" t="e">
        <f>SUMPRODUCT(('Phân công'!#REF!='Thù lao'!A5)*(RIGHT('Phân công'!#REF!,3)="14C")*('Phân công'!#REF!="Tiếng Việt"))</f>
        <v>#REF!</v>
      </c>
      <c r="AN5" s="27" t="e">
        <f>SUMPRODUCT(('Phân công'!#REF!='Thù lao'!A5)*(RIGHT('Phân công'!#REF!,3)="14C")*('Phân công'!#REF!="Tiếng Anh"))</f>
        <v>#REF!</v>
      </c>
      <c r="AO5" s="26" t="e">
        <f>SUMPRODUCT(('Phân công'!#REF!='Thù lao'!A5)*(RIGHT('Phân công'!#REF!,3)="4CA"))</f>
        <v>#REF!</v>
      </c>
      <c r="AP5" s="25" t="e">
        <f>SUMPRODUCT(('Phân công'!#REF!='Thù lao'!A5)*(RIGHT('Phân công'!#REF!,3)="404"))</f>
        <v>#REF!</v>
      </c>
      <c r="AQ5" s="29" t="e">
        <f>SUMPRODUCT(('Phân công'!#REF!='Thù lao'!A5)*(RIGHT('Phân công'!#REF!,3)="412"))</f>
        <v>#REF!</v>
      </c>
      <c r="AR5" s="29" t="e">
        <f>SUMPRODUCT(('Phân công'!#REF!='Thù lao'!A5)*(RIGHT('Phân công'!#REF!,3)="414"))</f>
        <v>#REF!</v>
      </c>
      <c r="AS5" s="26" t="e">
        <f>SUMPRODUCT(('Phân công'!#REF!='Thù lao'!A5)*(RIGHT('Phân công'!#REF!,3)="04C")*('Phân công'!#REF!="Tiếng Việt"))</f>
        <v>#REF!</v>
      </c>
      <c r="AT5" s="26" t="e">
        <f>SUMPRODUCT(('Phân công'!#REF!='Thù lao'!A5)*(RIGHT('Phân công'!#REF!,3)="04C")*('Phân công'!#REF!="Tiếng Anh"))</f>
        <v>#REF!</v>
      </c>
      <c r="AU5" s="26" t="e">
        <f>SUMPRODUCT(('Phân công'!#REF!='Thù lao'!A5)*(RIGHT('Phân công'!#REF!,3)="14C")*('Phân công'!#REF!="Tiếng Việt"))</f>
        <v>#REF!</v>
      </c>
      <c r="AV5" s="27" t="e">
        <f>SUMPRODUCT(('Phân công'!#REF!='Thù lao'!A5)*(RIGHT('Phân công'!#REF!,3)="14C")*('Phân công'!#REF!="Tiếng Anh"))</f>
        <v>#REF!</v>
      </c>
      <c r="AW5" s="26" t="e">
        <f>SUMPRODUCT(('Phân công'!#REF!='Thù lao'!A5)*(RIGHT('Phân công'!#REF!,3)="4CA"))</f>
        <v>#REF!</v>
      </c>
      <c r="AX5" s="25" t="e">
        <f t="shared" ref="AX5:BE5" si="11">AP5+AH5+Z5+R5</f>
        <v>#REF!</v>
      </c>
      <c r="AY5" s="25" t="e">
        <f t="shared" si="11"/>
        <v>#REF!</v>
      </c>
      <c r="AZ5" s="25" t="e">
        <f t="shared" si="11"/>
        <v>#REF!</v>
      </c>
      <c r="BA5" s="25" t="e">
        <f t="shared" si="11"/>
        <v>#REF!</v>
      </c>
      <c r="BB5" s="25" t="e">
        <f t="shared" si="11"/>
        <v>#REF!</v>
      </c>
      <c r="BC5" s="25" t="e">
        <f t="shared" si="11"/>
        <v>#REF!</v>
      </c>
      <c r="BD5" s="25" t="e">
        <f t="shared" si="11"/>
        <v>#REF!</v>
      </c>
      <c r="BE5" s="25" t="e">
        <f t="shared" si="11"/>
        <v>#REF!</v>
      </c>
      <c r="BF5" s="30" t="e">
        <f t="shared" si="1"/>
        <v>#REF!</v>
      </c>
      <c r="BG5" s="30" t="e">
        <f t="shared" si="2"/>
        <v>#REF!</v>
      </c>
      <c r="BH5" s="30" t="e">
        <f t="shared" si="3"/>
        <v>#REF!</v>
      </c>
      <c r="BI5" s="30" t="e">
        <f t="shared" si="4"/>
        <v>#REF!</v>
      </c>
      <c r="BJ5" s="30" t="e">
        <f t="shared" si="5"/>
        <v>#REF!</v>
      </c>
      <c r="BK5" s="30" t="e">
        <f t="shared" si="6"/>
        <v>#REF!</v>
      </c>
      <c r="BL5" s="31" t="e">
        <f t="shared" si="7"/>
        <v>#REF!</v>
      </c>
      <c r="BM5" s="31" t="e">
        <f t="shared" si="8"/>
        <v>#REF!</v>
      </c>
      <c r="BN5" s="31" t="e">
        <f t="shared" si="9"/>
        <v>#REF!</v>
      </c>
      <c r="BO5" s="31" t="e">
        <f t="shared" si="10"/>
        <v>#REF!</v>
      </c>
    </row>
    <row r="6" spans="1:67" ht="15.75" customHeight="1" x14ac:dyDescent="0.35">
      <c r="A6" s="2" t="s">
        <v>253</v>
      </c>
      <c r="B6" s="25" t="e">
        <f>SUMPRODUCT(('Phân công'!#REF!=$A6)*('Phân công'!#REF!="X")*(RIGHT('Phân công'!#REF!,3)="404"))</f>
        <v>#REF!</v>
      </c>
      <c r="C6" s="26" t="e">
        <f>SUMPRODUCT(('Phân công'!#REF!=$A6)*('Phân công'!#REF!="X")*(RIGHT('Phân công'!#REF!,3)="412"))</f>
        <v>#REF!</v>
      </c>
      <c r="D6" s="26" t="e">
        <f>SUMPRODUCT(('Phân công'!#REF!=$A6)*('Phân công'!#REF!="X")*(RIGHT('Phân công'!#REF!,3)="414"))</f>
        <v>#REF!</v>
      </c>
      <c r="E6" s="26" t="e">
        <f>SUMPRODUCT(('Phân công'!#REF!=$A6)*('Phân công'!#REF!="X")*(RIGHT('Phân công'!#REF!,4)="404C")*('Phân công'!#REF!="Tiếng Việt"))</f>
        <v>#REF!</v>
      </c>
      <c r="F6" s="26" t="e">
        <f>SUMPRODUCT(('Phân công'!#REF!=$A6)*('Phân công'!#REF!="X")*(RIGHT('Phân công'!#REF!,4)="404C")*('Phân công'!#REF!="Tiếng Anh"))</f>
        <v>#REF!</v>
      </c>
      <c r="G6" s="26" t="e">
        <f>SUMPRODUCT(('Phân công'!#REF!=$A6)*('Phân công'!#REF!="X")*(RIGHT('Phân công'!#REF!,4)="414C")*('Phân công'!#REF!="Tiếng Việt"))</f>
        <v>#REF!</v>
      </c>
      <c r="H6" s="27" t="e">
        <f>SUMPRODUCT(('Phân công'!#REF!=$A6)*('Phân công'!#REF!="X")*(RIGHT('Phân công'!#REF!,4)="414C")*('Phân công'!#REF!="Tiếng Anh"))</f>
        <v>#REF!</v>
      </c>
      <c r="I6" s="28" t="e">
        <f>SUMPRODUCT(('Phân công'!#REF!=$A6)*('Phân công'!#REF!="X")*(RIGHT('Phân công'!#REF!,5)="404CA"))</f>
        <v>#REF!</v>
      </c>
      <c r="J6" s="25" t="e">
        <f>SUMPRODUCT(('Phân công'!#REF!=$A6)*('Phân công'!#REF!="X")*(RIGHT('Phân công'!#REF!,3)="404"))</f>
        <v>#REF!</v>
      </c>
      <c r="K6" s="26" t="e">
        <f>SUMPRODUCT(('Phân công'!#REF!=$A6)*('Phân công'!#REF!="X")*(RIGHT('Phân công'!#REF!,3)="412"))</f>
        <v>#REF!</v>
      </c>
      <c r="L6" s="26" t="e">
        <f>SUMPRODUCT(('Phân công'!#REF!=$A6)*('Phân công'!#REF!="X")*(RIGHT('Phân công'!#REF!,3)="414"))</f>
        <v>#REF!</v>
      </c>
      <c r="M6" s="26" t="e">
        <f>SUMPRODUCT(('Phân công'!#REF!=$A6)*('Phân công'!#REF!="X")*(RIGHT('Phân công'!#REF!,3)="04C")*('Phân công'!#REF!="Tiếng Việt"))</f>
        <v>#REF!</v>
      </c>
      <c r="N6" s="26" t="e">
        <f>SUMPRODUCT(('Phân công'!#REF!=$A6)*('Phân công'!#REF!="X")*(RIGHT('Phân công'!#REF!,3)="04C")*('Phân công'!#REF!="Tiếng Anh"))</f>
        <v>#REF!</v>
      </c>
      <c r="O6" s="26" t="e">
        <f>SUMPRODUCT(('Phân công'!#REF!=$A6)*('Phân công'!#REF!="X")*(RIGHT('Phân công'!#REF!,3)="14C")*('Phân công'!#REF!="Tiếng Việt"))</f>
        <v>#REF!</v>
      </c>
      <c r="P6" s="27" t="e">
        <f>SUMPRODUCT(('Phân công'!#REF!=$A6)*('Phân công'!#REF!="X")*(RIGHT('Phân công'!#REF!,3)="14C")*('Phân công'!#REF!="Tiếng Anh"))</f>
        <v>#REF!</v>
      </c>
      <c r="Q6" s="28" t="e">
        <f>SUMPRODUCT(('Phân công'!#REF!=$A6)*('Phân công'!#REF!="X")*(RIGHT('Phân công'!#REF!,3)="4CA"))</f>
        <v>#REF!</v>
      </c>
      <c r="R6" s="25" t="e">
        <f>SUMPRODUCT(('Phân công'!#REF!='Thù lao'!A6)*(RIGHT('Phân công'!#REF!,3)="404"))</f>
        <v>#REF!</v>
      </c>
      <c r="S6" s="29" t="e">
        <f>SUMPRODUCT(('Phân công'!#REF!='Thù lao'!A6)*(RIGHT('Phân công'!#REF!,3)="412"))</f>
        <v>#REF!</v>
      </c>
      <c r="T6" s="29" t="e">
        <f>SUMPRODUCT(('Phân công'!#REF!='Thù lao'!A6)*(RIGHT('Phân công'!#REF!,3)="414"))</f>
        <v>#REF!</v>
      </c>
      <c r="U6" s="26" t="e">
        <f>SUMPRODUCT(('Phân công'!#REF!='Thù lao'!A6)*(RIGHT('Phân công'!#REF!,3)="04C")*('Phân công'!#REF!="Tiếng Việt"))</f>
        <v>#REF!</v>
      </c>
      <c r="V6" s="26" t="e">
        <f>SUMPRODUCT(('Phân công'!#REF!='Thù lao'!A6)*(RIGHT('Phân công'!#REF!,3)="04C")*('Phân công'!#REF!="Tiếng Anh"))</f>
        <v>#REF!</v>
      </c>
      <c r="W6" s="26" t="e">
        <f>SUMPRODUCT(('Phân công'!#REF!='Thù lao'!A6)*(RIGHT('Phân công'!#REF!,3)="14C")*('Phân công'!#REF!="Tiếng Việt"))</f>
        <v>#REF!</v>
      </c>
      <c r="X6" s="27" t="e">
        <f>SUMPRODUCT(('Phân công'!#REF!='Thù lao'!A6)*(RIGHT('Phân công'!#REF!,3)="14C")*('Phân công'!#REF!="Tiếng Anh"))</f>
        <v>#REF!</v>
      </c>
      <c r="Y6" s="26" t="e">
        <f>SUMPRODUCT(('Phân công'!#REF!='Thù lao'!A6)*(RIGHT('Phân công'!#REF!,3)="4CA"))</f>
        <v>#REF!</v>
      </c>
      <c r="Z6" s="25" t="e">
        <f>SUMPRODUCT(('Phân công'!#REF!='Thù lao'!A6)*(RIGHT('Phân công'!#REF!,3)="404"))</f>
        <v>#REF!</v>
      </c>
      <c r="AA6" s="29" t="e">
        <f>SUMPRODUCT(('Phân công'!#REF!='Thù lao'!A6)*(RIGHT('Phân công'!#REF!,3)="412"))</f>
        <v>#REF!</v>
      </c>
      <c r="AB6" s="29" t="e">
        <f>SUMPRODUCT(('Phân công'!#REF!='Thù lao'!A6)*(RIGHT('Phân công'!#REF!,3)="414"))</f>
        <v>#REF!</v>
      </c>
      <c r="AC6" s="26" t="e">
        <f>SUMPRODUCT(('Phân công'!#REF!='Thù lao'!A6)*(RIGHT('Phân công'!#REF!,3)="04C")*('Phân công'!#REF!="Tiếng Việt"))</f>
        <v>#REF!</v>
      </c>
      <c r="AD6" s="26" t="e">
        <f>SUMPRODUCT(('Phân công'!#REF!='Thù lao'!A6)*(RIGHT('Phân công'!#REF!,3)="04C")*('Phân công'!#REF!="Tiếng Anh"))</f>
        <v>#REF!</v>
      </c>
      <c r="AE6" s="26" t="e">
        <f>SUMPRODUCT(('Phân công'!#REF!='Thù lao'!A6)*(RIGHT('Phân công'!#REF!,3)="14C")*('Phân công'!#REF!="Tiếng Việt"))</f>
        <v>#REF!</v>
      </c>
      <c r="AF6" s="27" t="e">
        <f>SUMPRODUCT(('Phân công'!#REF!='Thù lao'!A6)*(RIGHT('Phân công'!#REF!,3)="14C")*('Phân công'!#REF!="Tiếng Anh"))</f>
        <v>#REF!</v>
      </c>
      <c r="AG6" s="26" t="e">
        <f>SUMPRODUCT(('Phân công'!#REF!='Thù lao'!A6)*(RIGHT('Phân công'!#REF!,3)="4CA"))</f>
        <v>#REF!</v>
      </c>
      <c r="AH6" s="25" t="e">
        <f>SUMPRODUCT(('Phân công'!#REF!='Thù lao'!A6)*(RIGHT('Phân công'!#REF!,3)="404"))</f>
        <v>#REF!</v>
      </c>
      <c r="AI6" s="29" t="e">
        <f>SUMPRODUCT(('Phân công'!#REF!='Thù lao'!A6)*(RIGHT('Phân công'!#REF!,3)="412"))</f>
        <v>#REF!</v>
      </c>
      <c r="AJ6" s="29" t="e">
        <f>SUMPRODUCT(('Phân công'!#REF!='Thù lao'!A6)*(RIGHT('Phân công'!#REF!,3)="414"))</f>
        <v>#REF!</v>
      </c>
      <c r="AK6" s="26" t="e">
        <f>SUMPRODUCT(('Phân công'!#REF!='Thù lao'!A6)*(RIGHT('Phân công'!#REF!,3)="04C")*('Phân công'!#REF!="Tiếng Việt"))</f>
        <v>#REF!</v>
      </c>
      <c r="AL6" s="26" t="e">
        <f>SUMPRODUCT(('Phân công'!#REF!='Thù lao'!A6)*(RIGHT('Phân công'!#REF!,3)="04C")*('Phân công'!#REF!="Tiếng Anh"))</f>
        <v>#REF!</v>
      </c>
      <c r="AM6" s="26" t="e">
        <f>SUMPRODUCT(('Phân công'!#REF!='Thù lao'!A6)*(RIGHT('Phân công'!#REF!,3)="14C")*('Phân công'!#REF!="Tiếng Việt"))</f>
        <v>#REF!</v>
      </c>
      <c r="AN6" s="27" t="e">
        <f>SUMPRODUCT(('Phân công'!#REF!='Thù lao'!A6)*(RIGHT('Phân công'!#REF!,3)="14C")*('Phân công'!#REF!="Tiếng Anh"))</f>
        <v>#REF!</v>
      </c>
      <c r="AO6" s="26" t="e">
        <f>SUMPRODUCT(('Phân công'!#REF!='Thù lao'!A6)*(RIGHT('Phân công'!#REF!,3)="4CA"))</f>
        <v>#REF!</v>
      </c>
      <c r="AP6" s="25" t="e">
        <f>SUMPRODUCT(('Phân công'!#REF!='Thù lao'!A6)*(RIGHT('Phân công'!#REF!,3)="404"))</f>
        <v>#REF!</v>
      </c>
      <c r="AQ6" s="29" t="e">
        <f>SUMPRODUCT(('Phân công'!#REF!='Thù lao'!A6)*(RIGHT('Phân công'!#REF!,3)="412"))</f>
        <v>#REF!</v>
      </c>
      <c r="AR6" s="29" t="e">
        <f>SUMPRODUCT(('Phân công'!#REF!='Thù lao'!A6)*(RIGHT('Phân công'!#REF!,3)="414"))</f>
        <v>#REF!</v>
      </c>
      <c r="AS6" s="26" t="e">
        <f>SUMPRODUCT(('Phân công'!#REF!='Thù lao'!A6)*(RIGHT('Phân công'!#REF!,3)="04C")*('Phân công'!#REF!="Tiếng Việt"))</f>
        <v>#REF!</v>
      </c>
      <c r="AT6" s="26" t="e">
        <f>SUMPRODUCT(('Phân công'!#REF!='Thù lao'!A6)*(RIGHT('Phân công'!#REF!,3)="04C")*('Phân công'!#REF!="Tiếng Anh"))</f>
        <v>#REF!</v>
      </c>
      <c r="AU6" s="26" t="e">
        <f>SUMPRODUCT(('Phân công'!#REF!='Thù lao'!A6)*(RIGHT('Phân công'!#REF!,3)="14C")*('Phân công'!#REF!="Tiếng Việt"))</f>
        <v>#REF!</v>
      </c>
      <c r="AV6" s="27" t="e">
        <f>SUMPRODUCT(('Phân công'!#REF!='Thù lao'!A6)*(RIGHT('Phân công'!#REF!,3)="14C")*('Phân công'!#REF!="Tiếng Anh"))</f>
        <v>#REF!</v>
      </c>
      <c r="AW6" s="26" t="e">
        <f>SUMPRODUCT(('Phân công'!#REF!='Thù lao'!A6)*(RIGHT('Phân công'!#REF!,3)="4CA"))</f>
        <v>#REF!</v>
      </c>
      <c r="AX6" s="25" t="e">
        <f t="shared" ref="AX6:BE6" si="12">AP6+AH6+Z6+R6</f>
        <v>#REF!</v>
      </c>
      <c r="AY6" s="25" t="e">
        <f t="shared" si="12"/>
        <v>#REF!</v>
      </c>
      <c r="AZ6" s="25" t="e">
        <f t="shared" si="12"/>
        <v>#REF!</v>
      </c>
      <c r="BA6" s="25" t="e">
        <f t="shared" si="12"/>
        <v>#REF!</v>
      </c>
      <c r="BB6" s="25" t="e">
        <f t="shared" si="12"/>
        <v>#REF!</v>
      </c>
      <c r="BC6" s="25" t="e">
        <f t="shared" si="12"/>
        <v>#REF!</v>
      </c>
      <c r="BD6" s="25" t="e">
        <f t="shared" si="12"/>
        <v>#REF!</v>
      </c>
      <c r="BE6" s="25" t="e">
        <f t="shared" si="12"/>
        <v>#REF!</v>
      </c>
      <c r="BF6" s="30" t="e">
        <f t="shared" si="1"/>
        <v>#REF!</v>
      </c>
      <c r="BG6" s="30" t="e">
        <f t="shared" si="2"/>
        <v>#REF!</v>
      </c>
      <c r="BH6" s="30" t="e">
        <f t="shared" si="3"/>
        <v>#REF!</v>
      </c>
      <c r="BI6" s="30" t="e">
        <f t="shared" si="4"/>
        <v>#REF!</v>
      </c>
      <c r="BJ6" s="30" t="e">
        <f t="shared" si="5"/>
        <v>#REF!</v>
      </c>
      <c r="BK6" s="30" t="e">
        <f t="shared" si="6"/>
        <v>#REF!</v>
      </c>
      <c r="BL6" s="31" t="e">
        <f t="shared" si="7"/>
        <v>#REF!</v>
      </c>
      <c r="BM6" s="31" t="e">
        <f t="shared" si="8"/>
        <v>#REF!</v>
      </c>
      <c r="BN6" s="31" t="e">
        <f t="shared" si="9"/>
        <v>#REF!</v>
      </c>
      <c r="BO6" s="31" t="e">
        <f t="shared" si="10"/>
        <v>#REF!</v>
      </c>
    </row>
    <row r="7" spans="1:67" ht="15.75" customHeight="1" x14ac:dyDescent="0.35">
      <c r="A7" s="2" t="s">
        <v>10</v>
      </c>
      <c r="B7" s="25" t="e">
        <f>SUMPRODUCT(('Phân công'!#REF!=$A7)*('Phân công'!#REF!="X")*(RIGHT('Phân công'!#REF!,3)="404"))</f>
        <v>#REF!</v>
      </c>
      <c r="C7" s="26" t="e">
        <f>SUMPRODUCT(('Phân công'!#REF!=$A7)*('Phân công'!#REF!="X")*(RIGHT('Phân công'!#REF!,3)="412"))</f>
        <v>#REF!</v>
      </c>
      <c r="D7" s="26" t="e">
        <f>SUMPRODUCT(('Phân công'!#REF!=$A7)*('Phân công'!#REF!="X")*(RIGHT('Phân công'!#REF!,3)="414"))</f>
        <v>#REF!</v>
      </c>
      <c r="E7" s="26" t="e">
        <f>SUMPRODUCT(('Phân công'!#REF!=$A7)*('Phân công'!#REF!="X")*(RIGHT('Phân công'!#REF!,4)="404C")*('Phân công'!#REF!="Tiếng Việt"))</f>
        <v>#REF!</v>
      </c>
      <c r="F7" s="26" t="e">
        <f>SUMPRODUCT(('Phân công'!#REF!=$A7)*('Phân công'!#REF!="X")*(RIGHT('Phân công'!#REF!,4)="404C")*('Phân công'!#REF!="Tiếng Anh"))</f>
        <v>#REF!</v>
      </c>
      <c r="G7" s="26" t="e">
        <f>SUMPRODUCT(('Phân công'!#REF!=$A7)*('Phân công'!#REF!="X")*(RIGHT('Phân công'!#REF!,4)="414C")*('Phân công'!#REF!="Tiếng Việt"))</f>
        <v>#REF!</v>
      </c>
      <c r="H7" s="27" t="e">
        <f>SUMPRODUCT(('Phân công'!#REF!=$A7)*('Phân công'!#REF!="X")*(RIGHT('Phân công'!#REF!,4)="414C")*('Phân công'!#REF!="Tiếng Anh"))</f>
        <v>#REF!</v>
      </c>
      <c r="I7" s="28" t="e">
        <f>SUMPRODUCT(('Phân công'!#REF!=$A7)*('Phân công'!#REF!="X")*(RIGHT('Phân công'!#REF!,5)="404CA"))</f>
        <v>#REF!</v>
      </c>
      <c r="J7" s="25" t="e">
        <f>SUMPRODUCT(('Phân công'!#REF!=$A7)*('Phân công'!#REF!="X")*(RIGHT('Phân công'!#REF!,3)="404"))</f>
        <v>#REF!</v>
      </c>
      <c r="K7" s="26" t="e">
        <f>SUMPRODUCT(('Phân công'!#REF!=$A7)*('Phân công'!#REF!="X")*(RIGHT('Phân công'!#REF!,3)="412"))</f>
        <v>#REF!</v>
      </c>
      <c r="L7" s="26" t="e">
        <f>SUMPRODUCT(('Phân công'!#REF!=$A7)*('Phân công'!#REF!="X")*(RIGHT('Phân công'!#REF!,3)="414"))</f>
        <v>#REF!</v>
      </c>
      <c r="M7" s="26" t="e">
        <f>SUMPRODUCT(('Phân công'!#REF!=$A7)*('Phân công'!#REF!="X")*(RIGHT('Phân công'!#REF!,3)="04C")*('Phân công'!#REF!="Tiếng Việt"))</f>
        <v>#REF!</v>
      </c>
      <c r="N7" s="26" t="e">
        <f>SUMPRODUCT(('Phân công'!#REF!=$A7)*('Phân công'!#REF!="X")*(RIGHT('Phân công'!#REF!,3)="04C")*('Phân công'!#REF!="Tiếng Anh"))</f>
        <v>#REF!</v>
      </c>
      <c r="O7" s="26" t="e">
        <f>SUMPRODUCT(('Phân công'!#REF!=$A7)*('Phân công'!#REF!="X")*(RIGHT('Phân công'!#REF!,3)="14C")*('Phân công'!#REF!="Tiếng Việt"))</f>
        <v>#REF!</v>
      </c>
      <c r="P7" s="27" t="e">
        <f>SUMPRODUCT(('Phân công'!#REF!=$A7)*('Phân công'!#REF!="X")*(RIGHT('Phân công'!#REF!,3)="14C")*('Phân công'!#REF!="Tiếng Anh"))</f>
        <v>#REF!</v>
      </c>
      <c r="Q7" s="28" t="e">
        <f>SUMPRODUCT(('Phân công'!#REF!=$A7)*('Phân công'!#REF!="X")*(RIGHT('Phân công'!#REF!,3)="4CA"))</f>
        <v>#REF!</v>
      </c>
      <c r="R7" s="25" t="e">
        <f>SUMPRODUCT(('Phân công'!#REF!='Thù lao'!A7)*(RIGHT('Phân công'!#REF!,3)="404"))</f>
        <v>#REF!</v>
      </c>
      <c r="S7" s="29" t="e">
        <f>SUMPRODUCT(('Phân công'!#REF!='Thù lao'!A7)*(RIGHT('Phân công'!#REF!,3)="412"))</f>
        <v>#REF!</v>
      </c>
      <c r="T7" s="29" t="e">
        <f>SUMPRODUCT(('Phân công'!#REF!='Thù lao'!A7)*(RIGHT('Phân công'!#REF!,3)="414"))</f>
        <v>#REF!</v>
      </c>
      <c r="U7" s="26" t="e">
        <f>SUMPRODUCT(('Phân công'!#REF!='Thù lao'!A7)*(RIGHT('Phân công'!#REF!,3)="04C")*('Phân công'!#REF!="Tiếng Việt"))</f>
        <v>#REF!</v>
      </c>
      <c r="V7" s="26" t="e">
        <f>SUMPRODUCT(('Phân công'!#REF!='Thù lao'!A7)*(RIGHT('Phân công'!#REF!,3)="04C")*('Phân công'!#REF!="Tiếng Anh"))</f>
        <v>#REF!</v>
      </c>
      <c r="W7" s="26" t="e">
        <f>SUMPRODUCT(('Phân công'!#REF!='Thù lao'!A7)*(RIGHT('Phân công'!#REF!,3)="14C")*('Phân công'!#REF!="Tiếng Việt"))</f>
        <v>#REF!</v>
      </c>
      <c r="X7" s="27" t="e">
        <f>SUMPRODUCT(('Phân công'!#REF!='Thù lao'!A7)*(RIGHT('Phân công'!#REF!,3)="14C")*('Phân công'!#REF!="Tiếng Anh"))</f>
        <v>#REF!</v>
      </c>
      <c r="Y7" s="26" t="e">
        <f>SUMPRODUCT(('Phân công'!#REF!='Thù lao'!A7)*(RIGHT('Phân công'!#REF!,3)="4CA"))</f>
        <v>#REF!</v>
      </c>
      <c r="Z7" s="25" t="e">
        <f>SUMPRODUCT(('Phân công'!#REF!='Thù lao'!A7)*(RIGHT('Phân công'!#REF!,3)="404"))</f>
        <v>#REF!</v>
      </c>
      <c r="AA7" s="29" t="e">
        <f>SUMPRODUCT(('Phân công'!#REF!='Thù lao'!A7)*(RIGHT('Phân công'!#REF!,3)="412"))</f>
        <v>#REF!</v>
      </c>
      <c r="AB7" s="29" t="e">
        <f>SUMPRODUCT(('Phân công'!#REF!='Thù lao'!A7)*(RIGHT('Phân công'!#REF!,3)="414"))</f>
        <v>#REF!</v>
      </c>
      <c r="AC7" s="26" t="e">
        <f>SUMPRODUCT(('Phân công'!#REF!='Thù lao'!A7)*(RIGHT('Phân công'!#REF!,3)="04C")*('Phân công'!#REF!="Tiếng Việt"))</f>
        <v>#REF!</v>
      </c>
      <c r="AD7" s="26" t="e">
        <f>SUMPRODUCT(('Phân công'!#REF!='Thù lao'!A7)*(RIGHT('Phân công'!#REF!,3)="04C")*('Phân công'!#REF!="Tiếng Anh"))</f>
        <v>#REF!</v>
      </c>
      <c r="AE7" s="26" t="e">
        <f>SUMPRODUCT(('Phân công'!#REF!='Thù lao'!A7)*(RIGHT('Phân công'!#REF!,3)="14C")*('Phân công'!#REF!="Tiếng Việt"))</f>
        <v>#REF!</v>
      </c>
      <c r="AF7" s="27" t="e">
        <f>SUMPRODUCT(('Phân công'!#REF!='Thù lao'!A7)*(RIGHT('Phân công'!#REF!,3)="14C")*('Phân công'!#REF!="Tiếng Anh"))</f>
        <v>#REF!</v>
      </c>
      <c r="AG7" s="26" t="e">
        <f>SUMPRODUCT(('Phân công'!#REF!='Thù lao'!A7)*(RIGHT('Phân công'!#REF!,3)="4CA"))</f>
        <v>#REF!</v>
      </c>
      <c r="AH7" s="25" t="e">
        <f>SUMPRODUCT(('Phân công'!#REF!='Thù lao'!A7)*(RIGHT('Phân công'!#REF!,3)="404"))</f>
        <v>#REF!</v>
      </c>
      <c r="AI7" s="29" t="e">
        <f>SUMPRODUCT(('Phân công'!#REF!='Thù lao'!A7)*(RIGHT('Phân công'!#REF!,3)="412"))</f>
        <v>#REF!</v>
      </c>
      <c r="AJ7" s="29" t="e">
        <f>SUMPRODUCT(('Phân công'!#REF!='Thù lao'!A7)*(RIGHT('Phân công'!#REF!,3)="414"))</f>
        <v>#REF!</v>
      </c>
      <c r="AK7" s="26" t="e">
        <f>SUMPRODUCT(('Phân công'!#REF!='Thù lao'!A7)*(RIGHT('Phân công'!#REF!,3)="04C")*('Phân công'!#REF!="Tiếng Việt"))</f>
        <v>#REF!</v>
      </c>
      <c r="AL7" s="26" t="e">
        <f>SUMPRODUCT(('Phân công'!#REF!='Thù lao'!A7)*(RIGHT('Phân công'!#REF!,3)="04C")*('Phân công'!#REF!="Tiếng Anh"))</f>
        <v>#REF!</v>
      </c>
      <c r="AM7" s="26" t="e">
        <f>SUMPRODUCT(('Phân công'!#REF!='Thù lao'!A7)*(RIGHT('Phân công'!#REF!,3)="14C")*('Phân công'!#REF!="Tiếng Việt"))</f>
        <v>#REF!</v>
      </c>
      <c r="AN7" s="27" t="e">
        <f>SUMPRODUCT(('Phân công'!#REF!='Thù lao'!A7)*(RIGHT('Phân công'!#REF!,3)="14C")*('Phân công'!#REF!="Tiếng Anh"))</f>
        <v>#REF!</v>
      </c>
      <c r="AO7" s="26" t="e">
        <f>SUMPRODUCT(('Phân công'!#REF!='Thù lao'!A7)*(RIGHT('Phân công'!#REF!,3)="4CA"))</f>
        <v>#REF!</v>
      </c>
      <c r="AP7" s="25" t="e">
        <f>SUMPRODUCT(('Phân công'!#REF!='Thù lao'!A7)*(RIGHT('Phân công'!#REF!,3)="404"))</f>
        <v>#REF!</v>
      </c>
      <c r="AQ7" s="29" t="e">
        <f>SUMPRODUCT(('Phân công'!#REF!='Thù lao'!A7)*(RIGHT('Phân công'!#REF!,3)="412"))</f>
        <v>#REF!</v>
      </c>
      <c r="AR7" s="29" t="e">
        <f>SUMPRODUCT(('Phân công'!#REF!='Thù lao'!A7)*(RIGHT('Phân công'!#REF!,3)="414"))</f>
        <v>#REF!</v>
      </c>
      <c r="AS7" s="26" t="e">
        <f>SUMPRODUCT(('Phân công'!#REF!='Thù lao'!A7)*(RIGHT('Phân công'!#REF!,3)="04C")*('Phân công'!#REF!="Tiếng Việt"))</f>
        <v>#REF!</v>
      </c>
      <c r="AT7" s="26" t="e">
        <f>SUMPRODUCT(('Phân công'!#REF!='Thù lao'!A7)*(RIGHT('Phân công'!#REF!,3)="04C")*('Phân công'!#REF!="Tiếng Anh"))</f>
        <v>#REF!</v>
      </c>
      <c r="AU7" s="26" t="e">
        <f>SUMPRODUCT(('Phân công'!#REF!='Thù lao'!A7)*(RIGHT('Phân công'!#REF!,3)="14C")*('Phân công'!#REF!="Tiếng Việt"))</f>
        <v>#REF!</v>
      </c>
      <c r="AV7" s="27" t="e">
        <f>SUMPRODUCT(('Phân công'!#REF!='Thù lao'!A7)*(RIGHT('Phân công'!#REF!,3)="14C")*('Phân công'!#REF!="Tiếng Anh"))</f>
        <v>#REF!</v>
      </c>
      <c r="AW7" s="26" t="e">
        <f>SUMPRODUCT(('Phân công'!#REF!='Thù lao'!A7)*(RIGHT('Phân công'!#REF!,3)="4CA"))</f>
        <v>#REF!</v>
      </c>
      <c r="AX7" s="25" t="e">
        <f t="shared" ref="AX7:BE7" si="13">AP7+AH7+Z7+R7</f>
        <v>#REF!</v>
      </c>
      <c r="AY7" s="25" t="e">
        <f t="shared" si="13"/>
        <v>#REF!</v>
      </c>
      <c r="AZ7" s="25" t="e">
        <f t="shared" si="13"/>
        <v>#REF!</v>
      </c>
      <c r="BA7" s="25" t="e">
        <f t="shared" si="13"/>
        <v>#REF!</v>
      </c>
      <c r="BB7" s="25" t="e">
        <f t="shared" si="13"/>
        <v>#REF!</v>
      </c>
      <c r="BC7" s="25" t="e">
        <f t="shared" si="13"/>
        <v>#REF!</v>
      </c>
      <c r="BD7" s="25" t="e">
        <f t="shared" si="13"/>
        <v>#REF!</v>
      </c>
      <c r="BE7" s="25" t="e">
        <f t="shared" si="13"/>
        <v>#REF!</v>
      </c>
      <c r="BF7" s="30" t="e">
        <f t="shared" si="1"/>
        <v>#REF!</v>
      </c>
      <c r="BG7" s="30" t="e">
        <f t="shared" si="2"/>
        <v>#REF!</v>
      </c>
      <c r="BH7" s="30" t="e">
        <f t="shared" si="3"/>
        <v>#REF!</v>
      </c>
      <c r="BI7" s="30" t="e">
        <f t="shared" si="4"/>
        <v>#REF!</v>
      </c>
      <c r="BJ7" s="30" t="e">
        <f t="shared" si="5"/>
        <v>#REF!</v>
      </c>
      <c r="BK7" s="30" t="e">
        <f t="shared" si="6"/>
        <v>#REF!</v>
      </c>
      <c r="BL7" s="31" t="e">
        <f t="shared" si="7"/>
        <v>#REF!</v>
      </c>
      <c r="BM7" s="31" t="e">
        <f t="shared" si="8"/>
        <v>#REF!</v>
      </c>
      <c r="BN7" s="31" t="e">
        <f t="shared" si="9"/>
        <v>#REF!</v>
      </c>
      <c r="BO7" s="31" t="e">
        <f t="shared" si="10"/>
        <v>#REF!</v>
      </c>
    </row>
    <row r="8" spans="1:67" ht="15.75" customHeight="1" x14ac:dyDescent="0.35">
      <c r="A8" s="2" t="s">
        <v>66</v>
      </c>
      <c r="B8" s="25" t="e">
        <f>SUMPRODUCT(('Phân công'!#REF!=$A8)*('Phân công'!#REF!="X")*(RIGHT('Phân công'!#REF!,3)="404"))</f>
        <v>#REF!</v>
      </c>
      <c r="C8" s="26" t="e">
        <f>SUMPRODUCT(('Phân công'!#REF!=$A8)*('Phân công'!#REF!="X")*(RIGHT('Phân công'!#REF!,3)="412"))</f>
        <v>#REF!</v>
      </c>
      <c r="D8" s="26" t="e">
        <f>SUMPRODUCT(('Phân công'!#REF!=$A8)*('Phân công'!#REF!="X")*(RIGHT('Phân công'!#REF!,3)="414"))</f>
        <v>#REF!</v>
      </c>
      <c r="E8" s="26" t="e">
        <f>SUMPRODUCT(('Phân công'!#REF!=$A8)*('Phân công'!#REF!="X")*(RIGHT('Phân công'!#REF!,4)="404C")*('Phân công'!#REF!="Tiếng Việt"))</f>
        <v>#REF!</v>
      </c>
      <c r="F8" s="26" t="e">
        <f>SUMPRODUCT(('Phân công'!#REF!=$A8)*('Phân công'!#REF!="X")*(RIGHT('Phân công'!#REF!,4)="404C")*('Phân công'!#REF!="Tiếng Anh"))</f>
        <v>#REF!</v>
      </c>
      <c r="G8" s="26" t="e">
        <f>SUMPRODUCT(('Phân công'!#REF!=$A8)*('Phân công'!#REF!="X")*(RIGHT('Phân công'!#REF!,4)="414C")*('Phân công'!#REF!="Tiếng Việt"))</f>
        <v>#REF!</v>
      </c>
      <c r="H8" s="27" t="e">
        <f>SUMPRODUCT(('Phân công'!#REF!=$A8)*('Phân công'!#REF!="X")*(RIGHT('Phân công'!#REF!,4)="414C")*('Phân công'!#REF!="Tiếng Anh"))</f>
        <v>#REF!</v>
      </c>
      <c r="I8" s="28" t="e">
        <f>SUMPRODUCT(('Phân công'!#REF!=$A8)*('Phân công'!#REF!="X")*(RIGHT('Phân công'!#REF!,5)="404CA"))</f>
        <v>#REF!</v>
      </c>
      <c r="J8" s="25" t="e">
        <f>SUMPRODUCT(('Phân công'!#REF!=$A8)*('Phân công'!#REF!="X")*(RIGHT('Phân công'!#REF!,3)="404"))</f>
        <v>#REF!</v>
      </c>
      <c r="K8" s="26" t="e">
        <f>SUMPRODUCT(('Phân công'!#REF!=$A8)*('Phân công'!#REF!="X")*(RIGHT('Phân công'!#REF!,3)="412"))</f>
        <v>#REF!</v>
      </c>
      <c r="L8" s="26" t="e">
        <f>SUMPRODUCT(('Phân công'!#REF!=$A8)*('Phân công'!#REF!="X")*(RIGHT('Phân công'!#REF!,3)="414"))</f>
        <v>#REF!</v>
      </c>
      <c r="M8" s="26" t="e">
        <f>SUMPRODUCT(('Phân công'!#REF!=$A8)*('Phân công'!#REF!="X")*(RIGHT('Phân công'!#REF!,3)="04C")*('Phân công'!#REF!="Tiếng Việt"))</f>
        <v>#REF!</v>
      </c>
      <c r="N8" s="26" t="e">
        <f>SUMPRODUCT(('Phân công'!#REF!=$A8)*('Phân công'!#REF!="X")*(RIGHT('Phân công'!#REF!,3)="04C")*('Phân công'!#REF!="Tiếng Anh"))</f>
        <v>#REF!</v>
      </c>
      <c r="O8" s="26" t="e">
        <f>SUMPRODUCT(('Phân công'!#REF!=$A8)*('Phân công'!#REF!="X")*(RIGHT('Phân công'!#REF!,3)="14C")*('Phân công'!#REF!="Tiếng Việt"))</f>
        <v>#REF!</v>
      </c>
      <c r="P8" s="27" t="e">
        <f>SUMPRODUCT(('Phân công'!#REF!=$A8)*('Phân công'!#REF!="X")*(RIGHT('Phân công'!#REF!,3)="14C")*('Phân công'!#REF!="Tiếng Anh"))</f>
        <v>#REF!</v>
      </c>
      <c r="Q8" s="28" t="e">
        <f>SUMPRODUCT(('Phân công'!#REF!=$A8)*('Phân công'!#REF!="X")*(RIGHT('Phân công'!#REF!,3)="4CA"))</f>
        <v>#REF!</v>
      </c>
      <c r="R8" s="25" t="e">
        <f>SUMPRODUCT(('Phân công'!#REF!='Thù lao'!A8)*(RIGHT('Phân công'!#REF!,3)="404"))</f>
        <v>#REF!</v>
      </c>
      <c r="S8" s="29" t="e">
        <f>SUMPRODUCT(('Phân công'!#REF!='Thù lao'!A8)*(RIGHT('Phân công'!#REF!,3)="412"))</f>
        <v>#REF!</v>
      </c>
      <c r="T8" s="29" t="e">
        <f>SUMPRODUCT(('Phân công'!#REF!='Thù lao'!A8)*(RIGHT('Phân công'!#REF!,3)="414"))</f>
        <v>#REF!</v>
      </c>
      <c r="U8" s="26" t="e">
        <f>SUMPRODUCT(('Phân công'!#REF!='Thù lao'!A8)*(RIGHT('Phân công'!#REF!,3)="04C")*('Phân công'!#REF!="Tiếng Việt"))</f>
        <v>#REF!</v>
      </c>
      <c r="V8" s="26" t="e">
        <f>SUMPRODUCT(('Phân công'!#REF!='Thù lao'!A8)*(RIGHT('Phân công'!#REF!,3)="04C")*('Phân công'!#REF!="Tiếng Anh"))</f>
        <v>#REF!</v>
      </c>
      <c r="W8" s="26" t="e">
        <f>SUMPRODUCT(('Phân công'!#REF!='Thù lao'!A8)*(RIGHT('Phân công'!#REF!,3)="14C")*('Phân công'!#REF!="Tiếng Việt"))</f>
        <v>#REF!</v>
      </c>
      <c r="X8" s="27" t="e">
        <f>SUMPRODUCT(('Phân công'!#REF!='Thù lao'!A8)*(RIGHT('Phân công'!#REF!,3)="14C")*('Phân công'!#REF!="Tiếng Anh"))</f>
        <v>#REF!</v>
      </c>
      <c r="Y8" s="26" t="e">
        <f>SUMPRODUCT(('Phân công'!#REF!='Thù lao'!A8)*(RIGHT('Phân công'!#REF!,3)="4CA"))</f>
        <v>#REF!</v>
      </c>
      <c r="Z8" s="25" t="e">
        <f>SUMPRODUCT(('Phân công'!#REF!='Thù lao'!A8)*(RIGHT('Phân công'!#REF!,3)="404"))</f>
        <v>#REF!</v>
      </c>
      <c r="AA8" s="29" t="e">
        <f>SUMPRODUCT(('Phân công'!#REF!='Thù lao'!A8)*(RIGHT('Phân công'!#REF!,3)="412"))</f>
        <v>#REF!</v>
      </c>
      <c r="AB8" s="29" t="e">
        <f>SUMPRODUCT(('Phân công'!#REF!='Thù lao'!A8)*(RIGHT('Phân công'!#REF!,3)="414"))</f>
        <v>#REF!</v>
      </c>
      <c r="AC8" s="26" t="e">
        <f>SUMPRODUCT(('Phân công'!#REF!='Thù lao'!A8)*(RIGHT('Phân công'!#REF!,3)="04C")*('Phân công'!#REF!="Tiếng Việt"))</f>
        <v>#REF!</v>
      </c>
      <c r="AD8" s="26" t="e">
        <f>SUMPRODUCT(('Phân công'!#REF!='Thù lao'!A8)*(RIGHT('Phân công'!#REF!,3)="04C")*('Phân công'!#REF!="Tiếng Anh"))</f>
        <v>#REF!</v>
      </c>
      <c r="AE8" s="26" t="e">
        <f>SUMPRODUCT(('Phân công'!#REF!='Thù lao'!A8)*(RIGHT('Phân công'!#REF!,3)="14C")*('Phân công'!#REF!="Tiếng Việt"))</f>
        <v>#REF!</v>
      </c>
      <c r="AF8" s="27" t="e">
        <f>SUMPRODUCT(('Phân công'!#REF!='Thù lao'!A8)*(RIGHT('Phân công'!#REF!,3)="14C")*('Phân công'!#REF!="Tiếng Anh"))</f>
        <v>#REF!</v>
      </c>
      <c r="AG8" s="26" t="e">
        <f>SUMPRODUCT(('Phân công'!#REF!='Thù lao'!A8)*(RIGHT('Phân công'!#REF!,3)="4CA"))</f>
        <v>#REF!</v>
      </c>
      <c r="AH8" s="25" t="e">
        <f>SUMPRODUCT(('Phân công'!#REF!='Thù lao'!A8)*(RIGHT('Phân công'!#REF!,3)="404"))</f>
        <v>#REF!</v>
      </c>
      <c r="AI8" s="29" t="e">
        <f>SUMPRODUCT(('Phân công'!#REF!='Thù lao'!A8)*(RIGHT('Phân công'!#REF!,3)="412"))</f>
        <v>#REF!</v>
      </c>
      <c r="AJ8" s="29" t="e">
        <f>SUMPRODUCT(('Phân công'!#REF!='Thù lao'!A8)*(RIGHT('Phân công'!#REF!,3)="414"))</f>
        <v>#REF!</v>
      </c>
      <c r="AK8" s="26" t="e">
        <f>SUMPRODUCT(('Phân công'!#REF!='Thù lao'!A8)*(RIGHT('Phân công'!#REF!,3)="04C")*('Phân công'!#REF!="Tiếng Việt"))</f>
        <v>#REF!</v>
      </c>
      <c r="AL8" s="26" t="e">
        <f>SUMPRODUCT(('Phân công'!#REF!='Thù lao'!A8)*(RIGHT('Phân công'!#REF!,3)="04C")*('Phân công'!#REF!="Tiếng Anh"))</f>
        <v>#REF!</v>
      </c>
      <c r="AM8" s="26" t="e">
        <f>SUMPRODUCT(('Phân công'!#REF!='Thù lao'!A8)*(RIGHT('Phân công'!#REF!,3)="14C")*('Phân công'!#REF!="Tiếng Việt"))</f>
        <v>#REF!</v>
      </c>
      <c r="AN8" s="27" t="e">
        <f>SUMPRODUCT(('Phân công'!#REF!='Thù lao'!A8)*(RIGHT('Phân công'!#REF!,3)="14C")*('Phân công'!#REF!="Tiếng Anh"))</f>
        <v>#REF!</v>
      </c>
      <c r="AO8" s="26" t="e">
        <f>SUMPRODUCT(('Phân công'!#REF!='Thù lao'!A8)*(RIGHT('Phân công'!#REF!,3)="4CA"))</f>
        <v>#REF!</v>
      </c>
      <c r="AP8" s="25" t="e">
        <f>SUMPRODUCT(('Phân công'!#REF!='Thù lao'!A8)*(RIGHT('Phân công'!#REF!,3)="404"))</f>
        <v>#REF!</v>
      </c>
      <c r="AQ8" s="29" t="e">
        <f>SUMPRODUCT(('Phân công'!#REF!='Thù lao'!A8)*(RIGHT('Phân công'!#REF!,3)="412"))</f>
        <v>#REF!</v>
      </c>
      <c r="AR8" s="29" t="e">
        <f>SUMPRODUCT(('Phân công'!#REF!='Thù lao'!A8)*(RIGHT('Phân công'!#REF!,3)="414"))</f>
        <v>#REF!</v>
      </c>
      <c r="AS8" s="26" t="e">
        <f>SUMPRODUCT(('Phân công'!#REF!='Thù lao'!A8)*(RIGHT('Phân công'!#REF!,3)="04C")*('Phân công'!#REF!="Tiếng Việt"))</f>
        <v>#REF!</v>
      </c>
      <c r="AT8" s="26" t="e">
        <f>SUMPRODUCT(('Phân công'!#REF!='Thù lao'!A8)*(RIGHT('Phân công'!#REF!,3)="04C")*('Phân công'!#REF!="Tiếng Anh"))</f>
        <v>#REF!</v>
      </c>
      <c r="AU8" s="26" t="e">
        <f>SUMPRODUCT(('Phân công'!#REF!='Thù lao'!A8)*(RIGHT('Phân công'!#REF!,3)="14C")*('Phân công'!#REF!="Tiếng Việt"))</f>
        <v>#REF!</v>
      </c>
      <c r="AV8" s="27" t="e">
        <f>SUMPRODUCT(('Phân công'!#REF!='Thù lao'!A8)*(RIGHT('Phân công'!#REF!,3)="14C")*('Phân công'!#REF!="Tiếng Anh"))</f>
        <v>#REF!</v>
      </c>
      <c r="AW8" s="26" t="e">
        <f>SUMPRODUCT(('Phân công'!#REF!='Thù lao'!A8)*(RIGHT('Phân công'!#REF!,3)="4CA"))</f>
        <v>#REF!</v>
      </c>
      <c r="AX8" s="25" t="e">
        <f t="shared" ref="AX8:BE8" si="14">AP8+AH8+Z8+R8</f>
        <v>#REF!</v>
      </c>
      <c r="AY8" s="25" t="e">
        <f t="shared" si="14"/>
        <v>#REF!</v>
      </c>
      <c r="AZ8" s="25" t="e">
        <f t="shared" si="14"/>
        <v>#REF!</v>
      </c>
      <c r="BA8" s="25" t="e">
        <f t="shared" si="14"/>
        <v>#REF!</v>
      </c>
      <c r="BB8" s="25" t="e">
        <f t="shared" si="14"/>
        <v>#REF!</v>
      </c>
      <c r="BC8" s="25" t="e">
        <f t="shared" si="14"/>
        <v>#REF!</v>
      </c>
      <c r="BD8" s="25" t="e">
        <f t="shared" si="14"/>
        <v>#REF!</v>
      </c>
      <c r="BE8" s="25" t="e">
        <f t="shared" si="14"/>
        <v>#REF!</v>
      </c>
      <c r="BF8" s="30" t="e">
        <f t="shared" si="1"/>
        <v>#REF!</v>
      </c>
      <c r="BG8" s="30" t="e">
        <f t="shared" si="2"/>
        <v>#REF!</v>
      </c>
      <c r="BH8" s="30" t="e">
        <f t="shared" si="3"/>
        <v>#REF!</v>
      </c>
      <c r="BI8" s="30" t="e">
        <f t="shared" si="4"/>
        <v>#REF!</v>
      </c>
      <c r="BJ8" s="30" t="e">
        <f t="shared" si="5"/>
        <v>#REF!</v>
      </c>
      <c r="BK8" s="30" t="e">
        <f t="shared" si="6"/>
        <v>#REF!</v>
      </c>
      <c r="BL8" s="31" t="e">
        <f t="shared" si="7"/>
        <v>#REF!</v>
      </c>
      <c r="BM8" s="31" t="e">
        <f t="shared" si="8"/>
        <v>#REF!</v>
      </c>
      <c r="BN8" s="31" t="e">
        <f t="shared" si="9"/>
        <v>#REF!</v>
      </c>
      <c r="BO8" s="31" t="e">
        <f t="shared" si="10"/>
        <v>#REF!</v>
      </c>
    </row>
    <row r="9" spans="1:67" ht="15.75" customHeight="1" x14ac:dyDescent="0.35">
      <c r="A9" s="2" t="s">
        <v>9</v>
      </c>
      <c r="B9" s="25" t="e">
        <f>SUMPRODUCT(('Phân công'!#REF!=$A9)*('Phân công'!#REF!="X")*(RIGHT('Phân công'!#REF!,3)="404"))</f>
        <v>#REF!</v>
      </c>
      <c r="C9" s="26" t="e">
        <f>SUMPRODUCT(('Phân công'!#REF!=$A9)*('Phân công'!#REF!="X")*(RIGHT('Phân công'!#REF!,3)="412"))</f>
        <v>#REF!</v>
      </c>
      <c r="D9" s="26" t="e">
        <f>SUMPRODUCT(('Phân công'!#REF!=$A9)*('Phân công'!#REF!="X")*(RIGHT('Phân công'!#REF!,3)="414"))</f>
        <v>#REF!</v>
      </c>
      <c r="E9" s="26" t="e">
        <f>SUMPRODUCT(('Phân công'!#REF!=$A9)*('Phân công'!#REF!="X")*(RIGHT('Phân công'!#REF!,4)="404C")*('Phân công'!#REF!="Tiếng Việt"))</f>
        <v>#REF!</v>
      </c>
      <c r="F9" s="26" t="e">
        <f>SUMPRODUCT(('Phân công'!#REF!=$A9)*('Phân công'!#REF!="X")*(RIGHT('Phân công'!#REF!,4)="404C")*('Phân công'!#REF!="Tiếng Anh"))</f>
        <v>#REF!</v>
      </c>
      <c r="G9" s="26" t="e">
        <f>SUMPRODUCT(('Phân công'!#REF!=$A9)*('Phân công'!#REF!="X")*(RIGHT('Phân công'!#REF!,4)="414C")*('Phân công'!#REF!="Tiếng Việt"))</f>
        <v>#REF!</v>
      </c>
      <c r="H9" s="27" t="e">
        <f>SUMPRODUCT(('Phân công'!#REF!=$A9)*('Phân công'!#REF!="X")*(RIGHT('Phân công'!#REF!,4)="414C")*('Phân công'!#REF!="Tiếng Anh"))</f>
        <v>#REF!</v>
      </c>
      <c r="I9" s="28" t="e">
        <f>SUMPRODUCT(('Phân công'!#REF!=$A9)*('Phân công'!#REF!="X")*(RIGHT('Phân công'!#REF!,5)="404CA"))</f>
        <v>#REF!</v>
      </c>
      <c r="J9" s="25" t="e">
        <f>SUMPRODUCT(('Phân công'!#REF!=$A9)*('Phân công'!#REF!="X")*(RIGHT('Phân công'!#REF!,3)="404"))</f>
        <v>#REF!</v>
      </c>
      <c r="K9" s="26" t="e">
        <f>SUMPRODUCT(('Phân công'!#REF!=$A9)*('Phân công'!#REF!="X")*(RIGHT('Phân công'!#REF!,3)="412"))</f>
        <v>#REF!</v>
      </c>
      <c r="L9" s="26" t="e">
        <f>SUMPRODUCT(('Phân công'!#REF!=$A9)*('Phân công'!#REF!="X")*(RIGHT('Phân công'!#REF!,3)="414"))</f>
        <v>#REF!</v>
      </c>
      <c r="M9" s="26" t="e">
        <f>SUMPRODUCT(('Phân công'!#REF!=$A9)*('Phân công'!#REF!="X")*(RIGHT('Phân công'!#REF!,3)="04C")*('Phân công'!#REF!="Tiếng Việt"))</f>
        <v>#REF!</v>
      </c>
      <c r="N9" s="26" t="e">
        <f>SUMPRODUCT(('Phân công'!#REF!=$A9)*('Phân công'!#REF!="X")*(RIGHT('Phân công'!#REF!,3)="04C")*('Phân công'!#REF!="Tiếng Anh"))</f>
        <v>#REF!</v>
      </c>
      <c r="O9" s="26" t="e">
        <f>SUMPRODUCT(('Phân công'!#REF!=$A9)*('Phân công'!#REF!="X")*(RIGHT('Phân công'!#REF!,3)="14C")*('Phân công'!#REF!="Tiếng Việt"))</f>
        <v>#REF!</v>
      </c>
      <c r="P9" s="27" t="e">
        <f>SUMPRODUCT(('Phân công'!#REF!=$A9)*('Phân công'!#REF!="X")*(RIGHT('Phân công'!#REF!,3)="14C")*('Phân công'!#REF!="Tiếng Anh"))</f>
        <v>#REF!</v>
      </c>
      <c r="Q9" s="28" t="e">
        <f>SUMPRODUCT(('Phân công'!#REF!=$A9)*('Phân công'!#REF!="X")*(RIGHT('Phân công'!#REF!,3)="4CA"))</f>
        <v>#REF!</v>
      </c>
      <c r="R9" s="25" t="e">
        <f>SUMPRODUCT(('Phân công'!#REF!='Thù lao'!A9)*(RIGHT('Phân công'!#REF!,3)="404"))</f>
        <v>#REF!</v>
      </c>
      <c r="S9" s="29" t="e">
        <f>SUMPRODUCT(('Phân công'!#REF!='Thù lao'!A9)*(RIGHT('Phân công'!#REF!,3)="412"))</f>
        <v>#REF!</v>
      </c>
      <c r="T9" s="29" t="e">
        <f>SUMPRODUCT(('Phân công'!#REF!='Thù lao'!A9)*(RIGHT('Phân công'!#REF!,3)="414"))</f>
        <v>#REF!</v>
      </c>
      <c r="U9" s="26" t="e">
        <f>SUMPRODUCT(('Phân công'!#REF!='Thù lao'!A9)*(RIGHT('Phân công'!#REF!,3)="04C")*('Phân công'!#REF!="Tiếng Việt"))</f>
        <v>#REF!</v>
      </c>
      <c r="V9" s="26" t="e">
        <f>SUMPRODUCT(('Phân công'!#REF!='Thù lao'!A9)*(RIGHT('Phân công'!#REF!,3)="04C")*('Phân công'!#REF!="Tiếng Anh"))</f>
        <v>#REF!</v>
      </c>
      <c r="W9" s="26" t="e">
        <f>SUMPRODUCT(('Phân công'!#REF!='Thù lao'!A9)*(RIGHT('Phân công'!#REF!,3)="14C")*('Phân công'!#REF!="Tiếng Việt"))</f>
        <v>#REF!</v>
      </c>
      <c r="X9" s="27" t="e">
        <f>SUMPRODUCT(('Phân công'!#REF!='Thù lao'!A9)*(RIGHT('Phân công'!#REF!,3)="14C")*('Phân công'!#REF!="Tiếng Anh"))</f>
        <v>#REF!</v>
      </c>
      <c r="Y9" s="26" t="e">
        <f>SUMPRODUCT(('Phân công'!#REF!='Thù lao'!A9)*(RIGHT('Phân công'!#REF!,3)="4CA"))</f>
        <v>#REF!</v>
      </c>
      <c r="Z9" s="25" t="e">
        <f>SUMPRODUCT(('Phân công'!#REF!='Thù lao'!A9)*(RIGHT('Phân công'!#REF!,3)="404"))</f>
        <v>#REF!</v>
      </c>
      <c r="AA9" s="29" t="e">
        <f>SUMPRODUCT(('Phân công'!#REF!='Thù lao'!A9)*(RIGHT('Phân công'!#REF!,3)="412"))</f>
        <v>#REF!</v>
      </c>
      <c r="AB9" s="29" t="e">
        <f>SUMPRODUCT(('Phân công'!#REF!='Thù lao'!A9)*(RIGHT('Phân công'!#REF!,3)="414"))</f>
        <v>#REF!</v>
      </c>
      <c r="AC9" s="26" t="e">
        <f>SUMPRODUCT(('Phân công'!#REF!='Thù lao'!A9)*(RIGHT('Phân công'!#REF!,3)="04C")*('Phân công'!#REF!="Tiếng Việt"))</f>
        <v>#REF!</v>
      </c>
      <c r="AD9" s="26" t="e">
        <f>SUMPRODUCT(('Phân công'!#REF!='Thù lao'!A9)*(RIGHT('Phân công'!#REF!,3)="04C")*('Phân công'!#REF!="Tiếng Anh"))</f>
        <v>#REF!</v>
      </c>
      <c r="AE9" s="26" t="e">
        <f>SUMPRODUCT(('Phân công'!#REF!='Thù lao'!A9)*(RIGHT('Phân công'!#REF!,3)="14C")*('Phân công'!#REF!="Tiếng Việt"))</f>
        <v>#REF!</v>
      </c>
      <c r="AF9" s="27" t="e">
        <f>SUMPRODUCT(('Phân công'!#REF!='Thù lao'!A9)*(RIGHT('Phân công'!#REF!,3)="14C")*('Phân công'!#REF!="Tiếng Anh"))</f>
        <v>#REF!</v>
      </c>
      <c r="AG9" s="26" t="e">
        <f>SUMPRODUCT(('Phân công'!#REF!='Thù lao'!A9)*(RIGHT('Phân công'!#REF!,3)="4CA"))</f>
        <v>#REF!</v>
      </c>
      <c r="AH9" s="25" t="e">
        <f>SUMPRODUCT(('Phân công'!#REF!='Thù lao'!A9)*(RIGHT('Phân công'!#REF!,3)="404"))</f>
        <v>#REF!</v>
      </c>
      <c r="AI9" s="29" t="e">
        <f>SUMPRODUCT(('Phân công'!#REF!='Thù lao'!A9)*(RIGHT('Phân công'!#REF!,3)="412"))</f>
        <v>#REF!</v>
      </c>
      <c r="AJ9" s="29" t="e">
        <f>SUMPRODUCT(('Phân công'!#REF!='Thù lao'!A9)*(RIGHT('Phân công'!#REF!,3)="414"))</f>
        <v>#REF!</v>
      </c>
      <c r="AK9" s="26" t="e">
        <f>SUMPRODUCT(('Phân công'!#REF!='Thù lao'!A9)*(RIGHT('Phân công'!#REF!,3)="04C")*('Phân công'!#REF!="Tiếng Việt"))</f>
        <v>#REF!</v>
      </c>
      <c r="AL9" s="26" t="e">
        <f>SUMPRODUCT(('Phân công'!#REF!='Thù lao'!A9)*(RIGHT('Phân công'!#REF!,3)="04C")*('Phân công'!#REF!="Tiếng Anh"))</f>
        <v>#REF!</v>
      </c>
      <c r="AM9" s="26" t="e">
        <f>SUMPRODUCT(('Phân công'!#REF!='Thù lao'!A9)*(RIGHT('Phân công'!#REF!,3)="14C")*('Phân công'!#REF!="Tiếng Việt"))</f>
        <v>#REF!</v>
      </c>
      <c r="AN9" s="27" t="e">
        <f>SUMPRODUCT(('Phân công'!#REF!='Thù lao'!A9)*(RIGHT('Phân công'!#REF!,3)="14C")*('Phân công'!#REF!="Tiếng Anh"))</f>
        <v>#REF!</v>
      </c>
      <c r="AO9" s="26" t="e">
        <f>SUMPRODUCT(('Phân công'!#REF!='Thù lao'!A9)*(RIGHT('Phân công'!#REF!,3)="4CA"))</f>
        <v>#REF!</v>
      </c>
      <c r="AP9" s="25" t="e">
        <f>SUMPRODUCT(('Phân công'!#REF!='Thù lao'!A9)*(RIGHT('Phân công'!#REF!,3)="404"))</f>
        <v>#REF!</v>
      </c>
      <c r="AQ9" s="29" t="e">
        <f>SUMPRODUCT(('Phân công'!#REF!='Thù lao'!A9)*(RIGHT('Phân công'!#REF!,3)="412"))</f>
        <v>#REF!</v>
      </c>
      <c r="AR9" s="29" t="e">
        <f>SUMPRODUCT(('Phân công'!#REF!='Thù lao'!A9)*(RIGHT('Phân công'!#REF!,3)="414"))</f>
        <v>#REF!</v>
      </c>
      <c r="AS9" s="26" t="e">
        <f>SUMPRODUCT(('Phân công'!#REF!='Thù lao'!A9)*(RIGHT('Phân công'!#REF!,3)="04C")*('Phân công'!#REF!="Tiếng Việt"))</f>
        <v>#REF!</v>
      </c>
      <c r="AT9" s="26" t="e">
        <f>SUMPRODUCT(('Phân công'!#REF!='Thù lao'!A9)*(RIGHT('Phân công'!#REF!,3)="04C")*('Phân công'!#REF!="Tiếng Anh"))</f>
        <v>#REF!</v>
      </c>
      <c r="AU9" s="26" t="e">
        <f>SUMPRODUCT(('Phân công'!#REF!='Thù lao'!A9)*(RIGHT('Phân công'!#REF!,3)="14C")*('Phân công'!#REF!="Tiếng Việt"))</f>
        <v>#REF!</v>
      </c>
      <c r="AV9" s="27" t="e">
        <f>SUMPRODUCT(('Phân công'!#REF!='Thù lao'!A9)*(RIGHT('Phân công'!#REF!,3)="14C")*('Phân công'!#REF!="Tiếng Anh"))</f>
        <v>#REF!</v>
      </c>
      <c r="AW9" s="26" t="e">
        <f>SUMPRODUCT(('Phân công'!#REF!='Thù lao'!A9)*(RIGHT('Phân công'!#REF!,3)="4CA"))</f>
        <v>#REF!</v>
      </c>
      <c r="AX9" s="25" t="e">
        <f t="shared" ref="AX9:BE9" si="15">AP9+AH9+Z9+R9</f>
        <v>#REF!</v>
      </c>
      <c r="AY9" s="25" t="e">
        <f t="shared" si="15"/>
        <v>#REF!</v>
      </c>
      <c r="AZ9" s="25" t="e">
        <f t="shared" si="15"/>
        <v>#REF!</v>
      </c>
      <c r="BA9" s="25" t="e">
        <f t="shared" si="15"/>
        <v>#REF!</v>
      </c>
      <c r="BB9" s="25" t="e">
        <f t="shared" si="15"/>
        <v>#REF!</v>
      </c>
      <c r="BC9" s="25" t="e">
        <f t="shared" si="15"/>
        <v>#REF!</v>
      </c>
      <c r="BD9" s="25" t="e">
        <f t="shared" si="15"/>
        <v>#REF!</v>
      </c>
      <c r="BE9" s="25" t="e">
        <f t="shared" si="15"/>
        <v>#REF!</v>
      </c>
      <c r="BF9" s="30" t="e">
        <f t="shared" si="1"/>
        <v>#REF!</v>
      </c>
      <c r="BG9" s="30" t="e">
        <f t="shared" si="2"/>
        <v>#REF!</v>
      </c>
      <c r="BH9" s="30" t="e">
        <f t="shared" si="3"/>
        <v>#REF!</v>
      </c>
      <c r="BI9" s="30" t="e">
        <f t="shared" si="4"/>
        <v>#REF!</v>
      </c>
      <c r="BJ9" s="30" t="e">
        <f t="shared" si="5"/>
        <v>#REF!</v>
      </c>
      <c r="BK9" s="30" t="e">
        <f t="shared" si="6"/>
        <v>#REF!</v>
      </c>
      <c r="BL9" s="31" t="e">
        <f t="shared" si="7"/>
        <v>#REF!</v>
      </c>
      <c r="BM9" s="31" t="e">
        <f t="shared" si="8"/>
        <v>#REF!</v>
      </c>
      <c r="BN9" s="31" t="e">
        <f t="shared" si="9"/>
        <v>#REF!</v>
      </c>
      <c r="BO9" s="31" t="e">
        <f t="shared" si="10"/>
        <v>#REF!</v>
      </c>
    </row>
    <row r="10" spans="1:67" ht="15.75" customHeight="1" x14ac:dyDescent="0.35">
      <c r="A10" s="2" t="s">
        <v>100</v>
      </c>
      <c r="B10" s="25" t="e">
        <f>SUMPRODUCT(('Phân công'!#REF!=$A10)*('Phân công'!#REF!="X")*(RIGHT('Phân công'!#REF!,3)="404"))</f>
        <v>#REF!</v>
      </c>
      <c r="C10" s="26" t="e">
        <f>SUMPRODUCT(('Phân công'!#REF!=$A10)*('Phân công'!#REF!="X")*(RIGHT('Phân công'!#REF!,3)="412"))</f>
        <v>#REF!</v>
      </c>
      <c r="D10" s="26" t="e">
        <f>SUMPRODUCT(('Phân công'!#REF!=$A10)*('Phân công'!#REF!="X")*(RIGHT('Phân công'!#REF!,3)="414"))</f>
        <v>#REF!</v>
      </c>
      <c r="E10" s="26" t="e">
        <f>SUMPRODUCT(('Phân công'!#REF!=$A10)*('Phân công'!#REF!="X")*(RIGHT('Phân công'!#REF!,4)="404C")*('Phân công'!#REF!="Tiếng Việt"))</f>
        <v>#REF!</v>
      </c>
      <c r="F10" s="26" t="e">
        <f>SUMPRODUCT(('Phân công'!#REF!=$A10)*('Phân công'!#REF!="X")*(RIGHT('Phân công'!#REF!,4)="404C")*('Phân công'!#REF!="Tiếng Anh"))</f>
        <v>#REF!</v>
      </c>
      <c r="G10" s="26" t="e">
        <f>SUMPRODUCT(('Phân công'!#REF!=$A10)*('Phân công'!#REF!="X")*(RIGHT('Phân công'!#REF!,4)="414C")*('Phân công'!#REF!="Tiếng Việt"))</f>
        <v>#REF!</v>
      </c>
      <c r="H10" s="27" t="e">
        <f>SUMPRODUCT(('Phân công'!#REF!=$A10)*('Phân công'!#REF!="X")*(RIGHT('Phân công'!#REF!,4)="414C")*('Phân công'!#REF!="Tiếng Anh"))</f>
        <v>#REF!</v>
      </c>
      <c r="I10" s="28" t="e">
        <f>SUMPRODUCT(('Phân công'!#REF!=$A10)*('Phân công'!#REF!="X")*(RIGHT('Phân công'!#REF!,5)="404CA"))</f>
        <v>#REF!</v>
      </c>
      <c r="J10" s="25" t="e">
        <f>SUMPRODUCT(('Phân công'!#REF!=$A10)*('Phân công'!#REF!="X")*(RIGHT('Phân công'!#REF!,3)="404"))</f>
        <v>#REF!</v>
      </c>
      <c r="K10" s="26" t="e">
        <f>SUMPRODUCT(('Phân công'!#REF!=$A10)*('Phân công'!#REF!="X")*(RIGHT('Phân công'!#REF!,3)="412"))</f>
        <v>#REF!</v>
      </c>
      <c r="L10" s="26" t="e">
        <f>SUMPRODUCT(('Phân công'!#REF!=$A10)*('Phân công'!#REF!="X")*(RIGHT('Phân công'!#REF!,3)="414"))</f>
        <v>#REF!</v>
      </c>
      <c r="M10" s="26" t="e">
        <f>SUMPRODUCT(('Phân công'!#REF!=$A10)*('Phân công'!#REF!="X")*(RIGHT('Phân công'!#REF!,3)="04C")*('Phân công'!#REF!="Tiếng Việt"))</f>
        <v>#REF!</v>
      </c>
      <c r="N10" s="26" t="e">
        <f>SUMPRODUCT(('Phân công'!#REF!=$A10)*('Phân công'!#REF!="X")*(RIGHT('Phân công'!#REF!,3)="04C")*('Phân công'!#REF!="Tiếng Anh"))</f>
        <v>#REF!</v>
      </c>
      <c r="O10" s="26" t="e">
        <f>SUMPRODUCT(('Phân công'!#REF!=$A10)*('Phân công'!#REF!="X")*(RIGHT('Phân công'!#REF!,3)="14C")*('Phân công'!#REF!="Tiếng Việt"))</f>
        <v>#REF!</v>
      </c>
      <c r="P10" s="27" t="e">
        <f>SUMPRODUCT(('Phân công'!#REF!=$A10)*('Phân công'!#REF!="X")*(RIGHT('Phân công'!#REF!,3)="14C")*('Phân công'!#REF!="Tiếng Anh"))</f>
        <v>#REF!</v>
      </c>
      <c r="Q10" s="28" t="e">
        <f>SUMPRODUCT(('Phân công'!#REF!=$A10)*('Phân công'!#REF!="X")*(RIGHT('Phân công'!#REF!,3)="4CA"))</f>
        <v>#REF!</v>
      </c>
      <c r="R10" s="25" t="e">
        <f>SUMPRODUCT(('Phân công'!#REF!='Thù lao'!A10)*(RIGHT('Phân công'!#REF!,3)="404"))</f>
        <v>#REF!</v>
      </c>
      <c r="S10" s="29" t="e">
        <f>SUMPRODUCT(('Phân công'!#REF!='Thù lao'!A10)*(RIGHT('Phân công'!#REF!,3)="412"))</f>
        <v>#REF!</v>
      </c>
      <c r="T10" s="29" t="e">
        <f>SUMPRODUCT(('Phân công'!#REF!='Thù lao'!A10)*(RIGHT('Phân công'!#REF!,3)="414"))</f>
        <v>#REF!</v>
      </c>
      <c r="U10" s="26" t="e">
        <f>SUMPRODUCT(('Phân công'!#REF!='Thù lao'!A10)*(RIGHT('Phân công'!#REF!,3)="04C")*('Phân công'!#REF!="Tiếng Việt"))</f>
        <v>#REF!</v>
      </c>
      <c r="V10" s="26" t="e">
        <f>SUMPRODUCT(('Phân công'!#REF!='Thù lao'!A10)*(RIGHT('Phân công'!#REF!,3)="04C")*('Phân công'!#REF!="Tiếng Anh"))</f>
        <v>#REF!</v>
      </c>
      <c r="W10" s="26" t="e">
        <f>SUMPRODUCT(('Phân công'!#REF!='Thù lao'!A10)*(RIGHT('Phân công'!#REF!,3)="14C")*('Phân công'!#REF!="Tiếng Việt"))</f>
        <v>#REF!</v>
      </c>
      <c r="X10" s="27" t="e">
        <f>SUMPRODUCT(('Phân công'!#REF!='Thù lao'!A10)*(RIGHT('Phân công'!#REF!,3)="14C")*('Phân công'!#REF!="Tiếng Anh"))</f>
        <v>#REF!</v>
      </c>
      <c r="Y10" s="26" t="e">
        <f>SUMPRODUCT(('Phân công'!#REF!='Thù lao'!A10)*(RIGHT('Phân công'!#REF!,3)="4CA"))</f>
        <v>#REF!</v>
      </c>
      <c r="Z10" s="25" t="e">
        <f>SUMPRODUCT(('Phân công'!#REF!='Thù lao'!A10)*(RIGHT('Phân công'!#REF!,3)="404"))</f>
        <v>#REF!</v>
      </c>
      <c r="AA10" s="29" t="e">
        <f>SUMPRODUCT(('Phân công'!#REF!='Thù lao'!A10)*(RIGHT('Phân công'!#REF!,3)="412"))</f>
        <v>#REF!</v>
      </c>
      <c r="AB10" s="29" t="e">
        <f>SUMPRODUCT(('Phân công'!#REF!='Thù lao'!A10)*(RIGHT('Phân công'!#REF!,3)="414"))</f>
        <v>#REF!</v>
      </c>
      <c r="AC10" s="26" t="e">
        <f>SUMPRODUCT(('Phân công'!#REF!='Thù lao'!A10)*(RIGHT('Phân công'!#REF!,3)="04C")*('Phân công'!#REF!="Tiếng Việt"))</f>
        <v>#REF!</v>
      </c>
      <c r="AD10" s="26" t="e">
        <f>SUMPRODUCT(('Phân công'!#REF!='Thù lao'!A10)*(RIGHT('Phân công'!#REF!,3)="04C")*('Phân công'!#REF!="Tiếng Anh"))</f>
        <v>#REF!</v>
      </c>
      <c r="AE10" s="26" t="e">
        <f>SUMPRODUCT(('Phân công'!#REF!='Thù lao'!A10)*(RIGHT('Phân công'!#REF!,3)="14C")*('Phân công'!#REF!="Tiếng Việt"))</f>
        <v>#REF!</v>
      </c>
      <c r="AF10" s="27" t="e">
        <f>SUMPRODUCT(('Phân công'!#REF!='Thù lao'!A10)*(RIGHT('Phân công'!#REF!,3)="14C")*('Phân công'!#REF!="Tiếng Anh"))</f>
        <v>#REF!</v>
      </c>
      <c r="AG10" s="26" t="e">
        <f>SUMPRODUCT(('Phân công'!#REF!='Thù lao'!A10)*(RIGHT('Phân công'!#REF!,3)="4CA"))</f>
        <v>#REF!</v>
      </c>
      <c r="AH10" s="25" t="e">
        <f>SUMPRODUCT(('Phân công'!#REF!='Thù lao'!A10)*(RIGHT('Phân công'!#REF!,3)="404"))</f>
        <v>#REF!</v>
      </c>
      <c r="AI10" s="29" t="e">
        <f>SUMPRODUCT(('Phân công'!#REF!='Thù lao'!A10)*(RIGHT('Phân công'!#REF!,3)="412"))</f>
        <v>#REF!</v>
      </c>
      <c r="AJ10" s="29" t="e">
        <f>SUMPRODUCT(('Phân công'!#REF!='Thù lao'!A10)*(RIGHT('Phân công'!#REF!,3)="414"))</f>
        <v>#REF!</v>
      </c>
      <c r="AK10" s="26" t="e">
        <f>SUMPRODUCT(('Phân công'!#REF!='Thù lao'!A10)*(RIGHT('Phân công'!#REF!,3)="04C")*('Phân công'!#REF!="Tiếng Việt"))</f>
        <v>#REF!</v>
      </c>
      <c r="AL10" s="26" t="e">
        <f>SUMPRODUCT(('Phân công'!#REF!='Thù lao'!A10)*(RIGHT('Phân công'!#REF!,3)="04C")*('Phân công'!#REF!="Tiếng Anh"))</f>
        <v>#REF!</v>
      </c>
      <c r="AM10" s="26" t="e">
        <f>SUMPRODUCT(('Phân công'!#REF!='Thù lao'!A10)*(RIGHT('Phân công'!#REF!,3)="14C")*('Phân công'!#REF!="Tiếng Việt"))</f>
        <v>#REF!</v>
      </c>
      <c r="AN10" s="27" t="e">
        <f>SUMPRODUCT(('Phân công'!#REF!='Thù lao'!A10)*(RIGHT('Phân công'!#REF!,3)="14C")*('Phân công'!#REF!="Tiếng Anh"))</f>
        <v>#REF!</v>
      </c>
      <c r="AO10" s="26" t="e">
        <f>SUMPRODUCT(('Phân công'!#REF!='Thù lao'!A10)*(RIGHT('Phân công'!#REF!,3)="4CA"))</f>
        <v>#REF!</v>
      </c>
      <c r="AP10" s="25" t="e">
        <f>SUMPRODUCT(('Phân công'!#REF!='Thù lao'!A10)*(RIGHT('Phân công'!#REF!,3)="404"))</f>
        <v>#REF!</v>
      </c>
      <c r="AQ10" s="29" t="e">
        <f>SUMPRODUCT(('Phân công'!#REF!='Thù lao'!A10)*(RIGHT('Phân công'!#REF!,3)="412"))</f>
        <v>#REF!</v>
      </c>
      <c r="AR10" s="29" t="e">
        <f>SUMPRODUCT(('Phân công'!#REF!='Thù lao'!A10)*(RIGHT('Phân công'!#REF!,3)="414"))</f>
        <v>#REF!</v>
      </c>
      <c r="AS10" s="26" t="e">
        <f>SUMPRODUCT(('Phân công'!#REF!='Thù lao'!A10)*(RIGHT('Phân công'!#REF!,3)="04C")*('Phân công'!#REF!="Tiếng Việt"))</f>
        <v>#REF!</v>
      </c>
      <c r="AT10" s="26" t="e">
        <f>SUMPRODUCT(('Phân công'!#REF!='Thù lao'!A10)*(RIGHT('Phân công'!#REF!,3)="04C")*('Phân công'!#REF!="Tiếng Anh"))</f>
        <v>#REF!</v>
      </c>
      <c r="AU10" s="26" t="e">
        <f>SUMPRODUCT(('Phân công'!#REF!='Thù lao'!A10)*(RIGHT('Phân công'!#REF!,3)="14C")*('Phân công'!#REF!="Tiếng Việt"))</f>
        <v>#REF!</v>
      </c>
      <c r="AV10" s="27" t="e">
        <f>SUMPRODUCT(('Phân công'!#REF!='Thù lao'!A10)*(RIGHT('Phân công'!#REF!,3)="14C")*('Phân công'!#REF!="Tiếng Anh"))</f>
        <v>#REF!</v>
      </c>
      <c r="AW10" s="26" t="e">
        <f>SUMPRODUCT(('Phân công'!#REF!='Thù lao'!A10)*(RIGHT('Phân công'!#REF!,3)="4CA"))</f>
        <v>#REF!</v>
      </c>
      <c r="AX10" s="25" t="e">
        <f t="shared" ref="AX10:BE10" si="16">AP10+AH10+Z10+R10</f>
        <v>#REF!</v>
      </c>
      <c r="AY10" s="25" t="e">
        <f t="shared" si="16"/>
        <v>#REF!</v>
      </c>
      <c r="AZ10" s="25" t="e">
        <f t="shared" si="16"/>
        <v>#REF!</v>
      </c>
      <c r="BA10" s="25" t="e">
        <f t="shared" si="16"/>
        <v>#REF!</v>
      </c>
      <c r="BB10" s="25" t="e">
        <f t="shared" si="16"/>
        <v>#REF!</v>
      </c>
      <c r="BC10" s="25" t="e">
        <f t="shared" si="16"/>
        <v>#REF!</v>
      </c>
      <c r="BD10" s="25" t="e">
        <f t="shared" si="16"/>
        <v>#REF!</v>
      </c>
      <c r="BE10" s="25" t="e">
        <f t="shared" si="16"/>
        <v>#REF!</v>
      </c>
      <c r="BF10" s="30" t="e">
        <f t="shared" si="1"/>
        <v>#REF!</v>
      </c>
      <c r="BG10" s="30" t="e">
        <f t="shared" si="2"/>
        <v>#REF!</v>
      </c>
      <c r="BH10" s="30" t="e">
        <f t="shared" si="3"/>
        <v>#REF!</v>
      </c>
      <c r="BI10" s="30" t="e">
        <f t="shared" si="4"/>
        <v>#REF!</v>
      </c>
      <c r="BJ10" s="30" t="e">
        <f t="shared" si="5"/>
        <v>#REF!</v>
      </c>
      <c r="BK10" s="30" t="e">
        <f t="shared" si="6"/>
        <v>#REF!</v>
      </c>
      <c r="BL10" s="31" t="e">
        <f t="shared" si="7"/>
        <v>#REF!</v>
      </c>
      <c r="BM10" s="31" t="e">
        <f t="shared" si="8"/>
        <v>#REF!</v>
      </c>
      <c r="BN10" s="31" t="e">
        <f t="shared" si="9"/>
        <v>#REF!</v>
      </c>
      <c r="BO10" s="31" t="e">
        <f t="shared" si="10"/>
        <v>#REF!</v>
      </c>
    </row>
    <row r="11" spans="1:67" ht="15.75" customHeight="1" x14ac:dyDescent="0.35">
      <c r="A11" s="2" t="s">
        <v>74</v>
      </c>
      <c r="B11" s="25" t="e">
        <f>SUMPRODUCT(('Phân công'!#REF!=$A11)*('Phân công'!#REF!="X")*(RIGHT('Phân công'!#REF!,3)="404"))</f>
        <v>#REF!</v>
      </c>
      <c r="C11" s="26" t="e">
        <f>SUMPRODUCT(('Phân công'!#REF!=$A11)*('Phân công'!#REF!="X")*(RIGHT('Phân công'!#REF!,3)="412"))</f>
        <v>#REF!</v>
      </c>
      <c r="D11" s="26" t="e">
        <f>SUMPRODUCT(('Phân công'!#REF!=$A11)*('Phân công'!#REF!="X")*(RIGHT('Phân công'!#REF!,3)="414"))</f>
        <v>#REF!</v>
      </c>
      <c r="E11" s="26" t="e">
        <f>SUMPRODUCT(('Phân công'!#REF!=$A11)*('Phân công'!#REF!="X")*(RIGHT('Phân công'!#REF!,4)="404C")*('Phân công'!#REF!="Tiếng Việt"))</f>
        <v>#REF!</v>
      </c>
      <c r="F11" s="26" t="e">
        <f>SUMPRODUCT(('Phân công'!#REF!=$A11)*('Phân công'!#REF!="X")*(RIGHT('Phân công'!#REF!,4)="404C")*('Phân công'!#REF!="Tiếng Anh"))</f>
        <v>#REF!</v>
      </c>
      <c r="G11" s="26" t="e">
        <f>SUMPRODUCT(('Phân công'!#REF!=$A11)*('Phân công'!#REF!="X")*(RIGHT('Phân công'!#REF!,4)="414C")*('Phân công'!#REF!="Tiếng Việt"))</f>
        <v>#REF!</v>
      </c>
      <c r="H11" s="27" t="e">
        <f>SUMPRODUCT(('Phân công'!#REF!=$A11)*('Phân công'!#REF!="X")*(RIGHT('Phân công'!#REF!,4)="414C")*('Phân công'!#REF!="Tiếng Anh"))</f>
        <v>#REF!</v>
      </c>
      <c r="I11" s="28" t="e">
        <f>SUMPRODUCT(('Phân công'!#REF!=$A11)*('Phân công'!#REF!="X")*(RIGHT('Phân công'!#REF!,5)="404CA"))</f>
        <v>#REF!</v>
      </c>
      <c r="J11" s="25" t="e">
        <f>SUMPRODUCT(('Phân công'!#REF!=$A11)*('Phân công'!#REF!="X")*(RIGHT('Phân công'!#REF!,3)="404"))</f>
        <v>#REF!</v>
      </c>
      <c r="K11" s="26" t="e">
        <f>SUMPRODUCT(('Phân công'!#REF!=$A11)*('Phân công'!#REF!="X")*(RIGHT('Phân công'!#REF!,3)="412"))</f>
        <v>#REF!</v>
      </c>
      <c r="L11" s="26" t="e">
        <f>SUMPRODUCT(('Phân công'!#REF!=$A11)*('Phân công'!#REF!="X")*(RIGHT('Phân công'!#REF!,3)="414"))</f>
        <v>#REF!</v>
      </c>
      <c r="M11" s="26" t="e">
        <f>SUMPRODUCT(('Phân công'!#REF!=$A11)*('Phân công'!#REF!="X")*(RIGHT('Phân công'!#REF!,3)="04C")*('Phân công'!#REF!="Tiếng Việt"))</f>
        <v>#REF!</v>
      </c>
      <c r="N11" s="26" t="e">
        <f>SUMPRODUCT(('Phân công'!#REF!=$A11)*('Phân công'!#REF!="X")*(RIGHT('Phân công'!#REF!,3)="04C")*('Phân công'!#REF!="Tiếng Anh"))</f>
        <v>#REF!</v>
      </c>
      <c r="O11" s="26" t="e">
        <f>SUMPRODUCT(('Phân công'!#REF!=$A11)*('Phân công'!#REF!="X")*(RIGHT('Phân công'!#REF!,3)="14C")*('Phân công'!#REF!="Tiếng Việt"))</f>
        <v>#REF!</v>
      </c>
      <c r="P11" s="27" t="e">
        <f>SUMPRODUCT(('Phân công'!#REF!=$A11)*('Phân công'!#REF!="X")*(RIGHT('Phân công'!#REF!,3)="14C")*('Phân công'!#REF!="Tiếng Anh"))</f>
        <v>#REF!</v>
      </c>
      <c r="Q11" s="28" t="e">
        <f>SUMPRODUCT(('Phân công'!#REF!=$A11)*('Phân công'!#REF!="X")*(RIGHT('Phân công'!#REF!,3)="4CA"))</f>
        <v>#REF!</v>
      </c>
      <c r="R11" s="25" t="e">
        <f>SUMPRODUCT(('Phân công'!#REF!='Thù lao'!A11)*(RIGHT('Phân công'!#REF!,3)="404"))</f>
        <v>#REF!</v>
      </c>
      <c r="S11" s="29" t="e">
        <f>SUMPRODUCT(('Phân công'!#REF!='Thù lao'!A11)*(RIGHT('Phân công'!#REF!,3)="412"))</f>
        <v>#REF!</v>
      </c>
      <c r="T11" s="29" t="e">
        <f>SUMPRODUCT(('Phân công'!#REF!='Thù lao'!A11)*(RIGHT('Phân công'!#REF!,3)="414"))</f>
        <v>#REF!</v>
      </c>
      <c r="U11" s="26" t="e">
        <f>SUMPRODUCT(('Phân công'!#REF!='Thù lao'!A11)*(RIGHT('Phân công'!#REF!,3)="04C")*('Phân công'!#REF!="Tiếng Việt"))</f>
        <v>#REF!</v>
      </c>
      <c r="V11" s="26" t="e">
        <f>SUMPRODUCT(('Phân công'!#REF!='Thù lao'!A11)*(RIGHT('Phân công'!#REF!,3)="04C")*('Phân công'!#REF!="Tiếng Anh"))</f>
        <v>#REF!</v>
      </c>
      <c r="W11" s="26" t="e">
        <f>SUMPRODUCT(('Phân công'!#REF!='Thù lao'!A11)*(RIGHT('Phân công'!#REF!,3)="14C")*('Phân công'!#REF!="Tiếng Việt"))</f>
        <v>#REF!</v>
      </c>
      <c r="X11" s="27" t="e">
        <f>SUMPRODUCT(('Phân công'!#REF!='Thù lao'!A11)*(RIGHT('Phân công'!#REF!,3)="14C")*('Phân công'!#REF!="Tiếng Anh"))</f>
        <v>#REF!</v>
      </c>
      <c r="Y11" s="26" t="e">
        <f>SUMPRODUCT(('Phân công'!#REF!='Thù lao'!A11)*(RIGHT('Phân công'!#REF!,3)="4CA"))</f>
        <v>#REF!</v>
      </c>
      <c r="Z11" s="25" t="e">
        <f>SUMPRODUCT(('Phân công'!#REF!='Thù lao'!A11)*(RIGHT('Phân công'!#REF!,3)="404"))</f>
        <v>#REF!</v>
      </c>
      <c r="AA11" s="29" t="e">
        <f>SUMPRODUCT(('Phân công'!#REF!='Thù lao'!A11)*(RIGHT('Phân công'!#REF!,3)="412"))</f>
        <v>#REF!</v>
      </c>
      <c r="AB11" s="29" t="e">
        <f>SUMPRODUCT(('Phân công'!#REF!='Thù lao'!A11)*(RIGHT('Phân công'!#REF!,3)="414"))</f>
        <v>#REF!</v>
      </c>
      <c r="AC11" s="26" t="e">
        <f>SUMPRODUCT(('Phân công'!#REF!='Thù lao'!A11)*(RIGHT('Phân công'!#REF!,3)="04C")*('Phân công'!#REF!="Tiếng Việt"))</f>
        <v>#REF!</v>
      </c>
      <c r="AD11" s="26" t="e">
        <f>SUMPRODUCT(('Phân công'!#REF!='Thù lao'!A11)*(RIGHT('Phân công'!#REF!,3)="04C")*('Phân công'!#REF!="Tiếng Anh"))</f>
        <v>#REF!</v>
      </c>
      <c r="AE11" s="26" t="e">
        <f>SUMPRODUCT(('Phân công'!#REF!='Thù lao'!A11)*(RIGHT('Phân công'!#REF!,3)="14C")*('Phân công'!#REF!="Tiếng Việt"))</f>
        <v>#REF!</v>
      </c>
      <c r="AF11" s="27" t="e">
        <f>SUMPRODUCT(('Phân công'!#REF!='Thù lao'!A11)*(RIGHT('Phân công'!#REF!,3)="14C")*('Phân công'!#REF!="Tiếng Anh"))</f>
        <v>#REF!</v>
      </c>
      <c r="AG11" s="26" t="e">
        <f>SUMPRODUCT(('Phân công'!#REF!='Thù lao'!A11)*(RIGHT('Phân công'!#REF!,3)="4CA"))</f>
        <v>#REF!</v>
      </c>
      <c r="AH11" s="25" t="e">
        <f>SUMPRODUCT(('Phân công'!#REF!='Thù lao'!A11)*(RIGHT('Phân công'!#REF!,3)="404"))</f>
        <v>#REF!</v>
      </c>
      <c r="AI11" s="29" t="e">
        <f>SUMPRODUCT(('Phân công'!#REF!='Thù lao'!A11)*(RIGHT('Phân công'!#REF!,3)="412"))</f>
        <v>#REF!</v>
      </c>
      <c r="AJ11" s="29" t="e">
        <f>SUMPRODUCT(('Phân công'!#REF!='Thù lao'!A11)*(RIGHT('Phân công'!#REF!,3)="414"))</f>
        <v>#REF!</v>
      </c>
      <c r="AK11" s="26" t="e">
        <f>SUMPRODUCT(('Phân công'!#REF!='Thù lao'!A11)*(RIGHT('Phân công'!#REF!,3)="04C")*('Phân công'!#REF!="Tiếng Việt"))</f>
        <v>#REF!</v>
      </c>
      <c r="AL11" s="26" t="e">
        <f>SUMPRODUCT(('Phân công'!#REF!='Thù lao'!A11)*(RIGHT('Phân công'!#REF!,3)="04C")*('Phân công'!#REF!="Tiếng Anh"))</f>
        <v>#REF!</v>
      </c>
      <c r="AM11" s="26" t="e">
        <f>SUMPRODUCT(('Phân công'!#REF!='Thù lao'!A11)*(RIGHT('Phân công'!#REF!,3)="14C")*('Phân công'!#REF!="Tiếng Việt"))</f>
        <v>#REF!</v>
      </c>
      <c r="AN11" s="27" t="e">
        <f>SUMPRODUCT(('Phân công'!#REF!='Thù lao'!A11)*(RIGHT('Phân công'!#REF!,3)="14C")*('Phân công'!#REF!="Tiếng Anh"))</f>
        <v>#REF!</v>
      </c>
      <c r="AO11" s="26" t="e">
        <f>SUMPRODUCT(('Phân công'!#REF!='Thù lao'!A11)*(RIGHT('Phân công'!#REF!,3)="4CA"))</f>
        <v>#REF!</v>
      </c>
      <c r="AP11" s="25" t="e">
        <f>SUMPRODUCT(('Phân công'!#REF!='Thù lao'!A11)*(RIGHT('Phân công'!#REF!,3)="404"))</f>
        <v>#REF!</v>
      </c>
      <c r="AQ11" s="29" t="e">
        <f>SUMPRODUCT(('Phân công'!#REF!='Thù lao'!A11)*(RIGHT('Phân công'!#REF!,3)="412"))</f>
        <v>#REF!</v>
      </c>
      <c r="AR11" s="29" t="e">
        <f>SUMPRODUCT(('Phân công'!#REF!='Thù lao'!A11)*(RIGHT('Phân công'!#REF!,3)="414"))</f>
        <v>#REF!</v>
      </c>
      <c r="AS11" s="26" t="e">
        <f>SUMPRODUCT(('Phân công'!#REF!='Thù lao'!A11)*(RIGHT('Phân công'!#REF!,3)="04C")*('Phân công'!#REF!="Tiếng Việt"))</f>
        <v>#REF!</v>
      </c>
      <c r="AT11" s="26" t="e">
        <f>SUMPRODUCT(('Phân công'!#REF!='Thù lao'!A11)*(RIGHT('Phân công'!#REF!,3)="04C")*('Phân công'!#REF!="Tiếng Anh"))</f>
        <v>#REF!</v>
      </c>
      <c r="AU11" s="26" t="e">
        <f>SUMPRODUCT(('Phân công'!#REF!='Thù lao'!A11)*(RIGHT('Phân công'!#REF!,3)="14C")*('Phân công'!#REF!="Tiếng Việt"))</f>
        <v>#REF!</v>
      </c>
      <c r="AV11" s="27" t="e">
        <f>SUMPRODUCT(('Phân công'!#REF!='Thù lao'!A11)*(RIGHT('Phân công'!#REF!,3)="14C")*('Phân công'!#REF!="Tiếng Anh"))</f>
        <v>#REF!</v>
      </c>
      <c r="AW11" s="26" t="e">
        <f>SUMPRODUCT(('Phân công'!#REF!='Thù lao'!A11)*(RIGHT('Phân công'!#REF!,3)="4CA"))</f>
        <v>#REF!</v>
      </c>
      <c r="AX11" s="25" t="e">
        <f t="shared" ref="AX11:BE11" si="17">AP11+AH11+Z11+R11</f>
        <v>#REF!</v>
      </c>
      <c r="AY11" s="25" t="e">
        <f t="shared" si="17"/>
        <v>#REF!</v>
      </c>
      <c r="AZ11" s="25" t="e">
        <f t="shared" si="17"/>
        <v>#REF!</v>
      </c>
      <c r="BA11" s="25" t="e">
        <f t="shared" si="17"/>
        <v>#REF!</v>
      </c>
      <c r="BB11" s="25" t="e">
        <f t="shared" si="17"/>
        <v>#REF!</v>
      </c>
      <c r="BC11" s="25" t="e">
        <f t="shared" si="17"/>
        <v>#REF!</v>
      </c>
      <c r="BD11" s="25" t="e">
        <f t="shared" si="17"/>
        <v>#REF!</v>
      </c>
      <c r="BE11" s="25" t="e">
        <f t="shared" si="17"/>
        <v>#REF!</v>
      </c>
      <c r="BF11" s="30" t="e">
        <f t="shared" si="1"/>
        <v>#REF!</v>
      </c>
      <c r="BG11" s="30" t="e">
        <f t="shared" si="2"/>
        <v>#REF!</v>
      </c>
      <c r="BH11" s="30" t="e">
        <f t="shared" si="3"/>
        <v>#REF!</v>
      </c>
      <c r="BI11" s="30" t="e">
        <f t="shared" si="4"/>
        <v>#REF!</v>
      </c>
      <c r="BJ11" s="30" t="e">
        <f t="shared" si="5"/>
        <v>#REF!</v>
      </c>
      <c r="BK11" s="30" t="e">
        <f t="shared" si="6"/>
        <v>#REF!</v>
      </c>
      <c r="BL11" s="31" t="e">
        <f t="shared" si="7"/>
        <v>#REF!</v>
      </c>
      <c r="BM11" s="31" t="e">
        <f t="shared" si="8"/>
        <v>#REF!</v>
      </c>
      <c r="BN11" s="31" t="e">
        <f t="shared" si="9"/>
        <v>#REF!</v>
      </c>
      <c r="BO11" s="31" t="e">
        <f t="shared" si="10"/>
        <v>#REF!</v>
      </c>
    </row>
    <row r="12" spans="1:67" ht="15.75" customHeight="1" x14ac:dyDescent="0.35">
      <c r="A12" s="2" t="s">
        <v>11</v>
      </c>
      <c r="B12" s="25" t="e">
        <f>SUMPRODUCT(('Phân công'!#REF!=$A12)*('Phân công'!#REF!="X")*(RIGHT('Phân công'!#REF!,3)="404"))</f>
        <v>#REF!</v>
      </c>
      <c r="C12" s="26" t="e">
        <f>SUMPRODUCT(('Phân công'!#REF!=$A12)*('Phân công'!#REF!="X")*(RIGHT('Phân công'!#REF!,3)="412"))</f>
        <v>#REF!</v>
      </c>
      <c r="D12" s="26" t="e">
        <f>SUMPRODUCT(('Phân công'!#REF!=$A12)*('Phân công'!#REF!="X")*(RIGHT('Phân công'!#REF!,3)="414"))</f>
        <v>#REF!</v>
      </c>
      <c r="E12" s="26" t="e">
        <f>SUMPRODUCT(('Phân công'!#REF!=$A12)*('Phân công'!#REF!="X")*(RIGHT('Phân công'!#REF!,4)="404C")*('Phân công'!#REF!="Tiếng Việt"))</f>
        <v>#REF!</v>
      </c>
      <c r="F12" s="26" t="e">
        <f>SUMPRODUCT(('Phân công'!#REF!=$A12)*('Phân công'!#REF!="X")*(RIGHT('Phân công'!#REF!,4)="404C")*('Phân công'!#REF!="Tiếng Anh"))</f>
        <v>#REF!</v>
      </c>
      <c r="G12" s="26" t="e">
        <f>SUMPRODUCT(('Phân công'!#REF!=$A12)*('Phân công'!#REF!="X")*(RIGHT('Phân công'!#REF!,4)="414C")*('Phân công'!#REF!="Tiếng Việt"))</f>
        <v>#REF!</v>
      </c>
      <c r="H12" s="27" t="e">
        <f>SUMPRODUCT(('Phân công'!#REF!=$A12)*('Phân công'!#REF!="X")*(RIGHT('Phân công'!#REF!,4)="414C")*('Phân công'!#REF!="Tiếng Anh"))</f>
        <v>#REF!</v>
      </c>
      <c r="I12" s="28" t="e">
        <f>SUMPRODUCT(('Phân công'!#REF!=$A12)*('Phân công'!#REF!="X")*(RIGHT('Phân công'!#REF!,5)="404CA"))</f>
        <v>#REF!</v>
      </c>
      <c r="J12" s="25" t="e">
        <f>SUMPRODUCT(('Phân công'!#REF!=$A12)*('Phân công'!#REF!="X")*(RIGHT('Phân công'!#REF!,3)="404"))</f>
        <v>#REF!</v>
      </c>
      <c r="K12" s="26" t="e">
        <f>SUMPRODUCT(('Phân công'!#REF!=$A12)*('Phân công'!#REF!="X")*(RIGHT('Phân công'!#REF!,3)="412"))</f>
        <v>#REF!</v>
      </c>
      <c r="L12" s="26" t="e">
        <f>SUMPRODUCT(('Phân công'!#REF!=$A12)*('Phân công'!#REF!="X")*(RIGHT('Phân công'!#REF!,3)="414"))</f>
        <v>#REF!</v>
      </c>
      <c r="M12" s="26" t="e">
        <f>SUMPRODUCT(('Phân công'!#REF!=$A12)*('Phân công'!#REF!="X")*(RIGHT('Phân công'!#REF!,3)="04C")*('Phân công'!#REF!="Tiếng Việt"))</f>
        <v>#REF!</v>
      </c>
      <c r="N12" s="26" t="e">
        <f>SUMPRODUCT(('Phân công'!#REF!=$A12)*('Phân công'!#REF!="X")*(RIGHT('Phân công'!#REF!,3)="04C")*('Phân công'!#REF!="Tiếng Anh"))</f>
        <v>#REF!</v>
      </c>
      <c r="O12" s="26" t="e">
        <f>SUMPRODUCT(('Phân công'!#REF!=$A12)*('Phân công'!#REF!="X")*(RIGHT('Phân công'!#REF!,3)="14C")*('Phân công'!#REF!="Tiếng Việt"))</f>
        <v>#REF!</v>
      </c>
      <c r="P12" s="27" t="e">
        <f>SUMPRODUCT(('Phân công'!#REF!=$A12)*('Phân công'!#REF!="X")*(RIGHT('Phân công'!#REF!,3)="14C")*('Phân công'!#REF!="Tiếng Anh"))</f>
        <v>#REF!</v>
      </c>
      <c r="Q12" s="28" t="e">
        <f>SUMPRODUCT(('Phân công'!#REF!=$A12)*('Phân công'!#REF!="X")*(RIGHT('Phân công'!#REF!,3)="4CA"))</f>
        <v>#REF!</v>
      </c>
      <c r="R12" s="25" t="e">
        <f>SUMPRODUCT(('Phân công'!#REF!='Thù lao'!A12)*(RIGHT('Phân công'!#REF!,3)="404"))</f>
        <v>#REF!</v>
      </c>
      <c r="S12" s="29" t="e">
        <f>SUMPRODUCT(('Phân công'!#REF!='Thù lao'!A12)*(RIGHT('Phân công'!#REF!,3)="412"))</f>
        <v>#REF!</v>
      </c>
      <c r="T12" s="29" t="e">
        <f>SUMPRODUCT(('Phân công'!#REF!='Thù lao'!A12)*(RIGHT('Phân công'!#REF!,3)="414"))</f>
        <v>#REF!</v>
      </c>
      <c r="U12" s="26" t="e">
        <f>SUMPRODUCT(('Phân công'!#REF!='Thù lao'!A12)*(RIGHT('Phân công'!#REF!,3)="04C")*('Phân công'!#REF!="Tiếng Việt"))</f>
        <v>#REF!</v>
      </c>
      <c r="V12" s="26" t="e">
        <f>SUMPRODUCT(('Phân công'!#REF!='Thù lao'!A12)*(RIGHT('Phân công'!#REF!,3)="04C")*('Phân công'!#REF!="Tiếng Anh"))</f>
        <v>#REF!</v>
      </c>
      <c r="W12" s="26" t="e">
        <f>SUMPRODUCT(('Phân công'!#REF!='Thù lao'!A12)*(RIGHT('Phân công'!#REF!,3)="14C")*('Phân công'!#REF!="Tiếng Việt"))</f>
        <v>#REF!</v>
      </c>
      <c r="X12" s="27" t="e">
        <f>SUMPRODUCT(('Phân công'!#REF!='Thù lao'!A12)*(RIGHT('Phân công'!#REF!,3)="14C")*('Phân công'!#REF!="Tiếng Anh"))</f>
        <v>#REF!</v>
      </c>
      <c r="Y12" s="26" t="e">
        <f>SUMPRODUCT(('Phân công'!#REF!='Thù lao'!A12)*(RIGHT('Phân công'!#REF!,3)="4CA"))</f>
        <v>#REF!</v>
      </c>
      <c r="Z12" s="25" t="e">
        <f>SUMPRODUCT(('Phân công'!#REF!='Thù lao'!A12)*(RIGHT('Phân công'!#REF!,3)="404"))</f>
        <v>#REF!</v>
      </c>
      <c r="AA12" s="29" t="e">
        <f>SUMPRODUCT(('Phân công'!#REF!='Thù lao'!A12)*(RIGHT('Phân công'!#REF!,3)="412"))</f>
        <v>#REF!</v>
      </c>
      <c r="AB12" s="29" t="e">
        <f>SUMPRODUCT(('Phân công'!#REF!='Thù lao'!A12)*(RIGHT('Phân công'!#REF!,3)="414"))</f>
        <v>#REF!</v>
      </c>
      <c r="AC12" s="26" t="e">
        <f>SUMPRODUCT(('Phân công'!#REF!='Thù lao'!A12)*(RIGHT('Phân công'!#REF!,3)="04C")*('Phân công'!#REF!="Tiếng Việt"))</f>
        <v>#REF!</v>
      </c>
      <c r="AD12" s="26" t="e">
        <f>SUMPRODUCT(('Phân công'!#REF!='Thù lao'!A12)*(RIGHT('Phân công'!#REF!,3)="04C")*('Phân công'!#REF!="Tiếng Anh"))</f>
        <v>#REF!</v>
      </c>
      <c r="AE12" s="26" t="e">
        <f>SUMPRODUCT(('Phân công'!#REF!='Thù lao'!A12)*(RIGHT('Phân công'!#REF!,3)="14C")*('Phân công'!#REF!="Tiếng Việt"))</f>
        <v>#REF!</v>
      </c>
      <c r="AF12" s="27" t="e">
        <f>SUMPRODUCT(('Phân công'!#REF!='Thù lao'!A12)*(RIGHT('Phân công'!#REF!,3)="14C")*('Phân công'!#REF!="Tiếng Anh"))</f>
        <v>#REF!</v>
      </c>
      <c r="AG12" s="26" t="e">
        <f>SUMPRODUCT(('Phân công'!#REF!='Thù lao'!A12)*(RIGHT('Phân công'!#REF!,3)="4CA"))</f>
        <v>#REF!</v>
      </c>
      <c r="AH12" s="25" t="e">
        <f>SUMPRODUCT(('Phân công'!#REF!='Thù lao'!A12)*(RIGHT('Phân công'!#REF!,3)="404"))</f>
        <v>#REF!</v>
      </c>
      <c r="AI12" s="29" t="e">
        <f>SUMPRODUCT(('Phân công'!#REF!='Thù lao'!A12)*(RIGHT('Phân công'!#REF!,3)="412"))</f>
        <v>#REF!</v>
      </c>
      <c r="AJ12" s="29" t="e">
        <f>SUMPRODUCT(('Phân công'!#REF!='Thù lao'!A12)*(RIGHT('Phân công'!#REF!,3)="414"))</f>
        <v>#REF!</v>
      </c>
      <c r="AK12" s="26" t="e">
        <f>SUMPRODUCT(('Phân công'!#REF!='Thù lao'!A12)*(RIGHT('Phân công'!#REF!,3)="04C")*('Phân công'!#REF!="Tiếng Việt"))</f>
        <v>#REF!</v>
      </c>
      <c r="AL12" s="26" t="e">
        <f>SUMPRODUCT(('Phân công'!#REF!='Thù lao'!A12)*(RIGHT('Phân công'!#REF!,3)="04C")*('Phân công'!#REF!="Tiếng Anh"))</f>
        <v>#REF!</v>
      </c>
      <c r="AM12" s="26" t="e">
        <f>SUMPRODUCT(('Phân công'!#REF!='Thù lao'!A12)*(RIGHT('Phân công'!#REF!,3)="14C")*('Phân công'!#REF!="Tiếng Việt"))</f>
        <v>#REF!</v>
      </c>
      <c r="AN12" s="27" t="e">
        <f>SUMPRODUCT(('Phân công'!#REF!='Thù lao'!A12)*(RIGHT('Phân công'!#REF!,3)="14C")*('Phân công'!#REF!="Tiếng Anh"))</f>
        <v>#REF!</v>
      </c>
      <c r="AO12" s="26" t="e">
        <f>SUMPRODUCT(('Phân công'!#REF!='Thù lao'!A12)*(RIGHT('Phân công'!#REF!,3)="4CA"))</f>
        <v>#REF!</v>
      </c>
      <c r="AP12" s="25" t="e">
        <f>SUMPRODUCT(('Phân công'!#REF!='Thù lao'!A12)*(RIGHT('Phân công'!#REF!,3)="404"))</f>
        <v>#REF!</v>
      </c>
      <c r="AQ12" s="29" t="e">
        <f>SUMPRODUCT(('Phân công'!#REF!='Thù lao'!A12)*(RIGHT('Phân công'!#REF!,3)="412"))</f>
        <v>#REF!</v>
      </c>
      <c r="AR12" s="29" t="e">
        <f>SUMPRODUCT(('Phân công'!#REF!='Thù lao'!A12)*(RIGHT('Phân công'!#REF!,3)="414"))</f>
        <v>#REF!</v>
      </c>
      <c r="AS12" s="26" t="e">
        <f>SUMPRODUCT(('Phân công'!#REF!='Thù lao'!A12)*(RIGHT('Phân công'!#REF!,3)="04C")*('Phân công'!#REF!="Tiếng Việt"))</f>
        <v>#REF!</v>
      </c>
      <c r="AT12" s="26" t="e">
        <f>SUMPRODUCT(('Phân công'!#REF!='Thù lao'!A12)*(RIGHT('Phân công'!#REF!,3)="04C")*('Phân công'!#REF!="Tiếng Anh"))</f>
        <v>#REF!</v>
      </c>
      <c r="AU12" s="26" t="e">
        <f>SUMPRODUCT(('Phân công'!#REF!='Thù lao'!A12)*(RIGHT('Phân công'!#REF!,3)="14C")*('Phân công'!#REF!="Tiếng Việt"))</f>
        <v>#REF!</v>
      </c>
      <c r="AV12" s="27" t="e">
        <f>SUMPRODUCT(('Phân công'!#REF!='Thù lao'!A12)*(RIGHT('Phân công'!#REF!,3)="14C")*('Phân công'!#REF!="Tiếng Anh"))</f>
        <v>#REF!</v>
      </c>
      <c r="AW12" s="26" t="e">
        <f>SUMPRODUCT(('Phân công'!#REF!='Thù lao'!A12)*(RIGHT('Phân công'!#REF!,3)="4CA"))</f>
        <v>#REF!</v>
      </c>
      <c r="AX12" s="25" t="e">
        <f t="shared" ref="AX12:BE12" si="18">AP12+AH12+Z12+R12</f>
        <v>#REF!</v>
      </c>
      <c r="AY12" s="25" t="e">
        <f t="shared" si="18"/>
        <v>#REF!</v>
      </c>
      <c r="AZ12" s="25" t="e">
        <f t="shared" si="18"/>
        <v>#REF!</v>
      </c>
      <c r="BA12" s="25" t="e">
        <f t="shared" si="18"/>
        <v>#REF!</v>
      </c>
      <c r="BB12" s="25" t="e">
        <f t="shared" si="18"/>
        <v>#REF!</v>
      </c>
      <c r="BC12" s="25" t="e">
        <f t="shared" si="18"/>
        <v>#REF!</v>
      </c>
      <c r="BD12" s="25" t="e">
        <f t="shared" si="18"/>
        <v>#REF!</v>
      </c>
      <c r="BE12" s="25" t="e">
        <f t="shared" si="18"/>
        <v>#REF!</v>
      </c>
      <c r="BF12" s="30" t="e">
        <f t="shared" si="1"/>
        <v>#REF!</v>
      </c>
      <c r="BG12" s="30" t="e">
        <f t="shared" si="2"/>
        <v>#REF!</v>
      </c>
      <c r="BH12" s="30" t="e">
        <f t="shared" si="3"/>
        <v>#REF!</v>
      </c>
      <c r="BI12" s="30" t="e">
        <f t="shared" si="4"/>
        <v>#REF!</v>
      </c>
      <c r="BJ12" s="30" t="e">
        <f t="shared" si="5"/>
        <v>#REF!</v>
      </c>
      <c r="BK12" s="30" t="e">
        <f t="shared" si="6"/>
        <v>#REF!</v>
      </c>
      <c r="BL12" s="31" t="e">
        <f t="shared" si="7"/>
        <v>#REF!</v>
      </c>
      <c r="BM12" s="31" t="e">
        <f t="shared" si="8"/>
        <v>#REF!</v>
      </c>
      <c r="BN12" s="31" t="e">
        <f t="shared" si="9"/>
        <v>#REF!</v>
      </c>
      <c r="BO12" s="31" t="e">
        <f t="shared" si="10"/>
        <v>#REF!</v>
      </c>
    </row>
    <row r="13" spans="1:67" ht="15.75" customHeight="1" x14ac:dyDescent="0.35">
      <c r="A13" s="2" t="s">
        <v>395</v>
      </c>
      <c r="B13" s="25" t="e">
        <f>SUMPRODUCT(('Phân công'!#REF!=$A13)*('Phân công'!#REF!="X")*(RIGHT('Phân công'!#REF!,3)="404"))</f>
        <v>#REF!</v>
      </c>
      <c r="C13" s="26" t="e">
        <f>SUMPRODUCT(('Phân công'!#REF!=$A13)*('Phân công'!#REF!="X")*(RIGHT('Phân công'!#REF!,3)="412"))</f>
        <v>#REF!</v>
      </c>
      <c r="D13" s="26" t="e">
        <f>SUMPRODUCT(('Phân công'!#REF!=$A13)*('Phân công'!#REF!="X")*(RIGHT('Phân công'!#REF!,3)="414"))</f>
        <v>#REF!</v>
      </c>
      <c r="E13" s="26" t="e">
        <f>SUMPRODUCT(('Phân công'!#REF!=$A13)*('Phân công'!#REF!="X")*(RIGHT('Phân công'!#REF!,4)="404C")*('Phân công'!#REF!="Tiếng Việt"))</f>
        <v>#REF!</v>
      </c>
      <c r="F13" s="26" t="e">
        <f>SUMPRODUCT(('Phân công'!#REF!=$A13)*('Phân công'!#REF!="X")*(RIGHT('Phân công'!#REF!,4)="404C")*('Phân công'!#REF!="Tiếng Anh"))</f>
        <v>#REF!</v>
      </c>
      <c r="G13" s="26" t="e">
        <f>SUMPRODUCT(('Phân công'!#REF!=$A13)*('Phân công'!#REF!="X")*(RIGHT('Phân công'!#REF!,4)="414C")*('Phân công'!#REF!="Tiếng Việt"))</f>
        <v>#REF!</v>
      </c>
      <c r="H13" s="27" t="e">
        <f>SUMPRODUCT(('Phân công'!#REF!=$A13)*('Phân công'!#REF!="X")*(RIGHT('Phân công'!#REF!,4)="414C")*('Phân công'!#REF!="Tiếng Anh"))</f>
        <v>#REF!</v>
      </c>
      <c r="I13" s="28" t="e">
        <f>SUMPRODUCT(('Phân công'!#REF!=$A13)*('Phân công'!#REF!="X")*(RIGHT('Phân công'!#REF!,5)="404CA"))</f>
        <v>#REF!</v>
      </c>
      <c r="J13" s="25" t="e">
        <f>SUMPRODUCT(('Phân công'!#REF!=$A13)*('Phân công'!#REF!="X")*(RIGHT('Phân công'!#REF!,3)="404"))</f>
        <v>#REF!</v>
      </c>
      <c r="K13" s="26" t="e">
        <f>SUMPRODUCT(('Phân công'!#REF!=$A13)*('Phân công'!#REF!="X")*(RIGHT('Phân công'!#REF!,3)="412"))</f>
        <v>#REF!</v>
      </c>
      <c r="L13" s="26" t="e">
        <f>SUMPRODUCT(('Phân công'!#REF!=$A13)*('Phân công'!#REF!="X")*(RIGHT('Phân công'!#REF!,3)="414"))</f>
        <v>#REF!</v>
      </c>
      <c r="M13" s="26" t="e">
        <f>SUMPRODUCT(('Phân công'!#REF!=$A13)*('Phân công'!#REF!="X")*(RIGHT('Phân công'!#REF!,3)="04C")*('Phân công'!#REF!="Tiếng Việt"))</f>
        <v>#REF!</v>
      </c>
      <c r="N13" s="26" t="e">
        <f>SUMPRODUCT(('Phân công'!#REF!=$A13)*('Phân công'!#REF!="X")*(RIGHT('Phân công'!#REF!,3)="04C")*('Phân công'!#REF!="Tiếng Anh"))</f>
        <v>#REF!</v>
      </c>
      <c r="O13" s="26" t="e">
        <f>SUMPRODUCT(('Phân công'!#REF!=$A13)*('Phân công'!#REF!="X")*(RIGHT('Phân công'!#REF!,3)="14C")*('Phân công'!#REF!="Tiếng Việt"))</f>
        <v>#REF!</v>
      </c>
      <c r="P13" s="27" t="e">
        <f>SUMPRODUCT(('Phân công'!#REF!=$A13)*('Phân công'!#REF!="X")*(RIGHT('Phân công'!#REF!,3)="14C")*('Phân công'!#REF!="Tiếng Anh"))</f>
        <v>#REF!</v>
      </c>
      <c r="Q13" s="28" t="e">
        <f>SUMPRODUCT(('Phân công'!#REF!=$A13)*('Phân công'!#REF!="X")*(RIGHT('Phân công'!#REF!,3)="4CA"))</f>
        <v>#REF!</v>
      </c>
      <c r="R13" s="25" t="e">
        <f>SUMPRODUCT(('Phân công'!#REF!='Thù lao'!A13)*(RIGHT('Phân công'!#REF!,3)="404"))</f>
        <v>#REF!</v>
      </c>
      <c r="S13" s="29" t="e">
        <f>SUMPRODUCT(('Phân công'!#REF!='Thù lao'!A13)*(RIGHT('Phân công'!#REF!,3)="412"))</f>
        <v>#REF!</v>
      </c>
      <c r="T13" s="29" t="e">
        <f>SUMPRODUCT(('Phân công'!#REF!='Thù lao'!A13)*(RIGHT('Phân công'!#REF!,3)="414"))</f>
        <v>#REF!</v>
      </c>
      <c r="U13" s="26" t="e">
        <f>SUMPRODUCT(('Phân công'!#REF!='Thù lao'!A13)*(RIGHT('Phân công'!#REF!,3)="04C")*('Phân công'!#REF!="Tiếng Việt"))</f>
        <v>#REF!</v>
      </c>
      <c r="V13" s="26" t="e">
        <f>SUMPRODUCT(('Phân công'!#REF!='Thù lao'!A13)*(RIGHT('Phân công'!#REF!,3)="04C")*('Phân công'!#REF!="Tiếng Anh"))</f>
        <v>#REF!</v>
      </c>
      <c r="W13" s="26" t="e">
        <f>SUMPRODUCT(('Phân công'!#REF!='Thù lao'!A13)*(RIGHT('Phân công'!#REF!,3)="14C")*('Phân công'!#REF!="Tiếng Việt"))</f>
        <v>#REF!</v>
      </c>
      <c r="X13" s="27" t="e">
        <f>SUMPRODUCT(('Phân công'!#REF!='Thù lao'!A13)*(RIGHT('Phân công'!#REF!,3)="14C")*('Phân công'!#REF!="Tiếng Anh"))</f>
        <v>#REF!</v>
      </c>
      <c r="Y13" s="26" t="e">
        <f>SUMPRODUCT(('Phân công'!#REF!='Thù lao'!A13)*(RIGHT('Phân công'!#REF!,3)="4CA"))</f>
        <v>#REF!</v>
      </c>
      <c r="Z13" s="25" t="e">
        <f>SUMPRODUCT(('Phân công'!#REF!='Thù lao'!A13)*(RIGHT('Phân công'!#REF!,3)="404"))</f>
        <v>#REF!</v>
      </c>
      <c r="AA13" s="29" t="e">
        <f>SUMPRODUCT(('Phân công'!#REF!='Thù lao'!A13)*(RIGHT('Phân công'!#REF!,3)="412"))</f>
        <v>#REF!</v>
      </c>
      <c r="AB13" s="29" t="e">
        <f>SUMPRODUCT(('Phân công'!#REF!='Thù lao'!A13)*(RIGHT('Phân công'!#REF!,3)="414"))</f>
        <v>#REF!</v>
      </c>
      <c r="AC13" s="26" t="e">
        <f>SUMPRODUCT(('Phân công'!#REF!='Thù lao'!A13)*(RIGHT('Phân công'!#REF!,3)="04C")*('Phân công'!#REF!="Tiếng Việt"))</f>
        <v>#REF!</v>
      </c>
      <c r="AD13" s="26" t="e">
        <f>SUMPRODUCT(('Phân công'!#REF!='Thù lao'!A13)*(RIGHT('Phân công'!#REF!,3)="04C")*('Phân công'!#REF!="Tiếng Anh"))</f>
        <v>#REF!</v>
      </c>
      <c r="AE13" s="26" t="e">
        <f>SUMPRODUCT(('Phân công'!#REF!='Thù lao'!A13)*(RIGHT('Phân công'!#REF!,3)="14C")*('Phân công'!#REF!="Tiếng Việt"))</f>
        <v>#REF!</v>
      </c>
      <c r="AF13" s="27" t="e">
        <f>SUMPRODUCT(('Phân công'!#REF!='Thù lao'!A13)*(RIGHT('Phân công'!#REF!,3)="14C")*('Phân công'!#REF!="Tiếng Anh"))</f>
        <v>#REF!</v>
      </c>
      <c r="AG13" s="26" t="e">
        <f>SUMPRODUCT(('Phân công'!#REF!='Thù lao'!A13)*(RIGHT('Phân công'!#REF!,3)="4CA"))</f>
        <v>#REF!</v>
      </c>
      <c r="AH13" s="25" t="e">
        <f>SUMPRODUCT(('Phân công'!#REF!='Thù lao'!A13)*(RIGHT('Phân công'!#REF!,3)="404"))</f>
        <v>#REF!</v>
      </c>
      <c r="AI13" s="29" t="e">
        <f>SUMPRODUCT(('Phân công'!#REF!='Thù lao'!A13)*(RIGHT('Phân công'!#REF!,3)="412"))</f>
        <v>#REF!</v>
      </c>
      <c r="AJ13" s="29" t="e">
        <f>SUMPRODUCT(('Phân công'!#REF!='Thù lao'!A13)*(RIGHT('Phân công'!#REF!,3)="414"))</f>
        <v>#REF!</v>
      </c>
      <c r="AK13" s="26" t="e">
        <f>SUMPRODUCT(('Phân công'!#REF!='Thù lao'!A13)*(RIGHT('Phân công'!#REF!,3)="04C")*('Phân công'!#REF!="Tiếng Việt"))</f>
        <v>#REF!</v>
      </c>
      <c r="AL13" s="26" t="e">
        <f>SUMPRODUCT(('Phân công'!#REF!='Thù lao'!A13)*(RIGHT('Phân công'!#REF!,3)="04C")*('Phân công'!#REF!="Tiếng Anh"))</f>
        <v>#REF!</v>
      </c>
      <c r="AM13" s="26" t="e">
        <f>SUMPRODUCT(('Phân công'!#REF!='Thù lao'!A13)*(RIGHT('Phân công'!#REF!,3)="14C")*('Phân công'!#REF!="Tiếng Việt"))</f>
        <v>#REF!</v>
      </c>
      <c r="AN13" s="27" t="e">
        <f>SUMPRODUCT(('Phân công'!#REF!='Thù lao'!A13)*(RIGHT('Phân công'!#REF!,3)="14C")*('Phân công'!#REF!="Tiếng Anh"))</f>
        <v>#REF!</v>
      </c>
      <c r="AO13" s="26" t="e">
        <f>SUMPRODUCT(('Phân công'!#REF!='Thù lao'!A13)*(RIGHT('Phân công'!#REF!,3)="4CA"))</f>
        <v>#REF!</v>
      </c>
      <c r="AP13" s="25" t="e">
        <f>SUMPRODUCT(('Phân công'!#REF!='Thù lao'!A13)*(RIGHT('Phân công'!#REF!,3)="404"))</f>
        <v>#REF!</v>
      </c>
      <c r="AQ13" s="29" t="e">
        <f>SUMPRODUCT(('Phân công'!#REF!='Thù lao'!A13)*(RIGHT('Phân công'!#REF!,3)="412"))</f>
        <v>#REF!</v>
      </c>
      <c r="AR13" s="29" t="e">
        <f>SUMPRODUCT(('Phân công'!#REF!='Thù lao'!A13)*(RIGHT('Phân công'!#REF!,3)="414"))</f>
        <v>#REF!</v>
      </c>
      <c r="AS13" s="26" t="e">
        <f>SUMPRODUCT(('Phân công'!#REF!='Thù lao'!A13)*(RIGHT('Phân công'!#REF!,3)="04C")*('Phân công'!#REF!="Tiếng Việt"))</f>
        <v>#REF!</v>
      </c>
      <c r="AT13" s="26" t="e">
        <f>SUMPRODUCT(('Phân công'!#REF!='Thù lao'!A13)*(RIGHT('Phân công'!#REF!,3)="04C")*('Phân công'!#REF!="Tiếng Anh"))</f>
        <v>#REF!</v>
      </c>
      <c r="AU13" s="26" t="e">
        <f>SUMPRODUCT(('Phân công'!#REF!='Thù lao'!A13)*(RIGHT('Phân công'!#REF!,3)="14C")*('Phân công'!#REF!="Tiếng Việt"))</f>
        <v>#REF!</v>
      </c>
      <c r="AV13" s="27" t="e">
        <f>SUMPRODUCT(('Phân công'!#REF!='Thù lao'!A13)*(RIGHT('Phân công'!#REF!,3)="14C")*('Phân công'!#REF!="Tiếng Anh"))</f>
        <v>#REF!</v>
      </c>
      <c r="AW13" s="26" t="e">
        <f>SUMPRODUCT(('Phân công'!#REF!='Thù lao'!A13)*(RIGHT('Phân công'!#REF!,3)="4CA"))</f>
        <v>#REF!</v>
      </c>
      <c r="AX13" s="25" t="e">
        <f t="shared" ref="AX13:BE13" si="19">AP13+AH13+Z13+R13</f>
        <v>#REF!</v>
      </c>
      <c r="AY13" s="25" t="e">
        <f t="shared" si="19"/>
        <v>#REF!</v>
      </c>
      <c r="AZ13" s="25" t="e">
        <f t="shared" si="19"/>
        <v>#REF!</v>
      </c>
      <c r="BA13" s="25" t="e">
        <f t="shared" si="19"/>
        <v>#REF!</v>
      </c>
      <c r="BB13" s="25" t="e">
        <f t="shared" si="19"/>
        <v>#REF!</v>
      </c>
      <c r="BC13" s="25" t="e">
        <f t="shared" si="19"/>
        <v>#REF!</v>
      </c>
      <c r="BD13" s="25" t="e">
        <f t="shared" si="19"/>
        <v>#REF!</v>
      </c>
      <c r="BE13" s="25" t="e">
        <f t="shared" si="19"/>
        <v>#REF!</v>
      </c>
      <c r="BF13" s="30" t="e">
        <f t="shared" si="1"/>
        <v>#REF!</v>
      </c>
      <c r="BG13" s="30" t="e">
        <f t="shared" si="2"/>
        <v>#REF!</v>
      </c>
      <c r="BH13" s="30" t="e">
        <f t="shared" si="3"/>
        <v>#REF!</v>
      </c>
      <c r="BI13" s="30" t="e">
        <f t="shared" si="4"/>
        <v>#REF!</v>
      </c>
      <c r="BJ13" s="30" t="e">
        <f t="shared" si="5"/>
        <v>#REF!</v>
      </c>
      <c r="BK13" s="30" t="e">
        <f t="shared" si="6"/>
        <v>#REF!</v>
      </c>
      <c r="BL13" s="31" t="e">
        <f t="shared" si="7"/>
        <v>#REF!</v>
      </c>
      <c r="BM13" s="31" t="e">
        <f t="shared" si="8"/>
        <v>#REF!</v>
      </c>
      <c r="BN13" s="31" t="e">
        <f t="shared" si="9"/>
        <v>#REF!</v>
      </c>
      <c r="BO13" s="31" t="e">
        <f t="shared" si="10"/>
        <v>#REF!</v>
      </c>
    </row>
    <row r="14" spans="1:67" ht="15.75" customHeight="1" x14ac:dyDescent="0.35">
      <c r="A14" s="2" t="s">
        <v>19</v>
      </c>
      <c r="B14" s="25" t="e">
        <f>SUMPRODUCT(('Phân công'!#REF!=$A14)*('Phân công'!#REF!="X")*(RIGHT('Phân công'!#REF!,3)="404"))</f>
        <v>#REF!</v>
      </c>
      <c r="C14" s="26" t="e">
        <f>SUMPRODUCT(('Phân công'!#REF!=$A14)*('Phân công'!#REF!="X")*(RIGHT('Phân công'!#REF!,3)="412"))</f>
        <v>#REF!</v>
      </c>
      <c r="D14" s="26" t="e">
        <f>SUMPRODUCT(('Phân công'!#REF!=$A14)*('Phân công'!#REF!="X")*(RIGHT('Phân công'!#REF!,3)="414"))</f>
        <v>#REF!</v>
      </c>
      <c r="E14" s="26" t="e">
        <f>SUMPRODUCT(('Phân công'!#REF!=$A14)*('Phân công'!#REF!="X")*(RIGHT('Phân công'!#REF!,4)="404C")*('Phân công'!#REF!="Tiếng Việt"))</f>
        <v>#REF!</v>
      </c>
      <c r="F14" s="26" t="e">
        <f>SUMPRODUCT(('Phân công'!#REF!=$A14)*('Phân công'!#REF!="X")*(RIGHT('Phân công'!#REF!,4)="404C")*('Phân công'!#REF!="Tiếng Anh"))</f>
        <v>#REF!</v>
      </c>
      <c r="G14" s="26" t="e">
        <f>SUMPRODUCT(('Phân công'!#REF!=$A14)*('Phân công'!#REF!="X")*(RIGHT('Phân công'!#REF!,4)="414C")*('Phân công'!#REF!="Tiếng Việt"))</f>
        <v>#REF!</v>
      </c>
      <c r="H14" s="27" t="e">
        <f>SUMPRODUCT(('Phân công'!#REF!=$A14)*('Phân công'!#REF!="X")*(RIGHT('Phân công'!#REF!,4)="414C")*('Phân công'!#REF!="Tiếng Anh"))</f>
        <v>#REF!</v>
      </c>
      <c r="I14" s="28" t="e">
        <f>SUMPRODUCT(('Phân công'!#REF!=$A14)*('Phân công'!#REF!="X")*(RIGHT('Phân công'!#REF!,5)="404CA"))</f>
        <v>#REF!</v>
      </c>
      <c r="J14" s="25" t="e">
        <f>SUMPRODUCT(('Phân công'!#REF!=$A14)*('Phân công'!#REF!="X")*(RIGHT('Phân công'!#REF!,3)="404"))</f>
        <v>#REF!</v>
      </c>
      <c r="K14" s="26" t="e">
        <f>SUMPRODUCT(('Phân công'!#REF!=$A14)*('Phân công'!#REF!="X")*(RIGHT('Phân công'!#REF!,3)="412"))</f>
        <v>#REF!</v>
      </c>
      <c r="L14" s="26" t="e">
        <f>SUMPRODUCT(('Phân công'!#REF!=$A14)*('Phân công'!#REF!="X")*(RIGHT('Phân công'!#REF!,3)="414"))</f>
        <v>#REF!</v>
      </c>
      <c r="M14" s="26" t="e">
        <f>SUMPRODUCT(('Phân công'!#REF!=$A14)*('Phân công'!#REF!="X")*(RIGHT('Phân công'!#REF!,3)="04C")*('Phân công'!#REF!="Tiếng Việt"))</f>
        <v>#REF!</v>
      </c>
      <c r="N14" s="26" t="e">
        <f>SUMPRODUCT(('Phân công'!#REF!=$A14)*('Phân công'!#REF!="X")*(RIGHT('Phân công'!#REF!,3)="04C")*('Phân công'!#REF!="Tiếng Anh"))</f>
        <v>#REF!</v>
      </c>
      <c r="O14" s="26" t="e">
        <f>SUMPRODUCT(('Phân công'!#REF!=$A14)*('Phân công'!#REF!="X")*(RIGHT('Phân công'!#REF!,3)="14C")*('Phân công'!#REF!="Tiếng Việt"))</f>
        <v>#REF!</v>
      </c>
      <c r="P14" s="27" t="e">
        <f>SUMPRODUCT(('Phân công'!#REF!=$A14)*('Phân công'!#REF!="X")*(RIGHT('Phân công'!#REF!,3)="14C")*('Phân công'!#REF!="Tiếng Anh"))</f>
        <v>#REF!</v>
      </c>
      <c r="Q14" s="28" t="e">
        <f>SUMPRODUCT(('Phân công'!#REF!=$A14)*('Phân công'!#REF!="X")*(RIGHT('Phân công'!#REF!,3)="4CA"))</f>
        <v>#REF!</v>
      </c>
      <c r="R14" s="25" t="e">
        <f>SUMPRODUCT(('Phân công'!#REF!='Thù lao'!A14)*(RIGHT('Phân công'!#REF!,3)="404"))</f>
        <v>#REF!</v>
      </c>
      <c r="S14" s="29" t="e">
        <f>SUMPRODUCT(('Phân công'!#REF!='Thù lao'!A14)*(RIGHT('Phân công'!#REF!,3)="412"))</f>
        <v>#REF!</v>
      </c>
      <c r="T14" s="29" t="e">
        <f>SUMPRODUCT(('Phân công'!#REF!='Thù lao'!A14)*(RIGHT('Phân công'!#REF!,3)="414"))</f>
        <v>#REF!</v>
      </c>
      <c r="U14" s="26" t="e">
        <f>SUMPRODUCT(('Phân công'!#REF!='Thù lao'!A14)*(RIGHT('Phân công'!#REF!,3)="04C")*('Phân công'!#REF!="Tiếng Việt"))</f>
        <v>#REF!</v>
      </c>
      <c r="V14" s="26" t="e">
        <f>SUMPRODUCT(('Phân công'!#REF!='Thù lao'!A14)*(RIGHT('Phân công'!#REF!,3)="04C")*('Phân công'!#REF!="Tiếng Anh"))</f>
        <v>#REF!</v>
      </c>
      <c r="W14" s="26" t="e">
        <f>SUMPRODUCT(('Phân công'!#REF!='Thù lao'!A14)*(RIGHT('Phân công'!#REF!,3)="14C")*('Phân công'!#REF!="Tiếng Việt"))</f>
        <v>#REF!</v>
      </c>
      <c r="X14" s="27" t="e">
        <f>SUMPRODUCT(('Phân công'!#REF!='Thù lao'!A14)*(RIGHT('Phân công'!#REF!,3)="14C")*('Phân công'!#REF!="Tiếng Anh"))</f>
        <v>#REF!</v>
      </c>
      <c r="Y14" s="26" t="e">
        <f>SUMPRODUCT(('Phân công'!#REF!='Thù lao'!A14)*(RIGHT('Phân công'!#REF!,3)="4CA"))</f>
        <v>#REF!</v>
      </c>
      <c r="Z14" s="25" t="e">
        <f>SUMPRODUCT(('Phân công'!#REF!='Thù lao'!A14)*(RIGHT('Phân công'!#REF!,3)="404"))</f>
        <v>#REF!</v>
      </c>
      <c r="AA14" s="29" t="e">
        <f>SUMPRODUCT(('Phân công'!#REF!='Thù lao'!A14)*(RIGHT('Phân công'!#REF!,3)="412"))</f>
        <v>#REF!</v>
      </c>
      <c r="AB14" s="29" t="e">
        <f>SUMPRODUCT(('Phân công'!#REF!='Thù lao'!A14)*(RIGHT('Phân công'!#REF!,3)="414"))</f>
        <v>#REF!</v>
      </c>
      <c r="AC14" s="26" t="e">
        <f>SUMPRODUCT(('Phân công'!#REF!='Thù lao'!A14)*(RIGHT('Phân công'!#REF!,3)="04C")*('Phân công'!#REF!="Tiếng Việt"))</f>
        <v>#REF!</v>
      </c>
      <c r="AD14" s="26" t="e">
        <f>SUMPRODUCT(('Phân công'!#REF!='Thù lao'!A14)*(RIGHT('Phân công'!#REF!,3)="04C")*('Phân công'!#REF!="Tiếng Anh"))</f>
        <v>#REF!</v>
      </c>
      <c r="AE14" s="26" t="e">
        <f>SUMPRODUCT(('Phân công'!#REF!='Thù lao'!A14)*(RIGHT('Phân công'!#REF!,3)="14C")*('Phân công'!#REF!="Tiếng Việt"))</f>
        <v>#REF!</v>
      </c>
      <c r="AF14" s="27" t="e">
        <f>SUMPRODUCT(('Phân công'!#REF!='Thù lao'!A14)*(RIGHT('Phân công'!#REF!,3)="14C")*('Phân công'!#REF!="Tiếng Anh"))</f>
        <v>#REF!</v>
      </c>
      <c r="AG14" s="26" t="e">
        <f>SUMPRODUCT(('Phân công'!#REF!='Thù lao'!A14)*(RIGHT('Phân công'!#REF!,3)="4CA"))</f>
        <v>#REF!</v>
      </c>
      <c r="AH14" s="25" t="e">
        <f>SUMPRODUCT(('Phân công'!#REF!='Thù lao'!A14)*(RIGHT('Phân công'!#REF!,3)="404"))</f>
        <v>#REF!</v>
      </c>
      <c r="AI14" s="29" t="e">
        <f>SUMPRODUCT(('Phân công'!#REF!='Thù lao'!A14)*(RIGHT('Phân công'!#REF!,3)="412"))</f>
        <v>#REF!</v>
      </c>
      <c r="AJ14" s="29" t="e">
        <f>SUMPRODUCT(('Phân công'!#REF!='Thù lao'!A14)*(RIGHT('Phân công'!#REF!,3)="414"))</f>
        <v>#REF!</v>
      </c>
      <c r="AK14" s="26" t="e">
        <f>SUMPRODUCT(('Phân công'!#REF!='Thù lao'!A14)*(RIGHT('Phân công'!#REF!,3)="04C")*('Phân công'!#REF!="Tiếng Việt"))</f>
        <v>#REF!</v>
      </c>
      <c r="AL14" s="26" t="e">
        <f>SUMPRODUCT(('Phân công'!#REF!='Thù lao'!A14)*(RIGHT('Phân công'!#REF!,3)="04C")*('Phân công'!#REF!="Tiếng Anh"))</f>
        <v>#REF!</v>
      </c>
      <c r="AM14" s="26" t="e">
        <f>SUMPRODUCT(('Phân công'!#REF!='Thù lao'!A14)*(RIGHT('Phân công'!#REF!,3)="14C")*('Phân công'!#REF!="Tiếng Việt"))</f>
        <v>#REF!</v>
      </c>
      <c r="AN14" s="27" t="e">
        <f>SUMPRODUCT(('Phân công'!#REF!='Thù lao'!A14)*(RIGHT('Phân công'!#REF!,3)="14C")*('Phân công'!#REF!="Tiếng Anh"))</f>
        <v>#REF!</v>
      </c>
      <c r="AO14" s="26" t="e">
        <f>SUMPRODUCT(('Phân công'!#REF!='Thù lao'!A14)*(RIGHT('Phân công'!#REF!,3)="4CA"))</f>
        <v>#REF!</v>
      </c>
      <c r="AP14" s="25" t="e">
        <f>SUMPRODUCT(('Phân công'!#REF!='Thù lao'!A14)*(RIGHT('Phân công'!#REF!,3)="404"))</f>
        <v>#REF!</v>
      </c>
      <c r="AQ14" s="29" t="e">
        <f>SUMPRODUCT(('Phân công'!#REF!='Thù lao'!A14)*(RIGHT('Phân công'!#REF!,3)="412"))</f>
        <v>#REF!</v>
      </c>
      <c r="AR14" s="29" t="e">
        <f>SUMPRODUCT(('Phân công'!#REF!='Thù lao'!A14)*(RIGHT('Phân công'!#REF!,3)="414"))</f>
        <v>#REF!</v>
      </c>
      <c r="AS14" s="26" t="e">
        <f>SUMPRODUCT(('Phân công'!#REF!='Thù lao'!A14)*(RIGHT('Phân công'!#REF!,3)="04C")*('Phân công'!#REF!="Tiếng Việt"))</f>
        <v>#REF!</v>
      </c>
      <c r="AT14" s="26" t="e">
        <f>SUMPRODUCT(('Phân công'!#REF!='Thù lao'!A14)*(RIGHT('Phân công'!#REF!,3)="04C")*('Phân công'!#REF!="Tiếng Anh"))</f>
        <v>#REF!</v>
      </c>
      <c r="AU14" s="26" t="e">
        <f>SUMPRODUCT(('Phân công'!#REF!='Thù lao'!A14)*(RIGHT('Phân công'!#REF!,3)="14C")*('Phân công'!#REF!="Tiếng Việt"))</f>
        <v>#REF!</v>
      </c>
      <c r="AV14" s="27" t="e">
        <f>SUMPRODUCT(('Phân công'!#REF!='Thù lao'!A14)*(RIGHT('Phân công'!#REF!,3)="14C")*('Phân công'!#REF!="Tiếng Anh"))</f>
        <v>#REF!</v>
      </c>
      <c r="AW14" s="26" t="e">
        <f>SUMPRODUCT(('Phân công'!#REF!='Thù lao'!A14)*(RIGHT('Phân công'!#REF!,3)="4CA"))</f>
        <v>#REF!</v>
      </c>
      <c r="AX14" s="25" t="e">
        <f t="shared" ref="AX14:BE14" si="20">AP14+AH14+Z14+R14</f>
        <v>#REF!</v>
      </c>
      <c r="AY14" s="25" t="e">
        <f t="shared" si="20"/>
        <v>#REF!</v>
      </c>
      <c r="AZ14" s="25" t="e">
        <f t="shared" si="20"/>
        <v>#REF!</v>
      </c>
      <c r="BA14" s="25" t="e">
        <f t="shared" si="20"/>
        <v>#REF!</v>
      </c>
      <c r="BB14" s="25" t="e">
        <f t="shared" si="20"/>
        <v>#REF!</v>
      </c>
      <c r="BC14" s="25" t="e">
        <f t="shared" si="20"/>
        <v>#REF!</v>
      </c>
      <c r="BD14" s="25" t="e">
        <f t="shared" si="20"/>
        <v>#REF!</v>
      </c>
      <c r="BE14" s="25" t="e">
        <f t="shared" si="20"/>
        <v>#REF!</v>
      </c>
      <c r="BF14" s="30" t="e">
        <f t="shared" si="1"/>
        <v>#REF!</v>
      </c>
      <c r="BG14" s="30" t="e">
        <f t="shared" si="2"/>
        <v>#REF!</v>
      </c>
      <c r="BH14" s="30" t="e">
        <f t="shared" si="3"/>
        <v>#REF!</v>
      </c>
      <c r="BI14" s="30" t="e">
        <f t="shared" si="4"/>
        <v>#REF!</v>
      </c>
      <c r="BJ14" s="30" t="e">
        <f t="shared" si="5"/>
        <v>#REF!</v>
      </c>
      <c r="BK14" s="30" t="e">
        <f t="shared" si="6"/>
        <v>#REF!</v>
      </c>
      <c r="BL14" s="31" t="e">
        <f t="shared" si="7"/>
        <v>#REF!</v>
      </c>
      <c r="BM14" s="31" t="e">
        <f t="shared" si="8"/>
        <v>#REF!</v>
      </c>
      <c r="BN14" s="31" t="e">
        <f t="shared" si="9"/>
        <v>#REF!</v>
      </c>
      <c r="BO14" s="31" t="e">
        <f t="shared" si="10"/>
        <v>#REF!</v>
      </c>
    </row>
    <row r="15" spans="1:67" ht="15.75" customHeight="1" x14ac:dyDescent="0.35">
      <c r="A15" s="2" t="s">
        <v>53</v>
      </c>
      <c r="B15" s="25" t="e">
        <f>SUMPRODUCT(('Phân công'!#REF!=$A15)*('Phân công'!#REF!="X")*(RIGHT('Phân công'!#REF!,3)="404"))</f>
        <v>#REF!</v>
      </c>
      <c r="C15" s="26" t="e">
        <f>SUMPRODUCT(('Phân công'!#REF!=$A15)*('Phân công'!#REF!="X")*(RIGHT('Phân công'!#REF!,3)="412"))</f>
        <v>#REF!</v>
      </c>
      <c r="D15" s="26" t="e">
        <f>SUMPRODUCT(('Phân công'!#REF!=$A15)*('Phân công'!#REF!="X")*(RIGHT('Phân công'!#REF!,3)="414"))</f>
        <v>#REF!</v>
      </c>
      <c r="E15" s="26" t="e">
        <f>SUMPRODUCT(('Phân công'!#REF!=$A15)*('Phân công'!#REF!="X")*(RIGHT('Phân công'!#REF!,4)="404C")*('Phân công'!#REF!="Tiếng Việt"))</f>
        <v>#REF!</v>
      </c>
      <c r="F15" s="26" t="e">
        <f>SUMPRODUCT(('Phân công'!#REF!=$A15)*('Phân công'!#REF!="X")*(RIGHT('Phân công'!#REF!,4)="404C")*('Phân công'!#REF!="Tiếng Anh"))</f>
        <v>#REF!</v>
      </c>
      <c r="G15" s="26" t="e">
        <f>SUMPRODUCT(('Phân công'!#REF!=$A15)*('Phân công'!#REF!="X")*(RIGHT('Phân công'!#REF!,4)="414C")*('Phân công'!#REF!="Tiếng Việt"))</f>
        <v>#REF!</v>
      </c>
      <c r="H15" s="27" t="e">
        <f>SUMPRODUCT(('Phân công'!#REF!=$A15)*('Phân công'!#REF!="X")*(RIGHT('Phân công'!#REF!,4)="414C")*('Phân công'!#REF!="Tiếng Anh"))</f>
        <v>#REF!</v>
      </c>
      <c r="I15" s="28" t="e">
        <f>SUMPRODUCT(('Phân công'!#REF!=$A15)*('Phân công'!#REF!="X")*(RIGHT('Phân công'!#REF!,5)="404CA"))</f>
        <v>#REF!</v>
      </c>
      <c r="J15" s="25" t="e">
        <f>SUMPRODUCT(('Phân công'!#REF!=$A15)*('Phân công'!#REF!="X")*(RIGHT('Phân công'!#REF!,3)="404"))</f>
        <v>#REF!</v>
      </c>
      <c r="K15" s="26" t="e">
        <f>SUMPRODUCT(('Phân công'!#REF!=$A15)*('Phân công'!#REF!="X")*(RIGHT('Phân công'!#REF!,3)="412"))</f>
        <v>#REF!</v>
      </c>
      <c r="L15" s="26" t="e">
        <f>SUMPRODUCT(('Phân công'!#REF!=$A15)*('Phân công'!#REF!="X")*(RIGHT('Phân công'!#REF!,3)="414"))</f>
        <v>#REF!</v>
      </c>
      <c r="M15" s="26" t="e">
        <f>SUMPRODUCT(('Phân công'!#REF!=$A15)*('Phân công'!#REF!="X")*(RIGHT('Phân công'!#REF!,3)="04C")*('Phân công'!#REF!="Tiếng Việt"))</f>
        <v>#REF!</v>
      </c>
      <c r="N15" s="26" t="e">
        <f>SUMPRODUCT(('Phân công'!#REF!=$A15)*('Phân công'!#REF!="X")*(RIGHT('Phân công'!#REF!,3)="04C")*('Phân công'!#REF!="Tiếng Anh"))</f>
        <v>#REF!</v>
      </c>
      <c r="O15" s="26" t="e">
        <f>SUMPRODUCT(('Phân công'!#REF!=$A15)*('Phân công'!#REF!="X")*(RIGHT('Phân công'!#REF!,3)="14C")*('Phân công'!#REF!="Tiếng Việt"))</f>
        <v>#REF!</v>
      </c>
      <c r="P15" s="27" t="e">
        <f>SUMPRODUCT(('Phân công'!#REF!=$A15)*('Phân công'!#REF!="X")*(RIGHT('Phân công'!#REF!,3)="14C")*('Phân công'!#REF!="Tiếng Anh"))</f>
        <v>#REF!</v>
      </c>
      <c r="Q15" s="28" t="e">
        <f>SUMPRODUCT(('Phân công'!#REF!=$A15)*('Phân công'!#REF!="X")*(RIGHT('Phân công'!#REF!,3)="4CA"))</f>
        <v>#REF!</v>
      </c>
      <c r="R15" s="25" t="e">
        <f>SUMPRODUCT(('Phân công'!#REF!='Thù lao'!A15)*(RIGHT('Phân công'!#REF!,3)="404"))</f>
        <v>#REF!</v>
      </c>
      <c r="S15" s="29" t="e">
        <f>SUMPRODUCT(('Phân công'!#REF!='Thù lao'!A15)*(RIGHT('Phân công'!#REF!,3)="412"))</f>
        <v>#REF!</v>
      </c>
      <c r="T15" s="29" t="e">
        <f>SUMPRODUCT(('Phân công'!#REF!='Thù lao'!A15)*(RIGHT('Phân công'!#REF!,3)="414"))</f>
        <v>#REF!</v>
      </c>
      <c r="U15" s="26" t="e">
        <f>SUMPRODUCT(('Phân công'!#REF!='Thù lao'!A15)*(RIGHT('Phân công'!#REF!,3)="04C")*('Phân công'!#REF!="Tiếng Việt"))</f>
        <v>#REF!</v>
      </c>
      <c r="V15" s="26" t="e">
        <f>SUMPRODUCT(('Phân công'!#REF!='Thù lao'!A15)*(RIGHT('Phân công'!#REF!,3)="04C")*('Phân công'!#REF!="Tiếng Anh"))</f>
        <v>#REF!</v>
      </c>
      <c r="W15" s="26" t="e">
        <f>SUMPRODUCT(('Phân công'!#REF!='Thù lao'!A15)*(RIGHT('Phân công'!#REF!,3)="14C")*('Phân công'!#REF!="Tiếng Việt"))</f>
        <v>#REF!</v>
      </c>
      <c r="X15" s="27" t="e">
        <f>SUMPRODUCT(('Phân công'!#REF!='Thù lao'!A15)*(RIGHT('Phân công'!#REF!,3)="14C")*('Phân công'!#REF!="Tiếng Anh"))</f>
        <v>#REF!</v>
      </c>
      <c r="Y15" s="26" t="e">
        <f>SUMPRODUCT(('Phân công'!#REF!='Thù lao'!A15)*(RIGHT('Phân công'!#REF!,3)="4CA"))</f>
        <v>#REF!</v>
      </c>
      <c r="Z15" s="25" t="e">
        <f>SUMPRODUCT(('Phân công'!#REF!='Thù lao'!A15)*(RIGHT('Phân công'!#REF!,3)="404"))</f>
        <v>#REF!</v>
      </c>
      <c r="AA15" s="29" t="e">
        <f>SUMPRODUCT(('Phân công'!#REF!='Thù lao'!A15)*(RIGHT('Phân công'!#REF!,3)="412"))</f>
        <v>#REF!</v>
      </c>
      <c r="AB15" s="29" t="e">
        <f>SUMPRODUCT(('Phân công'!#REF!='Thù lao'!A15)*(RIGHT('Phân công'!#REF!,3)="414"))</f>
        <v>#REF!</v>
      </c>
      <c r="AC15" s="26" t="e">
        <f>SUMPRODUCT(('Phân công'!#REF!='Thù lao'!A15)*(RIGHT('Phân công'!#REF!,3)="04C")*('Phân công'!#REF!="Tiếng Việt"))</f>
        <v>#REF!</v>
      </c>
      <c r="AD15" s="26" t="e">
        <f>SUMPRODUCT(('Phân công'!#REF!='Thù lao'!A15)*(RIGHT('Phân công'!#REF!,3)="04C")*('Phân công'!#REF!="Tiếng Anh"))</f>
        <v>#REF!</v>
      </c>
      <c r="AE15" s="26" t="e">
        <f>SUMPRODUCT(('Phân công'!#REF!='Thù lao'!A15)*(RIGHT('Phân công'!#REF!,3)="14C")*('Phân công'!#REF!="Tiếng Việt"))</f>
        <v>#REF!</v>
      </c>
      <c r="AF15" s="27" t="e">
        <f>SUMPRODUCT(('Phân công'!#REF!='Thù lao'!A15)*(RIGHT('Phân công'!#REF!,3)="14C")*('Phân công'!#REF!="Tiếng Anh"))</f>
        <v>#REF!</v>
      </c>
      <c r="AG15" s="26" t="e">
        <f>SUMPRODUCT(('Phân công'!#REF!='Thù lao'!A15)*(RIGHT('Phân công'!#REF!,3)="4CA"))</f>
        <v>#REF!</v>
      </c>
      <c r="AH15" s="25" t="e">
        <f>SUMPRODUCT(('Phân công'!#REF!='Thù lao'!A15)*(RIGHT('Phân công'!#REF!,3)="404"))</f>
        <v>#REF!</v>
      </c>
      <c r="AI15" s="29" t="e">
        <f>SUMPRODUCT(('Phân công'!#REF!='Thù lao'!A15)*(RIGHT('Phân công'!#REF!,3)="412"))</f>
        <v>#REF!</v>
      </c>
      <c r="AJ15" s="29" t="e">
        <f>SUMPRODUCT(('Phân công'!#REF!='Thù lao'!A15)*(RIGHT('Phân công'!#REF!,3)="414"))</f>
        <v>#REF!</v>
      </c>
      <c r="AK15" s="26" t="e">
        <f>SUMPRODUCT(('Phân công'!#REF!='Thù lao'!A15)*(RIGHT('Phân công'!#REF!,3)="04C")*('Phân công'!#REF!="Tiếng Việt"))</f>
        <v>#REF!</v>
      </c>
      <c r="AL15" s="26" t="e">
        <f>SUMPRODUCT(('Phân công'!#REF!='Thù lao'!A15)*(RIGHT('Phân công'!#REF!,3)="04C")*('Phân công'!#REF!="Tiếng Anh"))</f>
        <v>#REF!</v>
      </c>
      <c r="AM15" s="26" t="e">
        <f>SUMPRODUCT(('Phân công'!#REF!='Thù lao'!A15)*(RIGHT('Phân công'!#REF!,3)="14C")*('Phân công'!#REF!="Tiếng Việt"))</f>
        <v>#REF!</v>
      </c>
      <c r="AN15" s="27" t="e">
        <f>SUMPRODUCT(('Phân công'!#REF!='Thù lao'!A15)*(RIGHT('Phân công'!#REF!,3)="14C")*('Phân công'!#REF!="Tiếng Anh"))</f>
        <v>#REF!</v>
      </c>
      <c r="AO15" s="26" t="e">
        <f>SUMPRODUCT(('Phân công'!#REF!='Thù lao'!A15)*(RIGHT('Phân công'!#REF!,3)="4CA"))</f>
        <v>#REF!</v>
      </c>
      <c r="AP15" s="25" t="e">
        <f>SUMPRODUCT(('Phân công'!#REF!='Thù lao'!A15)*(RIGHT('Phân công'!#REF!,3)="404"))</f>
        <v>#REF!</v>
      </c>
      <c r="AQ15" s="29" t="e">
        <f>SUMPRODUCT(('Phân công'!#REF!='Thù lao'!A15)*(RIGHT('Phân công'!#REF!,3)="412"))</f>
        <v>#REF!</v>
      </c>
      <c r="AR15" s="29" t="e">
        <f>SUMPRODUCT(('Phân công'!#REF!='Thù lao'!A15)*(RIGHT('Phân công'!#REF!,3)="414"))</f>
        <v>#REF!</v>
      </c>
      <c r="AS15" s="26" t="e">
        <f>SUMPRODUCT(('Phân công'!#REF!='Thù lao'!A15)*(RIGHT('Phân công'!#REF!,3)="04C")*('Phân công'!#REF!="Tiếng Việt"))</f>
        <v>#REF!</v>
      </c>
      <c r="AT15" s="26" t="e">
        <f>SUMPRODUCT(('Phân công'!#REF!='Thù lao'!A15)*(RIGHT('Phân công'!#REF!,3)="04C")*('Phân công'!#REF!="Tiếng Anh"))</f>
        <v>#REF!</v>
      </c>
      <c r="AU15" s="26" t="e">
        <f>SUMPRODUCT(('Phân công'!#REF!='Thù lao'!A15)*(RIGHT('Phân công'!#REF!,3)="14C")*('Phân công'!#REF!="Tiếng Việt"))</f>
        <v>#REF!</v>
      </c>
      <c r="AV15" s="27" t="e">
        <f>SUMPRODUCT(('Phân công'!#REF!='Thù lao'!A15)*(RIGHT('Phân công'!#REF!,3)="14C")*('Phân công'!#REF!="Tiếng Anh"))</f>
        <v>#REF!</v>
      </c>
      <c r="AW15" s="26" t="e">
        <f>SUMPRODUCT(('Phân công'!#REF!='Thù lao'!A15)*(RIGHT('Phân công'!#REF!,3)="4CA"))</f>
        <v>#REF!</v>
      </c>
      <c r="AX15" s="25" t="e">
        <f t="shared" ref="AX15:BE15" si="21">AP15+AH15+Z15+R15</f>
        <v>#REF!</v>
      </c>
      <c r="AY15" s="25" t="e">
        <f t="shared" si="21"/>
        <v>#REF!</v>
      </c>
      <c r="AZ15" s="25" t="e">
        <f t="shared" si="21"/>
        <v>#REF!</v>
      </c>
      <c r="BA15" s="25" t="e">
        <f t="shared" si="21"/>
        <v>#REF!</v>
      </c>
      <c r="BB15" s="25" t="e">
        <f t="shared" si="21"/>
        <v>#REF!</v>
      </c>
      <c r="BC15" s="25" t="e">
        <f t="shared" si="21"/>
        <v>#REF!</v>
      </c>
      <c r="BD15" s="25" t="e">
        <f t="shared" si="21"/>
        <v>#REF!</v>
      </c>
      <c r="BE15" s="25" t="e">
        <f t="shared" si="21"/>
        <v>#REF!</v>
      </c>
      <c r="BF15" s="30" t="e">
        <f t="shared" si="1"/>
        <v>#REF!</v>
      </c>
      <c r="BG15" s="30" t="e">
        <f t="shared" si="2"/>
        <v>#REF!</v>
      </c>
      <c r="BH15" s="30" t="e">
        <f t="shared" si="3"/>
        <v>#REF!</v>
      </c>
      <c r="BI15" s="30" t="e">
        <f t="shared" si="4"/>
        <v>#REF!</v>
      </c>
      <c r="BJ15" s="30" t="e">
        <f t="shared" si="5"/>
        <v>#REF!</v>
      </c>
      <c r="BK15" s="30" t="e">
        <f t="shared" si="6"/>
        <v>#REF!</v>
      </c>
      <c r="BL15" s="31" t="e">
        <f t="shared" si="7"/>
        <v>#REF!</v>
      </c>
      <c r="BM15" s="31" t="e">
        <f t="shared" si="8"/>
        <v>#REF!</v>
      </c>
      <c r="BN15" s="31" t="e">
        <f t="shared" si="9"/>
        <v>#REF!</v>
      </c>
      <c r="BO15" s="31" t="e">
        <f t="shared" si="10"/>
        <v>#REF!</v>
      </c>
    </row>
    <row r="16" spans="1:67" ht="15.75" customHeight="1" x14ac:dyDescent="0.35">
      <c r="A16" s="2" t="s">
        <v>420</v>
      </c>
      <c r="B16" s="25" t="e">
        <f>SUMPRODUCT(('Phân công'!#REF!=$A16)*('Phân công'!#REF!="X")*(RIGHT('Phân công'!#REF!,3)="404"))</f>
        <v>#REF!</v>
      </c>
      <c r="C16" s="26" t="e">
        <f>SUMPRODUCT(('Phân công'!#REF!=$A16)*('Phân công'!#REF!="X")*(RIGHT('Phân công'!#REF!,3)="412"))</f>
        <v>#REF!</v>
      </c>
      <c r="D16" s="26" t="e">
        <f>SUMPRODUCT(('Phân công'!#REF!=$A16)*('Phân công'!#REF!="X")*(RIGHT('Phân công'!#REF!,3)="414"))</f>
        <v>#REF!</v>
      </c>
      <c r="E16" s="26" t="e">
        <f>SUMPRODUCT(('Phân công'!#REF!=$A16)*('Phân công'!#REF!="X")*(RIGHT('Phân công'!#REF!,4)="404C")*('Phân công'!#REF!="Tiếng Việt"))</f>
        <v>#REF!</v>
      </c>
      <c r="F16" s="26" t="e">
        <f>SUMPRODUCT(('Phân công'!#REF!=$A16)*('Phân công'!#REF!="X")*(RIGHT('Phân công'!#REF!,4)="404C")*('Phân công'!#REF!="Tiếng Anh"))</f>
        <v>#REF!</v>
      </c>
      <c r="G16" s="26" t="e">
        <f>SUMPRODUCT(('Phân công'!#REF!=$A16)*('Phân công'!#REF!="X")*(RIGHT('Phân công'!#REF!,4)="414C")*('Phân công'!#REF!="Tiếng Việt"))</f>
        <v>#REF!</v>
      </c>
      <c r="H16" s="27" t="e">
        <f>SUMPRODUCT(('Phân công'!#REF!=$A16)*('Phân công'!#REF!="X")*(RIGHT('Phân công'!#REF!,4)="414C")*('Phân công'!#REF!="Tiếng Anh"))</f>
        <v>#REF!</v>
      </c>
      <c r="I16" s="28" t="e">
        <f>SUMPRODUCT(('Phân công'!#REF!=$A16)*('Phân công'!#REF!="X")*(RIGHT('Phân công'!#REF!,5)="404CA"))</f>
        <v>#REF!</v>
      </c>
      <c r="J16" s="25" t="e">
        <f>SUMPRODUCT(('Phân công'!#REF!=$A16)*('Phân công'!#REF!="X")*(RIGHT('Phân công'!#REF!,3)="404"))</f>
        <v>#REF!</v>
      </c>
      <c r="K16" s="26" t="e">
        <f>SUMPRODUCT(('Phân công'!#REF!=$A16)*('Phân công'!#REF!="X")*(RIGHT('Phân công'!#REF!,3)="412"))</f>
        <v>#REF!</v>
      </c>
      <c r="L16" s="26" t="e">
        <f>SUMPRODUCT(('Phân công'!#REF!=$A16)*('Phân công'!#REF!="X")*(RIGHT('Phân công'!#REF!,3)="414"))</f>
        <v>#REF!</v>
      </c>
      <c r="M16" s="26" t="e">
        <f>SUMPRODUCT(('Phân công'!#REF!=$A16)*('Phân công'!#REF!="X")*(RIGHT('Phân công'!#REF!,3)="04C")*('Phân công'!#REF!="Tiếng Việt"))</f>
        <v>#REF!</v>
      </c>
      <c r="N16" s="26" t="e">
        <f>SUMPRODUCT(('Phân công'!#REF!=$A16)*('Phân công'!#REF!="X")*(RIGHT('Phân công'!#REF!,3)="04C")*('Phân công'!#REF!="Tiếng Anh"))</f>
        <v>#REF!</v>
      </c>
      <c r="O16" s="26" t="e">
        <f>SUMPRODUCT(('Phân công'!#REF!=$A16)*('Phân công'!#REF!="X")*(RIGHT('Phân công'!#REF!,3)="14C")*('Phân công'!#REF!="Tiếng Việt"))</f>
        <v>#REF!</v>
      </c>
      <c r="P16" s="27" t="e">
        <f>SUMPRODUCT(('Phân công'!#REF!=$A16)*('Phân công'!#REF!="X")*(RIGHT('Phân công'!#REF!,3)="14C")*('Phân công'!#REF!="Tiếng Anh"))</f>
        <v>#REF!</v>
      </c>
      <c r="Q16" s="28" t="e">
        <f>SUMPRODUCT(('Phân công'!#REF!=$A16)*('Phân công'!#REF!="X")*(RIGHT('Phân công'!#REF!,3)="4CA"))</f>
        <v>#REF!</v>
      </c>
      <c r="R16" s="25" t="e">
        <f>SUMPRODUCT(('Phân công'!#REF!='Thù lao'!A16)*(RIGHT('Phân công'!#REF!,3)="404"))</f>
        <v>#REF!</v>
      </c>
      <c r="S16" s="29" t="e">
        <f>SUMPRODUCT(('Phân công'!#REF!='Thù lao'!A16)*(RIGHT('Phân công'!#REF!,3)="412"))</f>
        <v>#REF!</v>
      </c>
      <c r="T16" s="29" t="e">
        <f>SUMPRODUCT(('Phân công'!#REF!='Thù lao'!A16)*(RIGHT('Phân công'!#REF!,3)="414"))</f>
        <v>#REF!</v>
      </c>
      <c r="U16" s="26" t="e">
        <f>SUMPRODUCT(('Phân công'!#REF!='Thù lao'!A16)*(RIGHT('Phân công'!#REF!,3)="04C")*('Phân công'!#REF!="Tiếng Việt"))</f>
        <v>#REF!</v>
      </c>
      <c r="V16" s="26" t="e">
        <f>SUMPRODUCT(('Phân công'!#REF!='Thù lao'!A16)*(RIGHT('Phân công'!#REF!,3)="04C")*('Phân công'!#REF!="Tiếng Anh"))</f>
        <v>#REF!</v>
      </c>
      <c r="W16" s="26" t="e">
        <f>SUMPRODUCT(('Phân công'!#REF!='Thù lao'!A16)*(RIGHT('Phân công'!#REF!,3)="14C")*('Phân công'!#REF!="Tiếng Việt"))</f>
        <v>#REF!</v>
      </c>
      <c r="X16" s="27" t="e">
        <f>SUMPRODUCT(('Phân công'!#REF!='Thù lao'!A16)*(RIGHT('Phân công'!#REF!,3)="14C")*('Phân công'!#REF!="Tiếng Anh"))</f>
        <v>#REF!</v>
      </c>
      <c r="Y16" s="26" t="e">
        <f>SUMPRODUCT(('Phân công'!#REF!='Thù lao'!A16)*(RIGHT('Phân công'!#REF!,3)="4CA"))</f>
        <v>#REF!</v>
      </c>
      <c r="Z16" s="25" t="e">
        <f>SUMPRODUCT(('Phân công'!#REF!='Thù lao'!A16)*(RIGHT('Phân công'!#REF!,3)="404"))</f>
        <v>#REF!</v>
      </c>
      <c r="AA16" s="29" t="e">
        <f>SUMPRODUCT(('Phân công'!#REF!='Thù lao'!A16)*(RIGHT('Phân công'!#REF!,3)="412"))</f>
        <v>#REF!</v>
      </c>
      <c r="AB16" s="29" t="e">
        <f>SUMPRODUCT(('Phân công'!#REF!='Thù lao'!A16)*(RIGHT('Phân công'!#REF!,3)="414"))</f>
        <v>#REF!</v>
      </c>
      <c r="AC16" s="26" t="e">
        <f>SUMPRODUCT(('Phân công'!#REF!='Thù lao'!A16)*(RIGHT('Phân công'!#REF!,3)="04C")*('Phân công'!#REF!="Tiếng Việt"))</f>
        <v>#REF!</v>
      </c>
      <c r="AD16" s="26" t="e">
        <f>SUMPRODUCT(('Phân công'!#REF!='Thù lao'!A16)*(RIGHT('Phân công'!#REF!,3)="04C")*('Phân công'!#REF!="Tiếng Anh"))</f>
        <v>#REF!</v>
      </c>
      <c r="AE16" s="26" t="e">
        <f>SUMPRODUCT(('Phân công'!#REF!='Thù lao'!A16)*(RIGHT('Phân công'!#REF!,3)="14C")*('Phân công'!#REF!="Tiếng Việt"))</f>
        <v>#REF!</v>
      </c>
      <c r="AF16" s="27" t="e">
        <f>SUMPRODUCT(('Phân công'!#REF!='Thù lao'!A16)*(RIGHT('Phân công'!#REF!,3)="14C")*('Phân công'!#REF!="Tiếng Anh"))</f>
        <v>#REF!</v>
      </c>
      <c r="AG16" s="26" t="e">
        <f>SUMPRODUCT(('Phân công'!#REF!='Thù lao'!A16)*(RIGHT('Phân công'!#REF!,3)="4CA"))</f>
        <v>#REF!</v>
      </c>
      <c r="AH16" s="25" t="e">
        <f>SUMPRODUCT(('Phân công'!#REF!='Thù lao'!A16)*(RIGHT('Phân công'!#REF!,3)="404"))</f>
        <v>#REF!</v>
      </c>
      <c r="AI16" s="29" t="e">
        <f>SUMPRODUCT(('Phân công'!#REF!='Thù lao'!A16)*(RIGHT('Phân công'!#REF!,3)="412"))</f>
        <v>#REF!</v>
      </c>
      <c r="AJ16" s="29" t="e">
        <f>SUMPRODUCT(('Phân công'!#REF!='Thù lao'!A16)*(RIGHT('Phân công'!#REF!,3)="414"))</f>
        <v>#REF!</v>
      </c>
      <c r="AK16" s="26" t="e">
        <f>SUMPRODUCT(('Phân công'!#REF!='Thù lao'!A16)*(RIGHT('Phân công'!#REF!,3)="04C")*('Phân công'!#REF!="Tiếng Việt"))</f>
        <v>#REF!</v>
      </c>
      <c r="AL16" s="26" t="e">
        <f>SUMPRODUCT(('Phân công'!#REF!='Thù lao'!A16)*(RIGHT('Phân công'!#REF!,3)="04C")*('Phân công'!#REF!="Tiếng Anh"))</f>
        <v>#REF!</v>
      </c>
      <c r="AM16" s="26" t="e">
        <f>SUMPRODUCT(('Phân công'!#REF!='Thù lao'!A16)*(RIGHT('Phân công'!#REF!,3)="14C")*('Phân công'!#REF!="Tiếng Việt"))</f>
        <v>#REF!</v>
      </c>
      <c r="AN16" s="27" t="e">
        <f>SUMPRODUCT(('Phân công'!#REF!='Thù lao'!A16)*(RIGHT('Phân công'!#REF!,3)="14C")*('Phân công'!#REF!="Tiếng Anh"))</f>
        <v>#REF!</v>
      </c>
      <c r="AO16" s="26" t="e">
        <f>SUMPRODUCT(('Phân công'!#REF!='Thù lao'!A16)*(RIGHT('Phân công'!#REF!,3)="4CA"))</f>
        <v>#REF!</v>
      </c>
      <c r="AP16" s="25" t="e">
        <f>SUMPRODUCT(('Phân công'!#REF!='Thù lao'!A16)*(RIGHT('Phân công'!#REF!,3)="404"))</f>
        <v>#REF!</v>
      </c>
      <c r="AQ16" s="29" t="e">
        <f>SUMPRODUCT(('Phân công'!#REF!='Thù lao'!A16)*(RIGHT('Phân công'!#REF!,3)="412"))</f>
        <v>#REF!</v>
      </c>
      <c r="AR16" s="29" t="e">
        <f>SUMPRODUCT(('Phân công'!#REF!='Thù lao'!A16)*(RIGHT('Phân công'!#REF!,3)="414"))</f>
        <v>#REF!</v>
      </c>
      <c r="AS16" s="26" t="e">
        <f>SUMPRODUCT(('Phân công'!#REF!='Thù lao'!A16)*(RIGHT('Phân công'!#REF!,3)="04C")*('Phân công'!#REF!="Tiếng Việt"))</f>
        <v>#REF!</v>
      </c>
      <c r="AT16" s="26" t="e">
        <f>SUMPRODUCT(('Phân công'!#REF!='Thù lao'!A16)*(RIGHT('Phân công'!#REF!,3)="04C")*('Phân công'!#REF!="Tiếng Anh"))</f>
        <v>#REF!</v>
      </c>
      <c r="AU16" s="26" t="e">
        <f>SUMPRODUCT(('Phân công'!#REF!='Thù lao'!A16)*(RIGHT('Phân công'!#REF!,3)="14C")*('Phân công'!#REF!="Tiếng Việt"))</f>
        <v>#REF!</v>
      </c>
      <c r="AV16" s="27" t="e">
        <f>SUMPRODUCT(('Phân công'!#REF!='Thù lao'!A16)*(RIGHT('Phân công'!#REF!,3)="14C")*('Phân công'!#REF!="Tiếng Anh"))</f>
        <v>#REF!</v>
      </c>
      <c r="AW16" s="26" t="e">
        <f>SUMPRODUCT(('Phân công'!#REF!='Thù lao'!A16)*(RIGHT('Phân công'!#REF!,3)="4CA"))</f>
        <v>#REF!</v>
      </c>
      <c r="AX16" s="25" t="e">
        <f t="shared" ref="AX16:BE16" si="22">AP16+AH16+Z16+R16</f>
        <v>#REF!</v>
      </c>
      <c r="AY16" s="25" t="e">
        <f t="shared" si="22"/>
        <v>#REF!</v>
      </c>
      <c r="AZ16" s="25" t="e">
        <f t="shared" si="22"/>
        <v>#REF!</v>
      </c>
      <c r="BA16" s="25" t="e">
        <f t="shared" si="22"/>
        <v>#REF!</v>
      </c>
      <c r="BB16" s="25" t="e">
        <f t="shared" si="22"/>
        <v>#REF!</v>
      </c>
      <c r="BC16" s="25" t="e">
        <f t="shared" si="22"/>
        <v>#REF!</v>
      </c>
      <c r="BD16" s="25" t="e">
        <f t="shared" si="22"/>
        <v>#REF!</v>
      </c>
      <c r="BE16" s="25" t="e">
        <f t="shared" si="22"/>
        <v>#REF!</v>
      </c>
      <c r="BF16" s="30" t="e">
        <f t="shared" si="1"/>
        <v>#REF!</v>
      </c>
      <c r="BG16" s="30" t="e">
        <f t="shared" si="2"/>
        <v>#REF!</v>
      </c>
      <c r="BH16" s="30" t="e">
        <f t="shared" si="3"/>
        <v>#REF!</v>
      </c>
      <c r="BI16" s="30" t="e">
        <f t="shared" si="4"/>
        <v>#REF!</v>
      </c>
      <c r="BJ16" s="30" t="e">
        <f t="shared" si="5"/>
        <v>#REF!</v>
      </c>
      <c r="BK16" s="30" t="e">
        <f t="shared" si="6"/>
        <v>#REF!</v>
      </c>
      <c r="BL16" s="31" t="e">
        <f t="shared" si="7"/>
        <v>#REF!</v>
      </c>
      <c r="BM16" s="31" t="e">
        <f t="shared" si="8"/>
        <v>#REF!</v>
      </c>
      <c r="BN16" s="31" t="e">
        <f t="shared" si="9"/>
        <v>#REF!</v>
      </c>
      <c r="BO16" s="31" t="e">
        <f t="shared" si="10"/>
        <v>#REF!</v>
      </c>
    </row>
    <row r="17" spans="1:67" ht="15.75" customHeight="1" x14ac:dyDescent="0.35">
      <c r="A17" s="2" t="s">
        <v>151</v>
      </c>
      <c r="B17" s="25" t="e">
        <f>SUMPRODUCT(('Phân công'!#REF!=$A17)*('Phân công'!#REF!="X")*(RIGHT('Phân công'!#REF!,3)="404"))</f>
        <v>#REF!</v>
      </c>
      <c r="C17" s="26" t="e">
        <f>SUMPRODUCT(('Phân công'!#REF!=$A17)*('Phân công'!#REF!="X")*(RIGHT('Phân công'!#REF!,3)="412"))</f>
        <v>#REF!</v>
      </c>
      <c r="D17" s="26" t="e">
        <f>SUMPRODUCT(('Phân công'!#REF!=$A17)*('Phân công'!#REF!="X")*(RIGHT('Phân công'!#REF!,3)="414"))</f>
        <v>#REF!</v>
      </c>
      <c r="E17" s="26" t="e">
        <f>SUMPRODUCT(('Phân công'!#REF!=$A17)*('Phân công'!#REF!="X")*(RIGHT('Phân công'!#REF!,4)="404C")*('Phân công'!#REF!="Tiếng Việt"))</f>
        <v>#REF!</v>
      </c>
      <c r="F17" s="26" t="e">
        <f>SUMPRODUCT(('Phân công'!#REF!=$A17)*('Phân công'!#REF!="X")*(RIGHT('Phân công'!#REF!,4)="404C")*('Phân công'!#REF!="Tiếng Anh"))</f>
        <v>#REF!</v>
      </c>
      <c r="G17" s="26" t="e">
        <f>SUMPRODUCT(('Phân công'!#REF!=$A17)*('Phân công'!#REF!="X")*(RIGHT('Phân công'!#REF!,4)="414C")*('Phân công'!#REF!="Tiếng Việt"))</f>
        <v>#REF!</v>
      </c>
      <c r="H17" s="27" t="e">
        <f>SUMPRODUCT(('Phân công'!#REF!=$A17)*('Phân công'!#REF!="X")*(RIGHT('Phân công'!#REF!,4)="414C")*('Phân công'!#REF!="Tiếng Anh"))</f>
        <v>#REF!</v>
      </c>
      <c r="I17" s="28" t="e">
        <f>SUMPRODUCT(('Phân công'!#REF!=$A17)*('Phân công'!#REF!="X")*(RIGHT('Phân công'!#REF!,5)="404CA"))</f>
        <v>#REF!</v>
      </c>
      <c r="J17" s="25" t="e">
        <f>SUMPRODUCT(('Phân công'!#REF!=$A17)*('Phân công'!#REF!="X")*(RIGHT('Phân công'!#REF!,3)="404"))</f>
        <v>#REF!</v>
      </c>
      <c r="K17" s="26" t="e">
        <f>SUMPRODUCT(('Phân công'!#REF!=$A17)*('Phân công'!#REF!="X")*(RIGHT('Phân công'!#REF!,3)="412"))</f>
        <v>#REF!</v>
      </c>
      <c r="L17" s="26" t="e">
        <f>SUMPRODUCT(('Phân công'!#REF!=$A17)*('Phân công'!#REF!="X")*(RIGHT('Phân công'!#REF!,3)="414"))</f>
        <v>#REF!</v>
      </c>
      <c r="M17" s="26" t="e">
        <f>SUMPRODUCT(('Phân công'!#REF!=$A17)*('Phân công'!#REF!="X")*(RIGHT('Phân công'!#REF!,3)="04C")*('Phân công'!#REF!="Tiếng Việt"))</f>
        <v>#REF!</v>
      </c>
      <c r="N17" s="26" t="e">
        <f>SUMPRODUCT(('Phân công'!#REF!=$A17)*('Phân công'!#REF!="X")*(RIGHT('Phân công'!#REF!,3)="04C")*('Phân công'!#REF!="Tiếng Anh"))</f>
        <v>#REF!</v>
      </c>
      <c r="O17" s="26" t="e">
        <f>SUMPRODUCT(('Phân công'!#REF!=$A17)*('Phân công'!#REF!="X")*(RIGHT('Phân công'!#REF!,3)="14C")*('Phân công'!#REF!="Tiếng Việt"))</f>
        <v>#REF!</v>
      </c>
      <c r="P17" s="27" t="e">
        <f>SUMPRODUCT(('Phân công'!#REF!=$A17)*('Phân công'!#REF!="X")*(RIGHT('Phân công'!#REF!,3)="14C")*('Phân công'!#REF!="Tiếng Anh"))</f>
        <v>#REF!</v>
      </c>
      <c r="Q17" s="28" t="e">
        <f>SUMPRODUCT(('Phân công'!#REF!=$A17)*('Phân công'!#REF!="X")*(RIGHT('Phân công'!#REF!,3)="4CA"))</f>
        <v>#REF!</v>
      </c>
      <c r="R17" s="25" t="e">
        <f>SUMPRODUCT(('Phân công'!#REF!='Thù lao'!A17)*(RIGHT('Phân công'!#REF!,3)="404"))</f>
        <v>#REF!</v>
      </c>
      <c r="S17" s="29" t="e">
        <f>SUMPRODUCT(('Phân công'!#REF!='Thù lao'!A17)*(RIGHT('Phân công'!#REF!,3)="412"))</f>
        <v>#REF!</v>
      </c>
      <c r="T17" s="29" t="e">
        <f>SUMPRODUCT(('Phân công'!#REF!='Thù lao'!A17)*(RIGHT('Phân công'!#REF!,3)="414"))</f>
        <v>#REF!</v>
      </c>
      <c r="U17" s="26" t="e">
        <f>SUMPRODUCT(('Phân công'!#REF!='Thù lao'!A17)*(RIGHT('Phân công'!#REF!,3)="04C")*('Phân công'!#REF!="Tiếng Việt"))</f>
        <v>#REF!</v>
      </c>
      <c r="V17" s="26" t="e">
        <f>SUMPRODUCT(('Phân công'!#REF!='Thù lao'!A17)*(RIGHT('Phân công'!#REF!,3)="04C")*('Phân công'!#REF!="Tiếng Anh"))</f>
        <v>#REF!</v>
      </c>
      <c r="W17" s="26" t="e">
        <f>SUMPRODUCT(('Phân công'!#REF!='Thù lao'!A17)*(RIGHT('Phân công'!#REF!,3)="14C")*('Phân công'!#REF!="Tiếng Việt"))</f>
        <v>#REF!</v>
      </c>
      <c r="X17" s="27" t="e">
        <f>SUMPRODUCT(('Phân công'!#REF!='Thù lao'!A17)*(RIGHT('Phân công'!#REF!,3)="14C")*('Phân công'!#REF!="Tiếng Anh"))</f>
        <v>#REF!</v>
      </c>
      <c r="Y17" s="26" t="e">
        <f>SUMPRODUCT(('Phân công'!#REF!='Thù lao'!A17)*(RIGHT('Phân công'!#REF!,3)="4CA"))</f>
        <v>#REF!</v>
      </c>
      <c r="Z17" s="25" t="e">
        <f>SUMPRODUCT(('Phân công'!#REF!='Thù lao'!A17)*(RIGHT('Phân công'!#REF!,3)="404"))</f>
        <v>#REF!</v>
      </c>
      <c r="AA17" s="29" t="e">
        <f>SUMPRODUCT(('Phân công'!#REF!='Thù lao'!A17)*(RIGHT('Phân công'!#REF!,3)="412"))</f>
        <v>#REF!</v>
      </c>
      <c r="AB17" s="29" t="e">
        <f>SUMPRODUCT(('Phân công'!#REF!='Thù lao'!A17)*(RIGHT('Phân công'!#REF!,3)="414"))</f>
        <v>#REF!</v>
      </c>
      <c r="AC17" s="26" t="e">
        <f>SUMPRODUCT(('Phân công'!#REF!='Thù lao'!A17)*(RIGHT('Phân công'!#REF!,3)="04C")*('Phân công'!#REF!="Tiếng Việt"))</f>
        <v>#REF!</v>
      </c>
      <c r="AD17" s="26" t="e">
        <f>SUMPRODUCT(('Phân công'!#REF!='Thù lao'!A17)*(RIGHT('Phân công'!#REF!,3)="04C")*('Phân công'!#REF!="Tiếng Anh"))</f>
        <v>#REF!</v>
      </c>
      <c r="AE17" s="26" t="e">
        <f>SUMPRODUCT(('Phân công'!#REF!='Thù lao'!A17)*(RIGHT('Phân công'!#REF!,3)="14C")*('Phân công'!#REF!="Tiếng Việt"))</f>
        <v>#REF!</v>
      </c>
      <c r="AF17" s="27" t="e">
        <f>SUMPRODUCT(('Phân công'!#REF!='Thù lao'!A17)*(RIGHT('Phân công'!#REF!,3)="14C")*('Phân công'!#REF!="Tiếng Anh"))</f>
        <v>#REF!</v>
      </c>
      <c r="AG17" s="26" t="e">
        <f>SUMPRODUCT(('Phân công'!#REF!='Thù lao'!A17)*(RIGHT('Phân công'!#REF!,3)="4CA"))</f>
        <v>#REF!</v>
      </c>
      <c r="AH17" s="25" t="e">
        <f>SUMPRODUCT(('Phân công'!#REF!='Thù lao'!A17)*(RIGHT('Phân công'!#REF!,3)="404"))</f>
        <v>#REF!</v>
      </c>
      <c r="AI17" s="29" t="e">
        <f>SUMPRODUCT(('Phân công'!#REF!='Thù lao'!A17)*(RIGHT('Phân công'!#REF!,3)="412"))</f>
        <v>#REF!</v>
      </c>
      <c r="AJ17" s="29" t="e">
        <f>SUMPRODUCT(('Phân công'!#REF!='Thù lao'!A17)*(RIGHT('Phân công'!#REF!,3)="414"))</f>
        <v>#REF!</v>
      </c>
      <c r="AK17" s="26" t="e">
        <f>SUMPRODUCT(('Phân công'!#REF!='Thù lao'!A17)*(RIGHT('Phân công'!#REF!,3)="04C")*('Phân công'!#REF!="Tiếng Việt"))</f>
        <v>#REF!</v>
      </c>
      <c r="AL17" s="26" t="e">
        <f>SUMPRODUCT(('Phân công'!#REF!='Thù lao'!A17)*(RIGHT('Phân công'!#REF!,3)="04C")*('Phân công'!#REF!="Tiếng Anh"))</f>
        <v>#REF!</v>
      </c>
      <c r="AM17" s="26" t="e">
        <f>SUMPRODUCT(('Phân công'!#REF!='Thù lao'!A17)*(RIGHT('Phân công'!#REF!,3)="14C")*('Phân công'!#REF!="Tiếng Việt"))</f>
        <v>#REF!</v>
      </c>
      <c r="AN17" s="27" t="e">
        <f>SUMPRODUCT(('Phân công'!#REF!='Thù lao'!A17)*(RIGHT('Phân công'!#REF!,3)="14C")*('Phân công'!#REF!="Tiếng Anh"))</f>
        <v>#REF!</v>
      </c>
      <c r="AO17" s="26" t="e">
        <f>SUMPRODUCT(('Phân công'!#REF!='Thù lao'!A17)*(RIGHT('Phân công'!#REF!,3)="4CA"))</f>
        <v>#REF!</v>
      </c>
      <c r="AP17" s="25" t="e">
        <f>SUMPRODUCT(('Phân công'!#REF!='Thù lao'!A17)*(RIGHT('Phân công'!#REF!,3)="404"))</f>
        <v>#REF!</v>
      </c>
      <c r="AQ17" s="29" t="e">
        <f>SUMPRODUCT(('Phân công'!#REF!='Thù lao'!A17)*(RIGHT('Phân công'!#REF!,3)="412"))</f>
        <v>#REF!</v>
      </c>
      <c r="AR17" s="29" t="e">
        <f>SUMPRODUCT(('Phân công'!#REF!='Thù lao'!A17)*(RIGHT('Phân công'!#REF!,3)="414"))</f>
        <v>#REF!</v>
      </c>
      <c r="AS17" s="26" t="e">
        <f>SUMPRODUCT(('Phân công'!#REF!='Thù lao'!A17)*(RIGHT('Phân công'!#REF!,3)="04C")*('Phân công'!#REF!="Tiếng Việt"))</f>
        <v>#REF!</v>
      </c>
      <c r="AT17" s="26" t="e">
        <f>SUMPRODUCT(('Phân công'!#REF!='Thù lao'!A17)*(RIGHT('Phân công'!#REF!,3)="04C")*('Phân công'!#REF!="Tiếng Anh"))</f>
        <v>#REF!</v>
      </c>
      <c r="AU17" s="26" t="e">
        <f>SUMPRODUCT(('Phân công'!#REF!='Thù lao'!A17)*(RIGHT('Phân công'!#REF!,3)="14C")*('Phân công'!#REF!="Tiếng Việt"))</f>
        <v>#REF!</v>
      </c>
      <c r="AV17" s="27" t="e">
        <f>SUMPRODUCT(('Phân công'!#REF!='Thù lao'!A17)*(RIGHT('Phân công'!#REF!,3)="14C")*('Phân công'!#REF!="Tiếng Anh"))</f>
        <v>#REF!</v>
      </c>
      <c r="AW17" s="26" t="e">
        <f>SUMPRODUCT(('Phân công'!#REF!='Thù lao'!A17)*(RIGHT('Phân công'!#REF!,3)="4CA"))</f>
        <v>#REF!</v>
      </c>
      <c r="AX17" s="25" t="e">
        <f t="shared" ref="AX17:BE17" si="23">AP17+AH17+Z17+R17</f>
        <v>#REF!</v>
      </c>
      <c r="AY17" s="25" t="e">
        <f t="shared" si="23"/>
        <v>#REF!</v>
      </c>
      <c r="AZ17" s="25" t="e">
        <f t="shared" si="23"/>
        <v>#REF!</v>
      </c>
      <c r="BA17" s="25" t="e">
        <f t="shared" si="23"/>
        <v>#REF!</v>
      </c>
      <c r="BB17" s="25" t="e">
        <f t="shared" si="23"/>
        <v>#REF!</v>
      </c>
      <c r="BC17" s="25" t="e">
        <f t="shared" si="23"/>
        <v>#REF!</v>
      </c>
      <c r="BD17" s="25" t="e">
        <f t="shared" si="23"/>
        <v>#REF!</v>
      </c>
      <c r="BE17" s="25" t="e">
        <f t="shared" si="23"/>
        <v>#REF!</v>
      </c>
      <c r="BF17" s="30" t="e">
        <f t="shared" si="1"/>
        <v>#REF!</v>
      </c>
      <c r="BG17" s="30" t="e">
        <f t="shared" si="2"/>
        <v>#REF!</v>
      </c>
      <c r="BH17" s="30" t="e">
        <f t="shared" si="3"/>
        <v>#REF!</v>
      </c>
      <c r="BI17" s="30" t="e">
        <f t="shared" si="4"/>
        <v>#REF!</v>
      </c>
      <c r="BJ17" s="30" t="e">
        <f t="shared" si="5"/>
        <v>#REF!</v>
      </c>
      <c r="BK17" s="30" t="e">
        <f t="shared" si="6"/>
        <v>#REF!</v>
      </c>
      <c r="BL17" s="31" t="e">
        <f t="shared" si="7"/>
        <v>#REF!</v>
      </c>
      <c r="BM17" s="31" t="e">
        <f t="shared" si="8"/>
        <v>#REF!</v>
      </c>
      <c r="BN17" s="31" t="e">
        <f t="shared" si="9"/>
        <v>#REF!</v>
      </c>
      <c r="BO17" s="31" t="e">
        <f t="shared" si="10"/>
        <v>#REF!</v>
      </c>
    </row>
    <row r="18" spans="1:67" ht="15.75" customHeight="1" x14ac:dyDescent="0.35">
      <c r="A18" s="2" t="s">
        <v>8</v>
      </c>
      <c r="B18" s="25" t="e">
        <f>SUMPRODUCT(('Phân công'!#REF!=$A18)*('Phân công'!#REF!="X")*(RIGHT('Phân công'!#REF!,3)="404"))</f>
        <v>#REF!</v>
      </c>
      <c r="C18" s="26" t="e">
        <f>SUMPRODUCT(('Phân công'!#REF!=$A18)*('Phân công'!#REF!="X")*(RIGHT('Phân công'!#REF!,3)="412"))</f>
        <v>#REF!</v>
      </c>
      <c r="D18" s="26" t="e">
        <f>SUMPRODUCT(('Phân công'!#REF!=$A18)*('Phân công'!#REF!="X")*(RIGHT('Phân công'!#REF!,3)="414"))</f>
        <v>#REF!</v>
      </c>
      <c r="E18" s="26" t="e">
        <f>SUMPRODUCT(('Phân công'!#REF!=$A18)*('Phân công'!#REF!="X")*(RIGHT('Phân công'!#REF!,4)="404C")*('Phân công'!#REF!="Tiếng Việt"))</f>
        <v>#REF!</v>
      </c>
      <c r="F18" s="26" t="e">
        <f>SUMPRODUCT(('Phân công'!#REF!=$A18)*('Phân công'!#REF!="X")*(RIGHT('Phân công'!#REF!,4)="404C")*('Phân công'!#REF!="Tiếng Anh"))</f>
        <v>#REF!</v>
      </c>
      <c r="G18" s="26" t="e">
        <f>SUMPRODUCT(('Phân công'!#REF!=$A18)*('Phân công'!#REF!="X")*(RIGHT('Phân công'!#REF!,4)="414C")*('Phân công'!#REF!="Tiếng Việt"))</f>
        <v>#REF!</v>
      </c>
      <c r="H18" s="27" t="e">
        <f>SUMPRODUCT(('Phân công'!#REF!=$A18)*('Phân công'!#REF!="X")*(RIGHT('Phân công'!#REF!,4)="414C")*('Phân công'!#REF!="Tiếng Anh"))</f>
        <v>#REF!</v>
      </c>
      <c r="I18" s="28" t="e">
        <f>SUMPRODUCT(('Phân công'!#REF!=$A18)*('Phân công'!#REF!="X")*(RIGHT('Phân công'!#REF!,5)="404CA"))</f>
        <v>#REF!</v>
      </c>
      <c r="J18" s="25" t="e">
        <f>SUMPRODUCT(('Phân công'!#REF!=$A18)*('Phân công'!#REF!="X")*(RIGHT('Phân công'!#REF!,3)="404"))</f>
        <v>#REF!</v>
      </c>
      <c r="K18" s="26" t="e">
        <f>SUMPRODUCT(('Phân công'!#REF!=$A18)*('Phân công'!#REF!="X")*(RIGHT('Phân công'!#REF!,3)="412"))</f>
        <v>#REF!</v>
      </c>
      <c r="L18" s="26" t="e">
        <f>SUMPRODUCT(('Phân công'!#REF!=$A18)*('Phân công'!#REF!="X")*(RIGHT('Phân công'!#REF!,3)="414"))</f>
        <v>#REF!</v>
      </c>
      <c r="M18" s="26" t="e">
        <f>SUMPRODUCT(('Phân công'!#REF!=$A18)*('Phân công'!#REF!="X")*(RIGHT('Phân công'!#REF!,3)="04C")*('Phân công'!#REF!="Tiếng Việt"))</f>
        <v>#REF!</v>
      </c>
      <c r="N18" s="26" t="e">
        <f>SUMPRODUCT(('Phân công'!#REF!=$A18)*('Phân công'!#REF!="X")*(RIGHT('Phân công'!#REF!,3)="04C")*('Phân công'!#REF!="Tiếng Anh"))</f>
        <v>#REF!</v>
      </c>
      <c r="O18" s="26" t="e">
        <f>SUMPRODUCT(('Phân công'!#REF!=$A18)*('Phân công'!#REF!="X")*(RIGHT('Phân công'!#REF!,3)="14C")*('Phân công'!#REF!="Tiếng Việt"))</f>
        <v>#REF!</v>
      </c>
      <c r="P18" s="27" t="e">
        <f>SUMPRODUCT(('Phân công'!#REF!=$A18)*('Phân công'!#REF!="X")*(RIGHT('Phân công'!#REF!,3)="14C")*('Phân công'!#REF!="Tiếng Anh"))</f>
        <v>#REF!</v>
      </c>
      <c r="Q18" s="28" t="e">
        <f>SUMPRODUCT(('Phân công'!#REF!=$A18)*('Phân công'!#REF!="X")*(RIGHT('Phân công'!#REF!,3)="4CA"))</f>
        <v>#REF!</v>
      </c>
      <c r="R18" s="25" t="e">
        <f>SUMPRODUCT(('Phân công'!#REF!='Thù lao'!A18)*(RIGHT('Phân công'!#REF!,3)="404"))</f>
        <v>#REF!</v>
      </c>
      <c r="S18" s="29" t="e">
        <f>SUMPRODUCT(('Phân công'!#REF!='Thù lao'!A18)*(RIGHT('Phân công'!#REF!,3)="412"))</f>
        <v>#REF!</v>
      </c>
      <c r="T18" s="29" t="e">
        <f>SUMPRODUCT(('Phân công'!#REF!='Thù lao'!A18)*(RIGHT('Phân công'!#REF!,3)="414"))</f>
        <v>#REF!</v>
      </c>
      <c r="U18" s="26" t="e">
        <f>SUMPRODUCT(('Phân công'!#REF!='Thù lao'!A18)*(RIGHT('Phân công'!#REF!,3)="04C")*('Phân công'!#REF!="Tiếng Việt"))</f>
        <v>#REF!</v>
      </c>
      <c r="V18" s="26" t="e">
        <f>SUMPRODUCT(('Phân công'!#REF!='Thù lao'!A18)*(RIGHT('Phân công'!#REF!,3)="04C")*('Phân công'!#REF!="Tiếng Anh"))</f>
        <v>#REF!</v>
      </c>
      <c r="W18" s="26" t="e">
        <f>SUMPRODUCT(('Phân công'!#REF!='Thù lao'!A18)*(RIGHT('Phân công'!#REF!,3)="14C")*('Phân công'!#REF!="Tiếng Việt"))</f>
        <v>#REF!</v>
      </c>
      <c r="X18" s="27" t="e">
        <f>SUMPRODUCT(('Phân công'!#REF!='Thù lao'!A18)*(RIGHT('Phân công'!#REF!,3)="14C")*('Phân công'!#REF!="Tiếng Anh"))</f>
        <v>#REF!</v>
      </c>
      <c r="Y18" s="26" t="e">
        <f>SUMPRODUCT(('Phân công'!#REF!='Thù lao'!A18)*(RIGHT('Phân công'!#REF!,3)="4CA"))</f>
        <v>#REF!</v>
      </c>
      <c r="Z18" s="25" t="e">
        <f>SUMPRODUCT(('Phân công'!#REF!='Thù lao'!A18)*(RIGHT('Phân công'!#REF!,3)="404"))</f>
        <v>#REF!</v>
      </c>
      <c r="AA18" s="29" t="e">
        <f>SUMPRODUCT(('Phân công'!#REF!='Thù lao'!A18)*(RIGHT('Phân công'!#REF!,3)="412"))</f>
        <v>#REF!</v>
      </c>
      <c r="AB18" s="29" t="e">
        <f>SUMPRODUCT(('Phân công'!#REF!='Thù lao'!A18)*(RIGHT('Phân công'!#REF!,3)="414"))</f>
        <v>#REF!</v>
      </c>
      <c r="AC18" s="26" t="e">
        <f>SUMPRODUCT(('Phân công'!#REF!='Thù lao'!A18)*(RIGHT('Phân công'!#REF!,3)="04C")*('Phân công'!#REF!="Tiếng Việt"))</f>
        <v>#REF!</v>
      </c>
      <c r="AD18" s="26" t="e">
        <f>SUMPRODUCT(('Phân công'!#REF!='Thù lao'!A18)*(RIGHT('Phân công'!#REF!,3)="04C")*('Phân công'!#REF!="Tiếng Anh"))</f>
        <v>#REF!</v>
      </c>
      <c r="AE18" s="26" t="e">
        <f>SUMPRODUCT(('Phân công'!#REF!='Thù lao'!A18)*(RIGHT('Phân công'!#REF!,3)="14C")*('Phân công'!#REF!="Tiếng Việt"))</f>
        <v>#REF!</v>
      </c>
      <c r="AF18" s="27" t="e">
        <f>SUMPRODUCT(('Phân công'!#REF!='Thù lao'!A18)*(RIGHT('Phân công'!#REF!,3)="14C")*('Phân công'!#REF!="Tiếng Anh"))</f>
        <v>#REF!</v>
      </c>
      <c r="AG18" s="26" t="e">
        <f>SUMPRODUCT(('Phân công'!#REF!='Thù lao'!A18)*(RIGHT('Phân công'!#REF!,3)="4CA"))</f>
        <v>#REF!</v>
      </c>
      <c r="AH18" s="25" t="e">
        <f>SUMPRODUCT(('Phân công'!#REF!='Thù lao'!A18)*(RIGHT('Phân công'!#REF!,3)="404"))</f>
        <v>#REF!</v>
      </c>
      <c r="AI18" s="29" t="e">
        <f>SUMPRODUCT(('Phân công'!#REF!='Thù lao'!A18)*(RIGHT('Phân công'!#REF!,3)="412"))</f>
        <v>#REF!</v>
      </c>
      <c r="AJ18" s="29" t="e">
        <f>SUMPRODUCT(('Phân công'!#REF!='Thù lao'!A18)*(RIGHT('Phân công'!#REF!,3)="414"))</f>
        <v>#REF!</v>
      </c>
      <c r="AK18" s="26" t="e">
        <f>SUMPRODUCT(('Phân công'!#REF!='Thù lao'!A18)*(RIGHT('Phân công'!#REF!,3)="04C")*('Phân công'!#REF!="Tiếng Việt"))</f>
        <v>#REF!</v>
      </c>
      <c r="AL18" s="26" t="e">
        <f>SUMPRODUCT(('Phân công'!#REF!='Thù lao'!A18)*(RIGHT('Phân công'!#REF!,3)="04C")*('Phân công'!#REF!="Tiếng Anh"))</f>
        <v>#REF!</v>
      </c>
      <c r="AM18" s="26" t="e">
        <f>SUMPRODUCT(('Phân công'!#REF!='Thù lao'!A18)*(RIGHT('Phân công'!#REF!,3)="14C")*('Phân công'!#REF!="Tiếng Việt"))</f>
        <v>#REF!</v>
      </c>
      <c r="AN18" s="27" t="e">
        <f>SUMPRODUCT(('Phân công'!#REF!='Thù lao'!A18)*(RIGHT('Phân công'!#REF!,3)="14C")*('Phân công'!#REF!="Tiếng Anh"))</f>
        <v>#REF!</v>
      </c>
      <c r="AO18" s="26" t="e">
        <f>SUMPRODUCT(('Phân công'!#REF!='Thù lao'!A18)*(RIGHT('Phân công'!#REF!,3)="4CA"))</f>
        <v>#REF!</v>
      </c>
      <c r="AP18" s="25" t="e">
        <f>SUMPRODUCT(('Phân công'!#REF!='Thù lao'!A18)*(RIGHT('Phân công'!#REF!,3)="404"))</f>
        <v>#REF!</v>
      </c>
      <c r="AQ18" s="29" t="e">
        <f>SUMPRODUCT(('Phân công'!#REF!='Thù lao'!A18)*(RIGHT('Phân công'!#REF!,3)="412"))</f>
        <v>#REF!</v>
      </c>
      <c r="AR18" s="29" t="e">
        <f>SUMPRODUCT(('Phân công'!#REF!='Thù lao'!A18)*(RIGHT('Phân công'!#REF!,3)="414"))</f>
        <v>#REF!</v>
      </c>
      <c r="AS18" s="26" t="e">
        <f>SUMPRODUCT(('Phân công'!#REF!='Thù lao'!A18)*(RIGHT('Phân công'!#REF!,3)="04C")*('Phân công'!#REF!="Tiếng Việt"))</f>
        <v>#REF!</v>
      </c>
      <c r="AT18" s="26" t="e">
        <f>SUMPRODUCT(('Phân công'!#REF!='Thù lao'!A18)*(RIGHT('Phân công'!#REF!,3)="04C")*('Phân công'!#REF!="Tiếng Anh"))</f>
        <v>#REF!</v>
      </c>
      <c r="AU18" s="26" t="e">
        <f>SUMPRODUCT(('Phân công'!#REF!='Thù lao'!A18)*(RIGHT('Phân công'!#REF!,3)="14C")*('Phân công'!#REF!="Tiếng Việt"))</f>
        <v>#REF!</v>
      </c>
      <c r="AV18" s="27" t="e">
        <f>SUMPRODUCT(('Phân công'!#REF!='Thù lao'!A18)*(RIGHT('Phân công'!#REF!,3)="14C")*('Phân công'!#REF!="Tiếng Anh"))</f>
        <v>#REF!</v>
      </c>
      <c r="AW18" s="26" t="e">
        <f>SUMPRODUCT(('Phân công'!#REF!='Thù lao'!A18)*(RIGHT('Phân công'!#REF!,3)="4CA"))</f>
        <v>#REF!</v>
      </c>
      <c r="AX18" s="25" t="e">
        <f t="shared" ref="AX18:BE18" si="24">AP18+AH18+Z18+R18</f>
        <v>#REF!</v>
      </c>
      <c r="AY18" s="25" t="e">
        <f t="shared" si="24"/>
        <v>#REF!</v>
      </c>
      <c r="AZ18" s="25" t="e">
        <f t="shared" si="24"/>
        <v>#REF!</v>
      </c>
      <c r="BA18" s="25" t="e">
        <f t="shared" si="24"/>
        <v>#REF!</v>
      </c>
      <c r="BB18" s="25" t="e">
        <f t="shared" si="24"/>
        <v>#REF!</v>
      </c>
      <c r="BC18" s="25" t="e">
        <f t="shared" si="24"/>
        <v>#REF!</v>
      </c>
      <c r="BD18" s="25" t="e">
        <f t="shared" si="24"/>
        <v>#REF!</v>
      </c>
      <c r="BE18" s="25" t="e">
        <f t="shared" si="24"/>
        <v>#REF!</v>
      </c>
      <c r="BF18" s="30" t="e">
        <f t="shared" si="1"/>
        <v>#REF!</v>
      </c>
      <c r="BG18" s="30" t="e">
        <f t="shared" si="2"/>
        <v>#REF!</v>
      </c>
      <c r="BH18" s="30" t="e">
        <f t="shared" si="3"/>
        <v>#REF!</v>
      </c>
      <c r="BI18" s="30" t="e">
        <f t="shared" si="4"/>
        <v>#REF!</v>
      </c>
      <c r="BJ18" s="30" t="e">
        <f t="shared" si="5"/>
        <v>#REF!</v>
      </c>
      <c r="BK18" s="30" t="e">
        <f t="shared" si="6"/>
        <v>#REF!</v>
      </c>
      <c r="BL18" s="31" t="e">
        <f t="shared" si="7"/>
        <v>#REF!</v>
      </c>
      <c r="BM18" s="31" t="e">
        <f t="shared" si="8"/>
        <v>#REF!</v>
      </c>
      <c r="BN18" s="31" t="e">
        <f t="shared" si="9"/>
        <v>#REF!</v>
      </c>
      <c r="BO18" s="31" t="e">
        <f t="shared" si="10"/>
        <v>#REF!</v>
      </c>
    </row>
    <row r="19" spans="1:67" ht="15.75" customHeight="1" x14ac:dyDescent="0.35">
      <c r="A19" s="2" t="s">
        <v>42</v>
      </c>
      <c r="B19" s="25" t="e">
        <f>SUMPRODUCT(('Phân công'!#REF!=$A19)*('Phân công'!#REF!="X")*(RIGHT('Phân công'!#REF!,3)="404"))</f>
        <v>#REF!</v>
      </c>
      <c r="C19" s="26" t="e">
        <f>SUMPRODUCT(('Phân công'!#REF!=$A19)*('Phân công'!#REF!="X")*(RIGHT('Phân công'!#REF!,3)="412"))</f>
        <v>#REF!</v>
      </c>
      <c r="D19" s="26" t="e">
        <f>SUMPRODUCT(('Phân công'!#REF!=$A19)*('Phân công'!#REF!="X")*(RIGHT('Phân công'!#REF!,3)="414"))</f>
        <v>#REF!</v>
      </c>
      <c r="E19" s="26" t="e">
        <f>SUMPRODUCT(('Phân công'!#REF!=$A19)*('Phân công'!#REF!="X")*(RIGHT('Phân công'!#REF!,4)="404C")*('Phân công'!#REF!="Tiếng Việt"))</f>
        <v>#REF!</v>
      </c>
      <c r="F19" s="26" t="e">
        <f>SUMPRODUCT(('Phân công'!#REF!=$A19)*('Phân công'!#REF!="X")*(RIGHT('Phân công'!#REF!,4)="404C")*('Phân công'!#REF!="Tiếng Anh"))</f>
        <v>#REF!</v>
      </c>
      <c r="G19" s="26" t="e">
        <f>SUMPRODUCT(('Phân công'!#REF!=$A19)*('Phân công'!#REF!="X")*(RIGHT('Phân công'!#REF!,4)="414C")*('Phân công'!#REF!="Tiếng Việt"))</f>
        <v>#REF!</v>
      </c>
      <c r="H19" s="27" t="e">
        <f>SUMPRODUCT(('Phân công'!#REF!=$A19)*('Phân công'!#REF!="X")*(RIGHT('Phân công'!#REF!,4)="414C")*('Phân công'!#REF!="Tiếng Anh"))</f>
        <v>#REF!</v>
      </c>
      <c r="I19" s="28" t="e">
        <f>SUMPRODUCT(('Phân công'!#REF!=$A19)*('Phân công'!#REF!="X")*(RIGHT('Phân công'!#REF!,5)="404CA"))</f>
        <v>#REF!</v>
      </c>
      <c r="J19" s="25" t="e">
        <f>SUMPRODUCT(('Phân công'!#REF!=$A19)*('Phân công'!#REF!="X")*(RIGHT('Phân công'!#REF!,3)="404"))</f>
        <v>#REF!</v>
      </c>
      <c r="K19" s="26" t="e">
        <f>SUMPRODUCT(('Phân công'!#REF!=$A19)*('Phân công'!#REF!="X")*(RIGHT('Phân công'!#REF!,3)="412"))</f>
        <v>#REF!</v>
      </c>
      <c r="L19" s="26" t="e">
        <f>SUMPRODUCT(('Phân công'!#REF!=$A19)*('Phân công'!#REF!="X")*(RIGHT('Phân công'!#REF!,3)="414"))</f>
        <v>#REF!</v>
      </c>
      <c r="M19" s="26" t="e">
        <f>SUMPRODUCT(('Phân công'!#REF!=$A19)*('Phân công'!#REF!="X")*(RIGHT('Phân công'!#REF!,3)="04C")*('Phân công'!#REF!="Tiếng Việt"))</f>
        <v>#REF!</v>
      </c>
      <c r="N19" s="26" t="e">
        <f>SUMPRODUCT(('Phân công'!#REF!=$A19)*('Phân công'!#REF!="X")*(RIGHT('Phân công'!#REF!,3)="04C")*('Phân công'!#REF!="Tiếng Anh"))</f>
        <v>#REF!</v>
      </c>
      <c r="O19" s="26" t="e">
        <f>SUMPRODUCT(('Phân công'!#REF!=$A19)*('Phân công'!#REF!="X")*(RIGHT('Phân công'!#REF!,3)="14C")*('Phân công'!#REF!="Tiếng Việt"))</f>
        <v>#REF!</v>
      </c>
      <c r="P19" s="27" t="e">
        <f>SUMPRODUCT(('Phân công'!#REF!=$A19)*('Phân công'!#REF!="X")*(RIGHT('Phân công'!#REF!,3)="14C")*('Phân công'!#REF!="Tiếng Anh"))</f>
        <v>#REF!</v>
      </c>
      <c r="Q19" s="28" t="e">
        <f>SUMPRODUCT(('Phân công'!#REF!=$A19)*('Phân công'!#REF!="X")*(RIGHT('Phân công'!#REF!,3)="4CA"))</f>
        <v>#REF!</v>
      </c>
      <c r="R19" s="25" t="e">
        <f>SUMPRODUCT(('Phân công'!#REF!='Thù lao'!A19)*(RIGHT('Phân công'!#REF!,3)="404"))</f>
        <v>#REF!</v>
      </c>
      <c r="S19" s="29" t="e">
        <f>SUMPRODUCT(('Phân công'!#REF!='Thù lao'!A19)*(RIGHT('Phân công'!#REF!,3)="412"))</f>
        <v>#REF!</v>
      </c>
      <c r="T19" s="29" t="e">
        <f>SUMPRODUCT(('Phân công'!#REF!='Thù lao'!A19)*(RIGHT('Phân công'!#REF!,3)="414"))</f>
        <v>#REF!</v>
      </c>
      <c r="U19" s="26" t="e">
        <f>SUMPRODUCT(('Phân công'!#REF!='Thù lao'!A19)*(RIGHT('Phân công'!#REF!,3)="04C")*('Phân công'!#REF!="Tiếng Việt"))</f>
        <v>#REF!</v>
      </c>
      <c r="V19" s="26" t="e">
        <f>SUMPRODUCT(('Phân công'!#REF!='Thù lao'!A19)*(RIGHT('Phân công'!#REF!,3)="04C")*('Phân công'!#REF!="Tiếng Anh"))</f>
        <v>#REF!</v>
      </c>
      <c r="W19" s="26" t="e">
        <f>SUMPRODUCT(('Phân công'!#REF!='Thù lao'!A19)*(RIGHT('Phân công'!#REF!,3)="14C")*('Phân công'!#REF!="Tiếng Việt"))</f>
        <v>#REF!</v>
      </c>
      <c r="X19" s="27" t="e">
        <f>SUMPRODUCT(('Phân công'!#REF!='Thù lao'!A19)*(RIGHT('Phân công'!#REF!,3)="14C")*('Phân công'!#REF!="Tiếng Anh"))</f>
        <v>#REF!</v>
      </c>
      <c r="Y19" s="26" t="e">
        <f>SUMPRODUCT(('Phân công'!#REF!='Thù lao'!A19)*(RIGHT('Phân công'!#REF!,3)="4CA"))</f>
        <v>#REF!</v>
      </c>
      <c r="Z19" s="25" t="e">
        <f>SUMPRODUCT(('Phân công'!#REF!='Thù lao'!A19)*(RIGHT('Phân công'!#REF!,3)="404"))</f>
        <v>#REF!</v>
      </c>
      <c r="AA19" s="29" t="e">
        <f>SUMPRODUCT(('Phân công'!#REF!='Thù lao'!A19)*(RIGHT('Phân công'!#REF!,3)="412"))</f>
        <v>#REF!</v>
      </c>
      <c r="AB19" s="29" t="e">
        <f>SUMPRODUCT(('Phân công'!#REF!='Thù lao'!A19)*(RIGHT('Phân công'!#REF!,3)="414"))</f>
        <v>#REF!</v>
      </c>
      <c r="AC19" s="26" t="e">
        <f>SUMPRODUCT(('Phân công'!#REF!='Thù lao'!A19)*(RIGHT('Phân công'!#REF!,3)="04C")*('Phân công'!#REF!="Tiếng Việt"))</f>
        <v>#REF!</v>
      </c>
      <c r="AD19" s="26" t="e">
        <f>SUMPRODUCT(('Phân công'!#REF!='Thù lao'!A19)*(RIGHT('Phân công'!#REF!,3)="04C")*('Phân công'!#REF!="Tiếng Anh"))</f>
        <v>#REF!</v>
      </c>
      <c r="AE19" s="26" t="e">
        <f>SUMPRODUCT(('Phân công'!#REF!='Thù lao'!A19)*(RIGHT('Phân công'!#REF!,3)="14C")*('Phân công'!#REF!="Tiếng Việt"))</f>
        <v>#REF!</v>
      </c>
      <c r="AF19" s="27" t="e">
        <f>SUMPRODUCT(('Phân công'!#REF!='Thù lao'!A19)*(RIGHT('Phân công'!#REF!,3)="14C")*('Phân công'!#REF!="Tiếng Anh"))</f>
        <v>#REF!</v>
      </c>
      <c r="AG19" s="26" t="e">
        <f>SUMPRODUCT(('Phân công'!#REF!='Thù lao'!A19)*(RIGHT('Phân công'!#REF!,3)="4CA"))</f>
        <v>#REF!</v>
      </c>
      <c r="AH19" s="25" t="e">
        <f>SUMPRODUCT(('Phân công'!#REF!='Thù lao'!A19)*(RIGHT('Phân công'!#REF!,3)="404"))</f>
        <v>#REF!</v>
      </c>
      <c r="AI19" s="29" t="e">
        <f>SUMPRODUCT(('Phân công'!#REF!='Thù lao'!A19)*(RIGHT('Phân công'!#REF!,3)="412"))</f>
        <v>#REF!</v>
      </c>
      <c r="AJ19" s="29" t="e">
        <f>SUMPRODUCT(('Phân công'!#REF!='Thù lao'!A19)*(RIGHT('Phân công'!#REF!,3)="414"))</f>
        <v>#REF!</v>
      </c>
      <c r="AK19" s="26" t="e">
        <f>SUMPRODUCT(('Phân công'!#REF!='Thù lao'!A19)*(RIGHT('Phân công'!#REF!,3)="04C")*('Phân công'!#REF!="Tiếng Việt"))</f>
        <v>#REF!</v>
      </c>
      <c r="AL19" s="26" t="e">
        <f>SUMPRODUCT(('Phân công'!#REF!='Thù lao'!A19)*(RIGHT('Phân công'!#REF!,3)="04C")*('Phân công'!#REF!="Tiếng Anh"))</f>
        <v>#REF!</v>
      </c>
      <c r="AM19" s="26" t="e">
        <f>SUMPRODUCT(('Phân công'!#REF!='Thù lao'!A19)*(RIGHT('Phân công'!#REF!,3)="14C")*('Phân công'!#REF!="Tiếng Việt"))</f>
        <v>#REF!</v>
      </c>
      <c r="AN19" s="27" t="e">
        <f>SUMPRODUCT(('Phân công'!#REF!='Thù lao'!A19)*(RIGHT('Phân công'!#REF!,3)="14C")*('Phân công'!#REF!="Tiếng Anh"))</f>
        <v>#REF!</v>
      </c>
      <c r="AO19" s="26" t="e">
        <f>SUMPRODUCT(('Phân công'!#REF!='Thù lao'!A19)*(RIGHT('Phân công'!#REF!,3)="4CA"))</f>
        <v>#REF!</v>
      </c>
      <c r="AP19" s="25" t="e">
        <f>SUMPRODUCT(('Phân công'!#REF!='Thù lao'!A19)*(RIGHT('Phân công'!#REF!,3)="404"))</f>
        <v>#REF!</v>
      </c>
      <c r="AQ19" s="29" t="e">
        <f>SUMPRODUCT(('Phân công'!#REF!='Thù lao'!A19)*(RIGHT('Phân công'!#REF!,3)="412"))</f>
        <v>#REF!</v>
      </c>
      <c r="AR19" s="29" t="e">
        <f>SUMPRODUCT(('Phân công'!#REF!='Thù lao'!A19)*(RIGHT('Phân công'!#REF!,3)="414"))</f>
        <v>#REF!</v>
      </c>
      <c r="AS19" s="26" t="e">
        <f>SUMPRODUCT(('Phân công'!#REF!='Thù lao'!A19)*(RIGHT('Phân công'!#REF!,3)="04C")*('Phân công'!#REF!="Tiếng Việt"))</f>
        <v>#REF!</v>
      </c>
      <c r="AT19" s="26" t="e">
        <f>SUMPRODUCT(('Phân công'!#REF!='Thù lao'!A19)*(RIGHT('Phân công'!#REF!,3)="04C")*('Phân công'!#REF!="Tiếng Anh"))</f>
        <v>#REF!</v>
      </c>
      <c r="AU19" s="26" t="e">
        <f>SUMPRODUCT(('Phân công'!#REF!='Thù lao'!A19)*(RIGHT('Phân công'!#REF!,3)="14C")*('Phân công'!#REF!="Tiếng Việt"))</f>
        <v>#REF!</v>
      </c>
      <c r="AV19" s="27" t="e">
        <f>SUMPRODUCT(('Phân công'!#REF!='Thù lao'!A19)*(RIGHT('Phân công'!#REF!,3)="14C")*('Phân công'!#REF!="Tiếng Anh"))</f>
        <v>#REF!</v>
      </c>
      <c r="AW19" s="26" t="e">
        <f>SUMPRODUCT(('Phân công'!#REF!='Thù lao'!A19)*(RIGHT('Phân công'!#REF!,3)="4CA"))</f>
        <v>#REF!</v>
      </c>
      <c r="AX19" s="25" t="e">
        <f t="shared" ref="AX19:BE19" si="25">AP19+AH19+Z19+R19</f>
        <v>#REF!</v>
      </c>
      <c r="AY19" s="25" t="e">
        <f t="shared" si="25"/>
        <v>#REF!</v>
      </c>
      <c r="AZ19" s="25" t="e">
        <f t="shared" si="25"/>
        <v>#REF!</v>
      </c>
      <c r="BA19" s="25" t="e">
        <f t="shared" si="25"/>
        <v>#REF!</v>
      </c>
      <c r="BB19" s="25" t="e">
        <f t="shared" si="25"/>
        <v>#REF!</v>
      </c>
      <c r="BC19" s="25" t="e">
        <f t="shared" si="25"/>
        <v>#REF!</v>
      </c>
      <c r="BD19" s="25" t="e">
        <f t="shared" si="25"/>
        <v>#REF!</v>
      </c>
      <c r="BE19" s="25" t="e">
        <f t="shared" si="25"/>
        <v>#REF!</v>
      </c>
      <c r="BF19" s="30" t="e">
        <f t="shared" si="1"/>
        <v>#REF!</v>
      </c>
      <c r="BG19" s="30" t="e">
        <f t="shared" si="2"/>
        <v>#REF!</v>
      </c>
      <c r="BH19" s="30" t="e">
        <f t="shared" si="3"/>
        <v>#REF!</v>
      </c>
      <c r="BI19" s="30" t="e">
        <f t="shared" si="4"/>
        <v>#REF!</v>
      </c>
      <c r="BJ19" s="30" t="e">
        <f t="shared" si="5"/>
        <v>#REF!</v>
      </c>
      <c r="BK19" s="30" t="e">
        <f t="shared" si="6"/>
        <v>#REF!</v>
      </c>
      <c r="BL19" s="31" t="e">
        <f t="shared" si="7"/>
        <v>#REF!</v>
      </c>
      <c r="BM19" s="31" t="e">
        <f t="shared" si="8"/>
        <v>#REF!</v>
      </c>
      <c r="BN19" s="31" t="e">
        <f t="shared" si="9"/>
        <v>#REF!</v>
      </c>
      <c r="BO19" s="31" t="e">
        <f t="shared" si="10"/>
        <v>#REF!</v>
      </c>
    </row>
    <row r="20" spans="1:67" ht="15.75" customHeight="1" x14ac:dyDescent="0.35">
      <c r="A20" s="2" t="s">
        <v>50</v>
      </c>
      <c r="B20" s="25" t="e">
        <f>SUMPRODUCT(('Phân công'!#REF!=$A20)*('Phân công'!#REF!="X")*(RIGHT('Phân công'!#REF!,3)="404"))</f>
        <v>#REF!</v>
      </c>
      <c r="C20" s="26" t="e">
        <f>SUMPRODUCT(('Phân công'!#REF!=$A20)*('Phân công'!#REF!="X")*(RIGHT('Phân công'!#REF!,3)="412"))</f>
        <v>#REF!</v>
      </c>
      <c r="D20" s="26" t="e">
        <f>SUMPRODUCT(('Phân công'!#REF!=$A20)*('Phân công'!#REF!="X")*(RIGHT('Phân công'!#REF!,3)="414"))</f>
        <v>#REF!</v>
      </c>
      <c r="E20" s="26" t="e">
        <f>SUMPRODUCT(('Phân công'!#REF!=$A20)*('Phân công'!#REF!="X")*(RIGHT('Phân công'!#REF!,4)="404C")*('Phân công'!#REF!="Tiếng Việt"))</f>
        <v>#REF!</v>
      </c>
      <c r="F20" s="26" t="e">
        <f>SUMPRODUCT(('Phân công'!#REF!=$A20)*('Phân công'!#REF!="X")*(RIGHT('Phân công'!#REF!,4)="404C")*('Phân công'!#REF!="Tiếng Anh"))</f>
        <v>#REF!</v>
      </c>
      <c r="G20" s="26" t="e">
        <f>SUMPRODUCT(('Phân công'!#REF!=$A20)*('Phân công'!#REF!="X")*(RIGHT('Phân công'!#REF!,4)="414C")*('Phân công'!#REF!="Tiếng Việt"))</f>
        <v>#REF!</v>
      </c>
      <c r="H20" s="27" t="e">
        <f>SUMPRODUCT(('Phân công'!#REF!=$A20)*('Phân công'!#REF!="X")*(RIGHT('Phân công'!#REF!,4)="414C")*('Phân công'!#REF!="Tiếng Anh"))</f>
        <v>#REF!</v>
      </c>
      <c r="I20" s="28" t="e">
        <f>SUMPRODUCT(('Phân công'!#REF!=$A20)*('Phân công'!#REF!="X")*(RIGHT('Phân công'!#REF!,5)="404CA"))</f>
        <v>#REF!</v>
      </c>
      <c r="J20" s="25" t="e">
        <f>SUMPRODUCT(('Phân công'!#REF!=$A20)*('Phân công'!#REF!="X")*(RIGHT('Phân công'!#REF!,3)="404"))</f>
        <v>#REF!</v>
      </c>
      <c r="K20" s="26" t="e">
        <f>SUMPRODUCT(('Phân công'!#REF!=$A20)*('Phân công'!#REF!="X")*(RIGHT('Phân công'!#REF!,3)="412"))</f>
        <v>#REF!</v>
      </c>
      <c r="L20" s="26" t="e">
        <f>SUMPRODUCT(('Phân công'!#REF!=$A20)*('Phân công'!#REF!="X")*(RIGHT('Phân công'!#REF!,3)="414"))</f>
        <v>#REF!</v>
      </c>
      <c r="M20" s="26" t="e">
        <f>SUMPRODUCT(('Phân công'!#REF!=$A20)*('Phân công'!#REF!="X")*(RIGHT('Phân công'!#REF!,3)="04C")*('Phân công'!#REF!="Tiếng Việt"))</f>
        <v>#REF!</v>
      </c>
      <c r="N20" s="26" t="e">
        <f>SUMPRODUCT(('Phân công'!#REF!=$A20)*('Phân công'!#REF!="X")*(RIGHT('Phân công'!#REF!,3)="04C")*('Phân công'!#REF!="Tiếng Anh"))</f>
        <v>#REF!</v>
      </c>
      <c r="O20" s="26" t="e">
        <f>SUMPRODUCT(('Phân công'!#REF!=$A20)*('Phân công'!#REF!="X")*(RIGHT('Phân công'!#REF!,3)="14C")*('Phân công'!#REF!="Tiếng Việt"))</f>
        <v>#REF!</v>
      </c>
      <c r="P20" s="27" t="e">
        <f>SUMPRODUCT(('Phân công'!#REF!=$A20)*('Phân công'!#REF!="X")*(RIGHT('Phân công'!#REF!,3)="14C")*('Phân công'!#REF!="Tiếng Anh"))</f>
        <v>#REF!</v>
      </c>
      <c r="Q20" s="28" t="e">
        <f>SUMPRODUCT(('Phân công'!#REF!=$A20)*('Phân công'!#REF!="X")*(RIGHT('Phân công'!#REF!,3)="4CA"))</f>
        <v>#REF!</v>
      </c>
      <c r="R20" s="25" t="e">
        <f>SUMPRODUCT(('Phân công'!#REF!='Thù lao'!A20)*(RIGHT('Phân công'!#REF!,3)="404"))</f>
        <v>#REF!</v>
      </c>
      <c r="S20" s="29" t="e">
        <f>SUMPRODUCT(('Phân công'!#REF!='Thù lao'!A20)*(RIGHT('Phân công'!#REF!,3)="412"))</f>
        <v>#REF!</v>
      </c>
      <c r="T20" s="29" t="e">
        <f>SUMPRODUCT(('Phân công'!#REF!='Thù lao'!A20)*(RIGHT('Phân công'!#REF!,3)="414"))</f>
        <v>#REF!</v>
      </c>
      <c r="U20" s="26" t="e">
        <f>SUMPRODUCT(('Phân công'!#REF!='Thù lao'!A20)*(RIGHT('Phân công'!#REF!,3)="04C")*('Phân công'!#REF!="Tiếng Việt"))</f>
        <v>#REF!</v>
      </c>
      <c r="V20" s="26" t="e">
        <f>SUMPRODUCT(('Phân công'!#REF!='Thù lao'!A20)*(RIGHT('Phân công'!#REF!,3)="04C")*('Phân công'!#REF!="Tiếng Anh"))</f>
        <v>#REF!</v>
      </c>
      <c r="W20" s="26" t="e">
        <f>SUMPRODUCT(('Phân công'!#REF!='Thù lao'!A20)*(RIGHT('Phân công'!#REF!,3)="14C")*('Phân công'!#REF!="Tiếng Việt"))</f>
        <v>#REF!</v>
      </c>
      <c r="X20" s="27" t="e">
        <f>SUMPRODUCT(('Phân công'!#REF!='Thù lao'!A20)*(RIGHT('Phân công'!#REF!,3)="14C")*('Phân công'!#REF!="Tiếng Anh"))</f>
        <v>#REF!</v>
      </c>
      <c r="Y20" s="26" t="e">
        <f>SUMPRODUCT(('Phân công'!#REF!='Thù lao'!A20)*(RIGHT('Phân công'!#REF!,3)="4CA"))</f>
        <v>#REF!</v>
      </c>
      <c r="Z20" s="25" t="e">
        <f>SUMPRODUCT(('Phân công'!#REF!='Thù lao'!A20)*(RIGHT('Phân công'!#REF!,3)="404"))</f>
        <v>#REF!</v>
      </c>
      <c r="AA20" s="29" t="e">
        <f>SUMPRODUCT(('Phân công'!#REF!='Thù lao'!A20)*(RIGHT('Phân công'!#REF!,3)="412"))</f>
        <v>#REF!</v>
      </c>
      <c r="AB20" s="29" t="e">
        <f>SUMPRODUCT(('Phân công'!#REF!='Thù lao'!A20)*(RIGHT('Phân công'!#REF!,3)="414"))</f>
        <v>#REF!</v>
      </c>
      <c r="AC20" s="26" t="e">
        <f>SUMPRODUCT(('Phân công'!#REF!='Thù lao'!A20)*(RIGHT('Phân công'!#REF!,3)="04C")*('Phân công'!#REF!="Tiếng Việt"))</f>
        <v>#REF!</v>
      </c>
      <c r="AD20" s="26" t="e">
        <f>SUMPRODUCT(('Phân công'!#REF!='Thù lao'!A20)*(RIGHT('Phân công'!#REF!,3)="04C")*('Phân công'!#REF!="Tiếng Anh"))</f>
        <v>#REF!</v>
      </c>
      <c r="AE20" s="26" t="e">
        <f>SUMPRODUCT(('Phân công'!#REF!='Thù lao'!A20)*(RIGHT('Phân công'!#REF!,3)="14C")*('Phân công'!#REF!="Tiếng Việt"))</f>
        <v>#REF!</v>
      </c>
      <c r="AF20" s="27" t="e">
        <f>SUMPRODUCT(('Phân công'!#REF!='Thù lao'!A20)*(RIGHT('Phân công'!#REF!,3)="14C")*('Phân công'!#REF!="Tiếng Anh"))</f>
        <v>#REF!</v>
      </c>
      <c r="AG20" s="26" t="e">
        <f>SUMPRODUCT(('Phân công'!#REF!='Thù lao'!A20)*(RIGHT('Phân công'!#REF!,3)="4CA"))</f>
        <v>#REF!</v>
      </c>
      <c r="AH20" s="25" t="e">
        <f>SUMPRODUCT(('Phân công'!#REF!='Thù lao'!A20)*(RIGHT('Phân công'!#REF!,3)="404"))</f>
        <v>#REF!</v>
      </c>
      <c r="AI20" s="29" t="e">
        <f>SUMPRODUCT(('Phân công'!#REF!='Thù lao'!A20)*(RIGHT('Phân công'!#REF!,3)="412"))</f>
        <v>#REF!</v>
      </c>
      <c r="AJ20" s="29" t="e">
        <f>SUMPRODUCT(('Phân công'!#REF!='Thù lao'!A20)*(RIGHT('Phân công'!#REF!,3)="414"))</f>
        <v>#REF!</v>
      </c>
      <c r="AK20" s="26" t="e">
        <f>SUMPRODUCT(('Phân công'!#REF!='Thù lao'!A20)*(RIGHT('Phân công'!#REF!,3)="04C")*('Phân công'!#REF!="Tiếng Việt"))</f>
        <v>#REF!</v>
      </c>
      <c r="AL20" s="26" t="e">
        <f>SUMPRODUCT(('Phân công'!#REF!='Thù lao'!A20)*(RIGHT('Phân công'!#REF!,3)="04C")*('Phân công'!#REF!="Tiếng Anh"))</f>
        <v>#REF!</v>
      </c>
      <c r="AM20" s="26" t="e">
        <f>SUMPRODUCT(('Phân công'!#REF!='Thù lao'!A20)*(RIGHT('Phân công'!#REF!,3)="14C")*('Phân công'!#REF!="Tiếng Việt"))</f>
        <v>#REF!</v>
      </c>
      <c r="AN20" s="27" t="e">
        <f>SUMPRODUCT(('Phân công'!#REF!='Thù lao'!A20)*(RIGHT('Phân công'!#REF!,3)="14C")*('Phân công'!#REF!="Tiếng Anh"))</f>
        <v>#REF!</v>
      </c>
      <c r="AO20" s="26" t="e">
        <f>SUMPRODUCT(('Phân công'!#REF!='Thù lao'!A20)*(RIGHT('Phân công'!#REF!,3)="4CA"))</f>
        <v>#REF!</v>
      </c>
      <c r="AP20" s="25" t="e">
        <f>SUMPRODUCT(('Phân công'!#REF!='Thù lao'!A20)*(RIGHT('Phân công'!#REF!,3)="404"))</f>
        <v>#REF!</v>
      </c>
      <c r="AQ20" s="29" t="e">
        <f>SUMPRODUCT(('Phân công'!#REF!='Thù lao'!A20)*(RIGHT('Phân công'!#REF!,3)="412"))</f>
        <v>#REF!</v>
      </c>
      <c r="AR20" s="29" t="e">
        <f>SUMPRODUCT(('Phân công'!#REF!='Thù lao'!A20)*(RIGHT('Phân công'!#REF!,3)="414"))</f>
        <v>#REF!</v>
      </c>
      <c r="AS20" s="26" t="e">
        <f>SUMPRODUCT(('Phân công'!#REF!='Thù lao'!A20)*(RIGHT('Phân công'!#REF!,3)="04C")*('Phân công'!#REF!="Tiếng Việt"))</f>
        <v>#REF!</v>
      </c>
      <c r="AT20" s="26" t="e">
        <f>SUMPRODUCT(('Phân công'!#REF!='Thù lao'!A20)*(RIGHT('Phân công'!#REF!,3)="04C")*('Phân công'!#REF!="Tiếng Anh"))</f>
        <v>#REF!</v>
      </c>
      <c r="AU20" s="26" t="e">
        <f>SUMPRODUCT(('Phân công'!#REF!='Thù lao'!A20)*(RIGHT('Phân công'!#REF!,3)="14C")*('Phân công'!#REF!="Tiếng Việt"))</f>
        <v>#REF!</v>
      </c>
      <c r="AV20" s="27" t="e">
        <f>SUMPRODUCT(('Phân công'!#REF!='Thù lao'!A20)*(RIGHT('Phân công'!#REF!,3)="14C")*('Phân công'!#REF!="Tiếng Anh"))</f>
        <v>#REF!</v>
      </c>
      <c r="AW20" s="26" t="e">
        <f>SUMPRODUCT(('Phân công'!#REF!='Thù lao'!A20)*(RIGHT('Phân công'!#REF!,3)="4CA"))</f>
        <v>#REF!</v>
      </c>
      <c r="AX20" s="25" t="e">
        <f t="shared" ref="AX20:BE20" si="26">AP20+AH20+Z20+R20</f>
        <v>#REF!</v>
      </c>
      <c r="AY20" s="25" t="e">
        <f t="shared" si="26"/>
        <v>#REF!</v>
      </c>
      <c r="AZ20" s="25" t="e">
        <f t="shared" si="26"/>
        <v>#REF!</v>
      </c>
      <c r="BA20" s="25" t="e">
        <f t="shared" si="26"/>
        <v>#REF!</v>
      </c>
      <c r="BB20" s="25" t="e">
        <f t="shared" si="26"/>
        <v>#REF!</v>
      </c>
      <c r="BC20" s="25" t="e">
        <f t="shared" si="26"/>
        <v>#REF!</v>
      </c>
      <c r="BD20" s="25" t="e">
        <f t="shared" si="26"/>
        <v>#REF!</v>
      </c>
      <c r="BE20" s="25" t="e">
        <f t="shared" si="26"/>
        <v>#REF!</v>
      </c>
      <c r="BF20" s="30" t="e">
        <f t="shared" si="1"/>
        <v>#REF!</v>
      </c>
      <c r="BG20" s="30" t="e">
        <f t="shared" si="2"/>
        <v>#REF!</v>
      </c>
      <c r="BH20" s="30" t="e">
        <f t="shared" si="3"/>
        <v>#REF!</v>
      </c>
      <c r="BI20" s="30" t="e">
        <f t="shared" si="4"/>
        <v>#REF!</v>
      </c>
      <c r="BJ20" s="30" t="e">
        <f t="shared" si="5"/>
        <v>#REF!</v>
      </c>
      <c r="BK20" s="30" t="e">
        <f t="shared" si="6"/>
        <v>#REF!</v>
      </c>
      <c r="BL20" s="31" t="e">
        <f t="shared" si="7"/>
        <v>#REF!</v>
      </c>
      <c r="BM20" s="31" t="e">
        <f t="shared" si="8"/>
        <v>#REF!</v>
      </c>
      <c r="BN20" s="31" t="e">
        <f t="shared" si="9"/>
        <v>#REF!</v>
      </c>
      <c r="BO20" s="31" t="e">
        <f t="shared" si="10"/>
        <v>#REF!</v>
      </c>
    </row>
    <row r="21" spans="1:67" ht="15.75" customHeight="1" x14ac:dyDescent="0.35">
      <c r="A21" s="32" t="s">
        <v>434</v>
      </c>
      <c r="B21" s="25" t="e">
        <f>SUMPRODUCT(('Phân công'!#REF!=$A21)*('Phân công'!#REF!="X")*(RIGHT('Phân công'!#REF!,3)="404"))</f>
        <v>#REF!</v>
      </c>
      <c r="C21" s="26" t="e">
        <f>SUMPRODUCT(('Phân công'!#REF!=$A21)*('Phân công'!#REF!="X")*(RIGHT('Phân công'!#REF!,3)="412"))</f>
        <v>#REF!</v>
      </c>
      <c r="D21" s="26" t="e">
        <f>SUMPRODUCT(('Phân công'!#REF!=$A21)*('Phân công'!#REF!="X")*(RIGHT('Phân công'!#REF!,3)="414"))</f>
        <v>#REF!</v>
      </c>
      <c r="E21" s="26" t="e">
        <f>SUMPRODUCT(('Phân công'!#REF!=$A21)*('Phân công'!#REF!="X")*(RIGHT('Phân công'!#REF!,4)="404C")*('Phân công'!#REF!="Tiếng Việt"))</f>
        <v>#REF!</v>
      </c>
      <c r="F21" s="26" t="e">
        <f>SUMPRODUCT(('Phân công'!#REF!=$A21)*('Phân công'!#REF!="X")*(RIGHT('Phân công'!#REF!,4)="404C")*('Phân công'!#REF!="Tiếng Anh"))</f>
        <v>#REF!</v>
      </c>
      <c r="G21" s="26" t="e">
        <f>SUMPRODUCT(('Phân công'!#REF!=$A21)*('Phân công'!#REF!="X")*(RIGHT('Phân công'!#REF!,4)="414C")*('Phân công'!#REF!="Tiếng Việt"))</f>
        <v>#REF!</v>
      </c>
      <c r="H21" s="27" t="e">
        <f>SUMPRODUCT(('Phân công'!#REF!=$A21)*('Phân công'!#REF!="X")*(RIGHT('Phân công'!#REF!,4)="414C")*('Phân công'!#REF!="Tiếng Anh"))</f>
        <v>#REF!</v>
      </c>
      <c r="I21" s="28" t="e">
        <f>SUMPRODUCT(('Phân công'!#REF!=$A21)*('Phân công'!#REF!="X")*(RIGHT('Phân công'!#REF!,5)="404CA"))</f>
        <v>#REF!</v>
      </c>
      <c r="J21" s="25" t="e">
        <f>SUMPRODUCT(('Phân công'!#REF!=$A21)*('Phân công'!#REF!="X")*(RIGHT('Phân công'!#REF!,3)="404"))</f>
        <v>#REF!</v>
      </c>
      <c r="K21" s="26" t="e">
        <f>SUMPRODUCT(('Phân công'!#REF!=$A21)*('Phân công'!#REF!="X")*(RIGHT('Phân công'!#REF!,3)="412"))</f>
        <v>#REF!</v>
      </c>
      <c r="L21" s="26" t="e">
        <f>SUMPRODUCT(('Phân công'!#REF!=$A21)*('Phân công'!#REF!="X")*(RIGHT('Phân công'!#REF!,3)="414"))</f>
        <v>#REF!</v>
      </c>
      <c r="M21" s="26" t="e">
        <f>SUMPRODUCT(('Phân công'!#REF!=$A21)*('Phân công'!#REF!="X")*(RIGHT('Phân công'!#REF!,3)="04C")*('Phân công'!#REF!="Tiếng Việt"))</f>
        <v>#REF!</v>
      </c>
      <c r="N21" s="26" t="e">
        <f>SUMPRODUCT(('Phân công'!#REF!=$A21)*('Phân công'!#REF!="X")*(RIGHT('Phân công'!#REF!,3)="04C")*('Phân công'!#REF!="Tiếng Anh"))</f>
        <v>#REF!</v>
      </c>
      <c r="O21" s="26" t="e">
        <f>SUMPRODUCT(('Phân công'!#REF!=$A21)*('Phân công'!#REF!="X")*(RIGHT('Phân công'!#REF!,3)="14C")*('Phân công'!#REF!="Tiếng Việt"))</f>
        <v>#REF!</v>
      </c>
      <c r="P21" s="27" t="e">
        <f>SUMPRODUCT(('Phân công'!#REF!=$A21)*('Phân công'!#REF!="X")*(RIGHT('Phân công'!#REF!,3)="14C")*('Phân công'!#REF!="Tiếng Anh"))</f>
        <v>#REF!</v>
      </c>
      <c r="Q21" s="28" t="e">
        <f>SUMPRODUCT(('Phân công'!#REF!=$A21)*('Phân công'!#REF!="X")*(RIGHT('Phân công'!#REF!,3)="4CA"))</f>
        <v>#REF!</v>
      </c>
      <c r="R21" s="25" t="e">
        <f>SUMPRODUCT(('Phân công'!#REF!='Thù lao'!A21)*(RIGHT('Phân công'!#REF!,3)="404"))</f>
        <v>#REF!</v>
      </c>
      <c r="S21" s="29" t="e">
        <f>SUMPRODUCT(('Phân công'!#REF!='Thù lao'!A21)*(RIGHT('Phân công'!#REF!,3)="412"))</f>
        <v>#REF!</v>
      </c>
      <c r="T21" s="29" t="e">
        <f>SUMPRODUCT(('Phân công'!#REF!='Thù lao'!A21)*(RIGHT('Phân công'!#REF!,3)="414"))</f>
        <v>#REF!</v>
      </c>
      <c r="U21" s="26" t="e">
        <f>SUMPRODUCT(('Phân công'!#REF!='Thù lao'!A21)*(RIGHT('Phân công'!#REF!,3)="04C")*('Phân công'!#REF!="Tiếng Việt"))</f>
        <v>#REF!</v>
      </c>
      <c r="V21" s="26" t="e">
        <f>SUMPRODUCT(('Phân công'!#REF!='Thù lao'!A21)*(RIGHT('Phân công'!#REF!,3)="04C")*('Phân công'!#REF!="Tiếng Anh"))</f>
        <v>#REF!</v>
      </c>
      <c r="W21" s="26" t="e">
        <f>SUMPRODUCT(('Phân công'!#REF!='Thù lao'!A21)*(RIGHT('Phân công'!#REF!,3)="14C")*('Phân công'!#REF!="Tiếng Việt"))</f>
        <v>#REF!</v>
      </c>
      <c r="X21" s="27" t="e">
        <f>SUMPRODUCT(('Phân công'!#REF!='Thù lao'!A21)*(RIGHT('Phân công'!#REF!,3)="14C")*('Phân công'!#REF!="Tiếng Anh"))</f>
        <v>#REF!</v>
      </c>
      <c r="Y21" s="26" t="e">
        <f>SUMPRODUCT(('Phân công'!#REF!='Thù lao'!A21)*(RIGHT('Phân công'!#REF!,3)="4CA"))</f>
        <v>#REF!</v>
      </c>
      <c r="Z21" s="25" t="e">
        <f>SUMPRODUCT(('Phân công'!#REF!='Thù lao'!A21)*(RIGHT('Phân công'!#REF!,3)="404"))</f>
        <v>#REF!</v>
      </c>
      <c r="AA21" s="29" t="e">
        <f>SUMPRODUCT(('Phân công'!#REF!='Thù lao'!A21)*(RIGHT('Phân công'!#REF!,3)="412"))</f>
        <v>#REF!</v>
      </c>
      <c r="AB21" s="29" t="e">
        <f>SUMPRODUCT(('Phân công'!#REF!='Thù lao'!A21)*(RIGHT('Phân công'!#REF!,3)="414"))</f>
        <v>#REF!</v>
      </c>
      <c r="AC21" s="26" t="e">
        <f>SUMPRODUCT(('Phân công'!#REF!='Thù lao'!A21)*(RIGHT('Phân công'!#REF!,3)="04C")*('Phân công'!#REF!="Tiếng Việt"))</f>
        <v>#REF!</v>
      </c>
      <c r="AD21" s="26" t="e">
        <f>SUMPRODUCT(('Phân công'!#REF!='Thù lao'!A21)*(RIGHT('Phân công'!#REF!,3)="04C")*('Phân công'!#REF!="Tiếng Anh"))</f>
        <v>#REF!</v>
      </c>
      <c r="AE21" s="26" t="e">
        <f>SUMPRODUCT(('Phân công'!#REF!='Thù lao'!A21)*(RIGHT('Phân công'!#REF!,3)="14C")*('Phân công'!#REF!="Tiếng Việt"))</f>
        <v>#REF!</v>
      </c>
      <c r="AF21" s="27" t="e">
        <f>SUMPRODUCT(('Phân công'!#REF!='Thù lao'!A21)*(RIGHT('Phân công'!#REF!,3)="14C")*('Phân công'!#REF!="Tiếng Anh"))</f>
        <v>#REF!</v>
      </c>
      <c r="AG21" s="26" t="e">
        <f>SUMPRODUCT(('Phân công'!#REF!='Thù lao'!A21)*(RIGHT('Phân công'!#REF!,3)="4CA"))</f>
        <v>#REF!</v>
      </c>
      <c r="AH21" s="25" t="e">
        <f>SUMPRODUCT(('Phân công'!#REF!='Thù lao'!A21)*(RIGHT('Phân công'!#REF!,3)="404"))</f>
        <v>#REF!</v>
      </c>
      <c r="AI21" s="29" t="e">
        <f>SUMPRODUCT(('Phân công'!#REF!='Thù lao'!A21)*(RIGHT('Phân công'!#REF!,3)="412"))</f>
        <v>#REF!</v>
      </c>
      <c r="AJ21" s="29" t="e">
        <f>SUMPRODUCT(('Phân công'!#REF!='Thù lao'!A21)*(RIGHT('Phân công'!#REF!,3)="414"))</f>
        <v>#REF!</v>
      </c>
      <c r="AK21" s="26" t="e">
        <f>SUMPRODUCT(('Phân công'!#REF!='Thù lao'!A21)*(RIGHT('Phân công'!#REF!,3)="04C")*('Phân công'!#REF!="Tiếng Việt"))</f>
        <v>#REF!</v>
      </c>
      <c r="AL21" s="26" t="e">
        <f>SUMPRODUCT(('Phân công'!#REF!='Thù lao'!A21)*(RIGHT('Phân công'!#REF!,3)="04C")*('Phân công'!#REF!="Tiếng Anh"))</f>
        <v>#REF!</v>
      </c>
      <c r="AM21" s="26" t="e">
        <f>SUMPRODUCT(('Phân công'!#REF!='Thù lao'!A21)*(RIGHT('Phân công'!#REF!,3)="14C")*('Phân công'!#REF!="Tiếng Việt"))</f>
        <v>#REF!</v>
      </c>
      <c r="AN21" s="27" t="e">
        <f>SUMPRODUCT(('Phân công'!#REF!='Thù lao'!A21)*(RIGHT('Phân công'!#REF!,3)="14C")*('Phân công'!#REF!="Tiếng Anh"))</f>
        <v>#REF!</v>
      </c>
      <c r="AO21" s="26" t="e">
        <f>SUMPRODUCT(('Phân công'!#REF!='Thù lao'!A21)*(RIGHT('Phân công'!#REF!,3)="4CA"))</f>
        <v>#REF!</v>
      </c>
      <c r="AP21" s="25" t="e">
        <f>SUMPRODUCT(('Phân công'!#REF!='Thù lao'!A21)*(RIGHT('Phân công'!#REF!,3)="404"))</f>
        <v>#REF!</v>
      </c>
      <c r="AQ21" s="29" t="e">
        <f>SUMPRODUCT(('Phân công'!#REF!='Thù lao'!A21)*(RIGHT('Phân công'!#REF!,3)="412"))</f>
        <v>#REF!</v>
      </c>
      <c r="AR21" s="29" t="e">
        <f>SUMPRODUCT(('Phân công'!#REF!='Thù lao'!A21)*(RIGHT('Phân công'!#REF!,3)="414"))</f>
        <v>#REF!</v>
      </c>
      <c r="AS21" s="26" t="e">
        <f>SUMPRODUCT(('Phân công'!#REF!='Thù lao'!A21)*(RIGHT('Phân công'!#REF!,3)="04C")*('Phân công'!#REF!="Tiếng Việt"))</f>
        <v>#REF!</v>
      </c>
      <c r="AT21" s="26" t="e">
        <f>SUMPRODUCT(('Phân công'!#REF!='Thù lao'!A21)*(RIGHT('Phân công'!#REF!,3)="04C")*('Phân công'!#REF!="Tiếng Anh"))</f>
        <v>#REF!</v>
      </c>
      <c r="AU21" s="26" t="e">
        <f>SUMPRODUCT(('Phân công'!#REF!='Thù lao'!A21)*(RIGHT('Phân công'!#REF!,3)="14C")*('Phân công'!#REF!="Tiếng Việt"))</f>
        <v>#REF!</v>
      </c>
      <c r="AV21" s="27" t="e">
        <f>SUMPRODUCT(('Phân công'!#REF!='Thù lao'!A21)*(RIGHT('Phân công'!#REF!,3)="14C")*('Phân công'!#REF!="Tiếng Anh"))</f>
        <v>#REF!</v>
      </c>
      <c r="AW21" s="26" t="e">
        <f>SUMPRODUCT(('Phân công'!#REF!='Thù lao'!A21)*(RIGHT('Phân công'!#REF!,3)="4CA"))</f>
        <v>#REF!</v>
      </c>
      <c r="AX21" s="25" t="e">
        <f t="shared" ref="AX21:BE21" si="27">AP21+AH21+Z21+R21</f>
        <v>#REF!</v>
      </c>
      <c r="AY21" s="25" t="e">
        <f t="shared" si="27"/>
        <v>#REF!</v>
      </c>
      <c r="AZ21" s="25" t="e">
        <f t="shared" si="27"/>
        <v>#REF!</v>
      </c>
      <c r="BA21" s="25" t="e">
        <f t="shared" si="27"/>
        <v>#REF!</v>
      </c>
      <c r="BB21" s="25" t="e">
        <f t="shared" si="27"/>
        <v>#REF!</v>
      </c>
      <c r="BC21" s="25" t="e">
        <f t="shared" si="27"/>
        <v>#REF!</v>
      </c>
      <c r="BD21" s="25" t="e">
        <f t="shared" si="27"/>
        <v>#REF!</v>
      </c>
      <c r="BE21" s="25" t="e">
        <f t="shared" si="27"/>
        <v>#REF!</v>
      </c>
      <c r="BF21" s="30" t="e">
        <f t="shared" si="1"/>
        <v>#REF!</v>
      </c>
      <c r="BG21" s="30" t="e">
        <f t="shared" si="2"/>
        <v>#REF!</v>
      </c>
      <c r="BH21" s="30" t="e">
        <f t="shared" si="3"/>
        <v>#REF!</v>
      </c>
      <c r="BI21" s="30" t="e">
        <f t="shared" si="4"/>
        <v>#REF!</v>
      </c>
      <c r="BJ21" s="30" t="e">
        <f t="shared" si="5"/>
        <v>#REF!</v>
      </c>
      <c r="BK21" s="30" t="e">
        <f t="shared" si="6"/>
        <v>#REF!</v>
      </c>
      <c r="BL21" s="31" t="e">
        <f t="shared" si="7"/>
        <v>#REF!</v>
      </c>
      <c r="BM21" s="31" t="e">
        <f t="shared" si="8"/>
        <v>#REF!</v>
      </c>
      <c r="BN21" s="31" t="e">
        <f t="shared" si="9"/>
        <v>#REF!</v>
      </c>
      <c r="BO21" s="31" t="e">
        <f t="shared" si="10"/>
        <v>#REF!</v>
      </c>
    </row>
    <row r="22" spans="1:67" ht="15.75" customHeight="1" x14ac:dyDescent="0.35">
      <c r="A22" s="32" t="s">
        <v>171</v>
      </c>
      <c r="B22" s="25" t="e">
        <f>SUMPRODUCT(('Phân công'!#REF!=$A22)*('Phân công'!#REF!="X")*(RIGHT('Phân công'!#REF!,3)="404"))</f>
        <v>#REF!</v>
      </c>
      <c r="C22" s="26" t="e">
        <f>SUMPRODUCT(('Phân công'!#REF!=$A22)*('Phân công'!#REF!="X")*(RIGHT('Phân công'!#REF!,3)="412"))</f>
        <v>#REF!</v>
      </c>
      <c r="D22" s="26" t="e">
        <f>SUMPRODUCT(('Phân công'!#REF!=$A22)*('Phân công'!#REF!="X")*(RIGHT('Phân công'!#REF!,3)="414"))</f>
        <v>#REF!</v>
      </c>
      <c r="E22" s="26" t="e">
        <f>SUMPRODUCT(('Phân công'!#REF!=$A22)*('Phân công'!#REF!="X")*(RIGHT('Phân công'!#REF!,4)="404C")*('Phân công'!#REF!="Tiếng Việt"))</f>
        <v>#REF!</v>
      </c>
      <c r="F22" s="26" t="e">
        <f>SUMPRODUCT(('Phân công'!#REF!=$A22)*('Phân công'!#REF!="X")*(RIGHT('Phân công'!#REF!,4)="404C")*('Phân công'!#REF!="Tiếng Anh"))</f>
        <v>#REF!</v>
      </c>
      <c r="G22" s="26" t="e">
        <f>SUMPRODUCT(('Phân công'!#REF!=$A22)*('Phân công'!#REF!="X")*(RIGHT('Phân công'!#REF!,4)="414C")*('Phân công'!#REF!="Tiếng Việt"))</f>
        <v>#REF!</v>
      </c>
      <c r="H22" s="27" t="e">
        <f>SUMPRODUCT(('Phân công'!#REF!=$A22)*('Phân công'!#REF!="X")*(RIGHT('Phân công'!#REF!,4)="414C")*('Phân công'!#REF!="Tiếng Anh"))</f>
        <v>#REF!</v>
      </c>
      <c r="I22" s="28" t="e">
        <f>SUMPRODUCT(('Phân công'!#REF!=$A22)*('Phân công'!#REF!="X")*(RIGHT('Phân công'!#REF!,5)="404CA"))</f>
        <v>#REF!</v>
      </c>
      <c r="J22" s="25" t="e">
        <f>SUMPRODUCT(('Phân công'!#REF!=$A22)*('Phân công'!#REF!="X")*(RIGHT('Phân công'!#REF!,3)="404"))</f>
        <v>#REF!</v>
      </c>
      <c r="K22" s="26" t="e">
        <f>SUMPRODUCT(('Phân công'!#REF!=$A22)*('Phân công'!#REF!="X")*(RIGHT('Phân công'!#REF!,3)="412"))</f>
        <v>#REF!</v>
      </c>
      <c r="L22" s="26" t="e">
        <f>SUMPRODUCT(('Phân công'!#REF!=$A22)*('Phân công'!#REF!="X")*(RIGHT('Phân công'!#REF!,3)="414"))</f>
        <v>#REF!</v>
      </c>
      <c r="M22" s="26" t="e">
        <f>SUMPRODUCT(('Phân công'!#REF!=$A22)*('Phân công'!#REF!="X")*(RIGHT('Phân công'!#REF!,3)="04C")*('Phân công'!#REF!="Tiếng Việt"))</f>
        <v>#REF!</v>
      </c>
      <c r="N22" s="26" t="e">
        <f>SUMPRODUCT(('Phân công'!#REF!=$A22)*('Phân công'!#REF!="X")*(RIGHT('Phân công'!#REF!,3)="04C")*('Phân công'!#REF!="Tiếng Anh"))</f>
        <v>#REF!</v>
      </c>
      <c r="O22" s="26" t="e">
        <f>SUMPRODUCT(('Phân công'!#REF!=$A22)*('Phân công'!#REF!="X")*(RIGHT('Phân công'!#REF!,3)="14C")*('Phân công'!#REF!="Tiếng Việt"))</f>
        <v>#REF!</v>
      </c>
      <c r="P22" s="27" t="e">
        <f>SUMPRODUCT(('Phân công'!#REF!=$A22)*('Phân công'!#REF!="X")*(RIGHT('Phân công'!#REF!,3)="14C")*('Phân công'!#REF!="Tiếng Anh"))</f>
        <v>#REF!</v>
      </c>
      <c r="Q22" s="28" t="e">
        <f>SUMPRODUCT(('Phân công'!#REF!=$A22)*('Phân công'!#REF!="X")*(RIGHT('Phân công'!#REF!,3)="4CA"))</f>
        <v>#REF!</v>
      </c>
      <c r="R22" s="25" t="e">
        <f>SUMPRODUCT(('Phân công'!#REF!='Thù lao'!A22)*(RIGHT('Phân công'!#REF!,3)="404"))</f>
        <v>#REF!</v>
      </c>
      <c r="S22" s="29" t="e">
        <f>SUMPRODUCT(('Phân công'!#REF!='Thù lao'!A22)*(RIGHT('Phân công'!#REF!,3)="412"))</f>
        <v>#REF!</v>
      </c>
      <c r="T22" s="29" t="e">
        <f>SUMPRODUCT(('Phân công'!#REF!='Thù lao'!A22)*(RIGHT('Phân công'!#REF!,3)="414"))</f>
        <v>#REF!</v>
      </c>
      <c r="U22" s="26" t="e">
        <f>SUMPRODUCT(('Phân công'!#REF!='Thù lao'!A22)*(RIGHT('Phân công'!#REF!,3)="04C")*('Phân công'!#REF!="Tiếng Việt"))</f>
        <v>#REF!</v>
      </c>
      <c r="V22" s="26" t="e">
        <f>SUMPRODUCT(('Phân công'!#REF!='Thù lao'!A22)*(RIGHT('Phân công'!#REF!,3)="04C")*('Phân công'!#REF!="Tiếng Anh"))</f>
        <v>#REF!</v>
      </c>
      <c r="W22" s="26" t="e">
        <f>SUMPRODUCT(('Phân công'!#REF!='Thù lao'!A22)*(RIGHT('Phân công'!#REF!,3)="14C")*('Phân công'!#REF!="Tiếng Việt"))</f>
        <v>#REF!</v>
      </c>
      <c r="X22" s="27" t="e">
        <f>SUMPRODUCT(('Phân công'!#REF!='Thù lao'!A22)*(RIGHT('Phân công'!#REF!,3)="14C")*('Phân công'!#REF!="Tiếng Anh"))</f>
        <v>#REF!</v>
      </c>
      <c r="Y22" s="26" t="e">
        <f>SUMPRODUCT(('Phân công'!#REF!='Thù lao'!A22)*(RIGHT('Phân công'!#REF!,3)="4CA"))</f>
        <v>#REF!</v>
      </c>
      <c r="Z22" s="25" t="e">
        <f>SUMPRODUCT(('Phân công'!#REF!='Thù lao'!A22)*(RIGHT('Phân công'!#REF!,3)="404"))</f>
        <v>#REF!</v>
      </c>
      <c r="AA22" s="29" t="e">
        <f>SUMPRODUCT(('Phân công'!#REF!='Thù lao'!A22)*(RIGHT('Phân công'!#REF!,3)="412"))</f>
        <v>#REF!</v>
      </c>
      <c r="AB22" s="29" t="e">
        <f>SUMPRODUCT(('Phân công'!#REF!='Thù lao'!A22)*(RIGHT('Phân công'!#REF!,3)="414"))</f>
        <v>#REF!</v>
      </c>
      <c r="AC22" s="26" t="e">
        <f>SUMPRODUCT(('Phân công'!#REF!='Thù lao'!A22)*(RIGHT('Phân công'!#REF!,3)="04C")*('Phân công'!#REF!="Tiếng Việt"))</f>
        <v>#REF!</v>
      </c>
      <c r="AD22" s="26" t="e">
        <f>SUMPRODUCT(('Phân công'!#REF!='Thù lao'!A22)*(RIGHT('Phân công'!#REF!,3)="04C")*('Phân công'!#REF!="Tiếng Anh"))</f>
        <v>#REF!</v>
      </c>
      <c r="AE22" s="26" t="e">
        <f>SUMPRODUCT(('Phân công'!#REF!='Thù lao'!A22)*(RIGHT('Phân công'!#REF!,3)="14C")*('Phân công'!#REF!="Tiếng Việt"))</f>
        <v>#REF!</v>
      </c>
      <c r="AF22" s="27" t="e">
        <f>SUMPRODUCT(('Phân công'!#REF!='Thù lao'!A22)*(RIGHT('Phân công'!#REF!,3)="14C")*('Phân công'!#REF!="Tiếng Anh"))</f>
        <v>#REF!</v>
      </c>
      <c r="AG22" s="26" t="e">
        <f>SUMPRODUCT(('Phân công'!#REF!='Thù lao'!A22)*(RIGHT('Phân công'!#REF!,3)="4CA"))</f>
        <v>#REF!</v>
      </c>
      <c r="AH22" s="25" t="e">
        <f>SUMPRODUCT(('Phân công'!#REF!='Thù lao'!A22)*(RIGHT('Phân công'!#REF!,3)="404"))</f>
        <v>#REF!</v>
      </c>
      <c r="AI22" s="29" t="e">
        <f>SUMPRODUCT(('Phân công'!#REF!='Thù lao'!A22)*(RIGHT('Phân công'!#REF!,3)="412"))</f>
        <v>#REF!</v>
      </c>
      <c r="AJ22" s="29" t="e">
        <f>SUMPRODUCT(('Phân công'!#REF!='Thù lao'!A22)*(RIGHT('Phân công'!#REF!,3)="414"))</f>
        <v>#REF!</v>
      </c>
      <c r="AK22" s="26" t="e">
        <f>SUMPRODUCT(('Phân công'!#REF!='Thù lao'!A22)*(RIGHT('Phân công'!#REF!,3)="04C")*('Phân công'!#REF!="Tiếng Việt"))</f>
        <v>#REF!</v>
      </c>
      <c r="AL22" s="26" t="e">
        <f>SUMPRODUCT(('Phân công'!#REF!='Thù lao'!A22)*(RIGHT('Phân công'!#REF!,3)="04C")*('Phân công'!#REF!="Tiếng Anh"))</f>
        <v>#REF!</v>
      </c>
      <c r="AM22" s="26" t="e">
        <f>SUMPRODUCT(('Phân công'!#REF!='Thù lao'!A22)*(RIGHT('Phân công'!#REF!,3)="14C")*('Phân công'!#REF!="Tiếng Việt"))</f>
        <v>#REF!</v>
      </c>
      <c r="AN22" s="27" t="e">
        <f>SUMPRODUCT(('Phân công'!#REF!='Thù lao'!A22)*(RIGHT('Phân công'!#REF!,3)="14C")*('Phân công'!#REF!="Tiếng Anh"))</f>
        <v>#REF!</v>
      </c>
      <c r="AO22" s="26" t="e">
        <f>SUMPRODUCT(('Phân công'!#REF!='Thù lao'!A22)*(RIGHT('Phân công'!#REF!,3)="4CA"))</f>
        <v>#REF!</v>
      </c>
      <c r="AP22" s="25" t="e">
        <f>SUMPRODUCT(('Phân công'!#REF!='Thù lao'!A22)*(RIGHT('Phân công'!#REF!,3)="404"))</f>
        <v>#REF!</v>
      </c>
      <c r="AQ22" s="29" t="e">
        <f>SUMPRODUCT(('Phân công'!#REF!='Thù lao'!A22)*(RIGHT('Phân công'!#REF!,3)="412"))</f>
        <v>#REF!</v>
      </c>
      <c r="AR22" s="29" t="e">
        <f>SUMPRODUCT(('Phân công'!#REF!='Thù lao'!A22)*(RIGHT('Phân công'!#REF!,3)="414"))</f>
        <v>#REF!</v>
      </c>
      <c r="AS22" s="26" t="e">
        <f>SUMPRODUCT(('Phân công'!#REF!='Thù lao'!A22)*(RIGHT('Phân công'!#REF!,3)="04C")*('Phân công'!#REF!="Tiếng Việt"))</f>
        <v>#REF!</v>
      </c>
      <c r="AT22" s="26" t="e">
        <f>SUMPRODUCT(('Phân công'!#REF!='Thù lao'!A22)*(RIGHT('Phân công'!#REF!,3)="04C")*('Phân công'!#REF!="Tiếng Anh"))</f>
        <v>#REF!</v>
      </c>
      <c r="AU22" s="26" t="e">
        <f>SUMPRODUCT(('Phân công'!#REF!='Thù lao'!A22)*(RIGHT('Phân công'!#REF!,3)="14C")*('Phân công'!#REF!="Tiếng Việt"))</f>
        <v>#REF!</v>
      </c>
      <c r="AV22" s="27" t="e">
        <f>SUMPRODUCT(('Phân công'!#REF!='Thù lao'!A22)*(RIGHT('Phân công'!#REF!,3)="14C")*('Phân công'!#REF!="Tiếng Anh"))</f>
        <v>#REF!</v>
      </c>
      <c r="AW22" s="26" t="e">
        <f>SUMPRODUCT(('Phân công'!#REF!='Thù lao'!A22)*(RIGHT('Phân công'!#REF!,3)="4CA"))</f>
        <v>#REF!</v>
      </c>
      <c r="AX22" s="25" t="e">
        <f t="shared" ref="AX22:BE22" si="28">AP22+AH22+Z22+R22</f>
        <v>#REF!</v>
      </c>
      <c r="AY22" s="25" t="e">
        <f t="shared" si="28"/>
        <v>#REF!</v>
      </c>
      <c r="AZ22" s="25" t="e">
        <f t="shared" si="28"/>
        <v>#REF!</v>
      </c>
      <c r="BA22" s="25" t="e">
        <f t="shared" si="28"/>
        <v>#REF!</v>
      </c>
      <c r="BB22" s="25" t="e">
        <f t="shared" si="28"/>
        <v>#REF!</v>
      </c>
      <c r="BC22" s="25" t="e">
        <f t="shared" si="28"/>
        <v>#REF!</v>
      </c>
      <c r="BD22" s="25" t="e">
        <f t="shared" si="28"/>
        <v>#REF!</v>
      </c>
      <c r="BE22" s="25" t="e">
        <f t="shared" si="28"/>
        <v>#REF!</v>
      </c>
      <c r="BF22" s="30" t="e">
        <f t="shared" si="1"/>
        <v>#REF!</v>
      </c>
      <c r="BG22" s="30" t="e">
        <f t="shared" si="2"/>
        <v>#REF!</v>
      </c>
      <c r="BH22" s="30" t="e">
        <f t="shared" si="3"/>
        <v>#REF!</v>
      </c>
      <c r="BI22" s="30" t="e">
        <f t="shared" si="4"/>
        <v>#REF!</v>
      </c>
      <c r="BJ22" s="30" t="e">
        <f t="shared" si="5"/>
        <v>#REF!</v>
      </c>
      <c r="BK22" s="30" t="e">
        <f t="shared" si="6"/>
        <v>#REF!</v>
      </c>
      <c r="BL22" s="31" t="e">
        <f t="shared" si="7"/>
        <v>#REF!</v>
      </c>
      <c r="BM22" s="31" t="e">
        <f t="shared" si="8"/>
        <v>#REF!</v>
      </c>
      <c r="BN22" s="31" t="e">
        <f t="shared" si="9"/>
        <v>#REF!</v>
      </c>
      <c r="BO22" s="31" t="e">
        <f t="shared" si="10"/>
        <v>#REF!</v>
      </c>
    </row>
    <row r="23" spans="1:67" ht="15.75" customHeight="1" x14ac:dyDescent="0.35">
      <c r="A23" s="1"/>
      <c r="B23" s="33" t="e">
        <f t="shared" ref="B23:BO23" si="29">SUM(B4:B22)</f>
        <v>#REF!</v>
      </c>
      <c r="C23" s="33" t="e">
        <f t="shared" si="29"/>
        <v>#REF!</v>
      </c>
      <c r="D23" s="33" t="e">
        <f t="shared" si="29"/>
        <v>#REF!</v>
      </c>
      <c r="E23" s="33" t="e">
        <f t="shared" si="29"/>
        <v>#REF!</v>
      </c>
      <c r="F23" s="33" t="e">
        <f t="shared" si="29"/>
        <v>#REF!</v>
      </c>
      <c r="G23" s="33" t="e">
        <f t="shared" si="29"/>
        <v>#REF!</v>
      </c>
      <c r="H23" s="33" t="e">
        <f t="shared" si="29"/>
        <v>#REF!</v>
      </c>
      <c r="I23" s="33" t="e">
        <f t="shared" si="29"/>
        <v>#REF!</v>
      </c>
      <c r="J23" s="33" t="e">
        <f t="shared" si="29"/>
        <v>#REF!</v>
      </c>
      <c r="K23" s="33" t="e">
        <f t="shared" si="29"/>
        <v>#REF!</v>
      </c>
      <c r="L23" s="33" t="e">
        <f t="shared" si="29"/>
        <v>#REF!</v>
      </c>
      <c r="M23" s="33" t="e">
        <f t="shared" si="29"/>
        <v>#REF!</v>
      </c>
      <c r="N23" s="33" t="e">
        <f t="shared" si="29"/>
        <v>#REF!</v>
      </c>
      <c r="O23" s="33" t="e">
        <f t="shared" si="29"/>
        <v>#REF!</v>
      </c>
      <c r="P23" s="33" t="e">
        <f t="shared" si="29"/>
        <v>#REF!</v>
      </c>
      <c r="Q23" s="33" t="e">
        <f t="shared" si="29"/>
        <v>#REF!</v>
      </c>
      <c r="R23" s="33" t="e">
        <f t="shared" si="29"/>
        <v>#REF!</v>
      </c>
      <c r="S23" s="33" t="e">
        <f t="shared" si="29"/>
        <v>#REF!</v>
      </c>
      <c r="T23" s="33" t="e">
        <f t="shared" si="29"/>
        <v>#REF!</v>
      </c>
      <c r="U23" s="33" t="e">
        <f t="shared" si="29"/>
        <v>#REF!</v>
      </c>
      <c r="V23" s="33" t="e">
        <f t="shared" si="29"/>
        <v>#REF!</v>
      </c>
      <c r="W23" s="33" t="e">
        <f t="shared" si="29"/>
        <v>#REF!</v>
      </c>
      <c r="X23" s="33" t="e">
        <f t="shared" si="29"/>
        <v>#REF!</v>
      </c>
      <c r="Y23" s="33" t="e">
        <f t="shared" si="29"/>
        <v>#REF!</v>
      </c>
      <c r="Z23" s="33" t="e">
        <f t="shared" si="29"/>
        <v>#REF!</v>
      </c>
      <c r="AA23" s="33" t="e">
        <f t="shared" si="29"/>
        <v>#REF!</v>
      </c>
      <c r="AB23" s="33" t="e">
        <f t="shared" si="29"/>
        <v>#REF!</v>
      </c>
      <c r="AC23" s="33" t="e">
        <f t="shared" si="29"/>
        <v>#REF!</v>
      </c>
      <c r="AD23" s="33" t="e">
        <f t="shared" si="29"/>
        <v>#REF!</v>
      </c>
      <c r="AE23" s="33" t="e">
        <f t="shared" si="29"/>
        <v>#REF!</v>
      </c>
      <c r="AF23" s="33" t="e">
        <f t="shared" si="29"/>
        <v>#REF!</v>
      </c>
      <c r="AG23" s="33" t="e">
        <f t="shared" si="29"/>
        <v>#REF!</v>
      </c>
      <c r="AH23" s="33" t="e">
        <f t="shared" si="29"/>
        <v>#REF!</v>
      </c>
      <c r="AI23" s="33" t="e">
        <f t="shared" si="29"/>
        <v>#REF!</v>
      </c>
      <c r="AJ23" s="33" t="e">
        <f t="shared" si="29"/>
        <v>#REF!</v>
      </c>
      <c r="AK23" s="33" t="e">
        <f t="shared" si="29"/>
        <v>#REF!</v>
      </c>
      <c r="AL23" s="33" t="e">
        <f t="shared" si="29"/>
        <v>#REF!</v>
      </c>
      <c r="AM23" s="33" t="e">
        <f t="shared" si="29"/>
        <v>#REF!</v>
      </c>
      <c r="AN23" s="33" t="e">
        <f t="shared" si="29"/>
        <v>#REF!</v>
      </c>
      <c r="AO23" s="33" t="e">
        <f t="shared" si="29"/>
        <v>#REF!</v>
      </c>
      <c r="AP23" s="33" t="e">
        <f t="shared" si="29"/>
        <v>#REF!</v>
      </c>
      <c r="AQ23" s="33" t="e">
        <f t="shared" si="29"/>
        <v>#REF!</v>
      </c>
      <c r="AR23" s="33" t="e">
        <f t="shared" si="29"/>
        <v>#REF!</v>
      </c>
      <c r="AS23" s="33" t="e">
        <f t="shared" si="29"/>
        <v>#REF!</v>
      </c>
      <c r="AT23" s="33" t="e">
        <f t="shared" si="29"/>
        <v>#REF!</v>
      </c>
      <c r="AU23" s="33" t="e">
        <f t="shared" si="29"/>
        <v>#REF!</v>
      </c>
      <c r="AV23" s="33" t="e">
        <f t="shared" si="29"/>
        <v>#REF!</v>
      </c>
      <c r="AW23" s="33" t="e">
        <f t="shared" si="29"/>
        <v>#REF!</v>
      </c>
      <c r="AX23" s="33" t="e">
        <f t="shared" si="29"/>
        <v>#REF!</v>
      </c>
      <c r="AY23" s="33" t="e">
        <f t="shared" si="29"/>
        <v>#REF!</v>
      </c>
      <c r="AZ23" s="33" t="e">
        <f t="shared" si="29"/>
        <v>#REF!</v>
      </c>
      <c r="BA23" s="33" t="e">
        <f t="shared" si="29"/>
        <v>#REF!</v>
      </c>
      <c r="BB23" s="33" t="e">
        <f t="shared" si="29"/>
        <v>#REF!</v>
      </c>
      <c r="BC23" s="33" t="e">
        <f t="shared" si="29"/>
        <v>#REF!</v>
      </c>
      <c r="BD23" s="33" t="e">
        <f t="shared" si="29"/>
        <v>#REF!</v>
      </c>
      <c r="BE23" s="33" t="e">
        <f t="shared" si="29"/>
        <v>#REF!</v>
      </c>
      <c r="BF23" s="34" t="e">
        <f t="shared" si="29"/>
        <v>#REF!</v>
      </c>
      <c r="BG23" s="34" t="e">
        <f t="shared" si="29"/>
        <v>#REF!</v>
      </c>
      <c r="BH23" s="34" t="e">
        <f t="shared" si="29"/>
        <v>#REF!</v>
      </c>
      <c r="BI23" s="34" t="e">
        <f t="shared" si="29"/>
        <v>#REF!</v>
      </c>
      <c r="BJ23" s="34" t="e">
        <f t="shared" si="29"/>
        <v>#REF!</v>
      </c>
      <c r="BK23" s="34" t="e">
        <f t="shared" si="29"/>
        <v>#REF!</v>
      </c>
      <c r="BL23" s="34" t="e">
        <f t="shared" si="29"/>
        <v>#REF!</v>
      </c>
      <c r="BM23" s="34" t="e">
        <f t="shared" si="29"/>
        <v>#REF!</v>
      </c>
      <c r="BN23" s="34" t="e">
        <f t="shared" si="29"/>
        <v>#REF!</v>
      </c>
      <c r="BO23" s="34" t="e">
        <f t="shared" si="29"/>
        <v>#REF!</v>
      </c>
    </row>
    <row r="24" spans="1:67" ht="15.75" customHeight="1" x14ac:dyDescent="0.25"/>
    <row r="25" spans="1:67" ht="15.75" customHeight="1" x14ac:dyDescent="0.25">
      <c r="A25" s="35"/>
    </row>
    <row r="26" spans="1:67" ht="15.75" customHeight="1" x14ac:dyDescent="0.25">
      <c r="A26" s="35"/>
    </row>
    <row r="27" spans="1:67" ht="15.75" customHeight="1" x14ac:dyDescent="0.25"/>
    <row r="28" spans="1:67" ht="15.75" customHeight="1" x14ac:dyDescent="0.25"/>
    <row r="29" spans="1:67" ht="15.75" customHeight="1" x14ac:dyDescent="0.25"/>
    <row r="30" spans="1:67" ht="15.75" customHeight="1" x14ac:dyDescent="0.25"/>
    <row r="31" spans="1:67" ht="15.75" customHeight="1" x14ac:dyDescent="0.25"/>
    <row r="32" spans="1:6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L2:AL23" xr:uid="{00000000-0009-0000-0000-000003000000}"/>
  <mergeCells count="11">
    <mergeCell ref="BL1:BL2"/>
    <mergeCell ref="BM1:BM2"/>
    <mergeCell ref="BN1:BN2"/>
    <mergeCell ref="BO1:BO2"/>
    <mergeCell ref="B1:I1"/>
    <mergeCell ref="J1:Q1"/>
    <mergeCell ref="R1:Y1"/>
    <mergeCell ref="Z1:AG1"/>
    <mergeCell ref="AH1:AO1"/>
    <mergeCell ref="AP1:AW1"/>
    <mergeCell ref="AX1:BE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253"/>
  <sheetViews>
    <sheetView workbookViewId="0"/>
  </sheetViews>
  <sheetFormatPr defaultColWidth="12.54296875" defaultRowHeight="15" customHeight="1" x14ac:dyDescent="0.25"/>
  <sheetData>
    <row r="1" spans="1:23" ht="15" customHeight="1" x14ac:dyDescent="0.25">
      <c r="A1" s="36" t="s">
        <v>1049</v>
      </c>
      <c r="B1" s="37" t="s">
        <v>1050</v>
      </c>
      <c r="C1" s="37" t="s">
        <v>1051</v>
      </c>
      <c r="D1" s="37" t="s">
        <v>1</v>
      </c>
      <c r="E1" s="37" t="s">
        <v>1052</v>
      </c>
      <c r="F1" s="37" t="s">
        <v>1053</v>
      </c>
      <c r="G1" s="37" t="s">
        <v>1054</v>
      </c>
      <c r="H1" s="37" t="s">
        <v>1055</v>
      </c>
      <c r="I1" s="37" t="s">
        <v>1056</v>
      </c>
      <c r="J1" s="37" t="s">
        <v>1057</v>
      </c>
      <c r="K1" s="37" t="s">
        <v>1058</v>
      </c>
      <c r="L1" s="37" t="s">
        <v>1059</v>
      </c>
      <c r="M1" s="37" t="s">
        <v>1060</v>
      </c>
      <c r="N1" s="37" t="s">
        <v>1061</v>
      </c>
      <c r="O1" s="37" t="s">
        <v>1062</v>
      </c>
      <c r="P1" s="37" t="s">
        <v>1063</v>
      </c>
      <c r="Q1" s="37" t="s">
        <v>1064</v>
      </c>
      <c r="R1" s="37" t="s">
        <v>1065</v>
      </c>
      <c r="S1" s="37" t="s">
        <v>1066</v>
      </c>
      <c r="T1" s="37" t="s">
        <v>1067</v>
      </c>
      <c r="U1" s="37" t="s">
        <v>1068</v>
      </c>
      <c r="V1" s="37" t="s">
        <v>1069</v>
      </c>
      <c r="W1" s="38" t="s">
        <v>1070</v>
      </c>
    </row>
    <row r="2" spans="1:23" ht="15" customHeight="1" x14ac:dyDescent="0.3">
      <c r="A2" s="39">
        <v>46060.580011574071</v>
      </c>
      <c r="B2" s="40" t="s">
        <v>1071</v>
      </c>
      <c r="C2" s="40" t="s">
        <v>574</v>
      </c>
      <c r="D2" s="40" t="s">
        <v>573</v>
      </c>
      <c r="E2" s="40" t="s">
        <v>575</v>
      </c>
      <c r="F2" s="40" t="s">
        <v>1072</v>
      </c>
      <c r="G2" s="40" t="s">
        <v>1073</v>
      </c>
      <c r="H2" s="40" t="s">
        <v>14</v>
      </c>
      <c r="I2" s="41" t="s">
        <v>1074</v>
      </c>
      <c r="J2" s="41" t="s">
        <v>1075</v>
      </c>
      <c r="K2" s="69" t="s">
        <v>1076</v>
      </c>
      <c r="L2" s="68"/>
      <c r="M2" s="68"/>
      <c r="N2" s="42"/>
      <c r="O2" s="42"/>
      <c r="P2" s="42"/>
      <c r="Q2" s="42"/>
      <c r="R2" s="42"/>
      <c r="S2" s="42"/>
      <c r="T2" s="42"/>
      <c r="U2" s="42"/>
      <c r="V2" s="42"/>
      <c r="W2" s="43"/>
    </row>
    <row r="3" spans="1:23" ht="15" customHeight="1" x14ac:dyDescent="0.3">
      <c r="A3" s="44">
        <v>46073.411898148152</v>
      </c>
      <c r="B3" s="45" t="s">
        <v>862</v>
      </c>
      <c r="C3" s="45" t="s">
        <v>291</v>
      </c>
      <c r="D3" s="45" t="s">
        <v>290</v>
      </c>
      <c r="E3" s="45" t="s">
        <v>259</v>
      </c>
      <c r="F3" s="45" t="s">
        <v>1072</v>
      </c>
      <c r="G3" s="45" t="s">
        <v>1077</v>
      </c>
      <c r="H3" s="45" t="s">
        <v>7</v>
      </c>
      <c r="I3" s="41" t="s">
        <v>1078</v>
      </c>
      <c r="J3" s="41" t="s">
        <v>1079</v>
      </c>
      <c r="K3" s="69" t="s">
        <v>1080</v>
      </c>
      <c r="L3" s="68"/>
      <c r="M3" s="68"/>
      <c r="N3" s="46"/>
      <c r="O3" s="46"/>
      <c r="P3" s="46"/>
      <c r="Q3" s="46"/>
      <c r="R3" s="46"/>
      <c r="S3" s="46"/>
      <c r="T3" s="46"/>
      <c r="U3" s="46"/>
      <c r="V3" s="46"/>
      <c r="W3" s="47"/>
    </row>
    <row r="4" spans="1:23" ht="15" customHeight="1" x14ac:dyDescent="0.3">
      <c r="A4" s="39">
        <v>46077.356041666666</v>
      </c>
      <c r="B4" s="40" t="s">
        <v>869</v>
      </c>
      <c r="C4" s="40" t="s">
        <v>1081</v>
      </c>
      <c r="D4" s="40" t="s">
        <v>295</v>
      </c>
      <c r="E4" s="40" t="s">
        <v>259</v>
      </c>
      <c r="F4" s="40" t="s">
        <v>1072</v>
      </c>
      <c r="G4" s="40" t="s">
        <v>1082</v>
      </c>
      <c r="H4" s="40" t="s">
        <v>14</v>
      </c>
      <c r="I4" s="41" t="s">
        <v>1083</v>
      </c>
      <c r="J4" s="41" t="s">
        <v>1084</v>
      </c>
      <c r="K4" s="69" t="s">
        <v>1085</v>
      </c>
      <c r="L4" s="68"/>
      <c r="M4" s="68"/>
      <c r="N4" s="42"/>
      <c r="O4" s="42"/>
      <c r="P4" s="42"/>
      <c r="Q4" s="42"/>
      <c r="R4" s="42"/>
      <c r="S4" s="42"/>
      <c r="T4" s="42"/>
      <c r="U4" s="42"/>
      <c r="V4" s="42"/>
      <c r="W4" s="43"/>
    </row>
    <row r="5" spans="1:23" ht="15" customHeight="1" x14ac:dyDescent="0.3">
      <c r="A5" s="44">
        <v>46077.796076388891</v>
      </c>
      <c r="B5" s="45" t="s">
        <v>678</v>
      </c>
      <c r="C5" s="45" t="s">
        <v>319</v>
      </c>
      <c r="D5" s="45" t="s">
        <v>318</v>
      </c>
      <c r="E5" s="45" t="s">
        <v>127</v>
      </c>
      <c r="F5" s="45" t="s">
        <v>1072</v>
      </c>
      <c r="G5" s="45" t="s">
        <v>1086</v>
      </c>
      <c r="H5" s="45" t="s">
        <v>14</v>
      </c>
      <c r="I5" s="41" t="s">
        <v>1087</v>
      </c>
      <c r="J5" s="41" t="s">
        <v>1088</v>
      </c>
      <c r="K5" s="69" t="s">
        <v>1089</v>
      </c>
      <c r="L5" s="68"/>
      <c r="M5" s="68"/>
      <c r="N5" s="46"/>
      <c r="O5" s="46"/>
      <c r="P5" s="46"/>
      <c r="Q5" s="46"/>
      <c r="R5" s="46"/>
      <c r="S5" s="46"/>
      <c r="T5" s="46"/>
      <c r="U5" s="46"/>
      <c r="V5" s="46"/>
      <c r="W5" s="47"/>
    </row>
    <row r="6" spans="1:23" ht="15" customHeight="1" x14ac:dyDescent="0.3">
      <c r="A6" s="39">
        <v>46077.835324074076</v>
      </c>
      <c r="B6" s="40" t="s">
        <v>812</v>
      </c>
      <c r="C6" s="40" t="s">
        <v>161</v>
      </c>
      <c r="D6" s="40" t="s">
        <v>160</v>
      </c>
      <c r="E6" s="40" t="s">
        <v>28</v>
      </c>
      <c r="F6" s="40" t="s">
        <v>1072</v>
      </c>
      <c r="G6" s="40" t="s">
        <v>1090</v>
      </c>
      <c r="H6" s="40" t="s">
        <v>7</v>
      </c>
      <c r="I6" s="41" t="s">
        <v>1091</v>
      </c>
      <c r="J6" s="41" t="s">
        <v>1092</v>
      </c>
      <c r="K6" s="69" t="s">
        <v>1093</v>
      </c>
      <c r="L6" s="68"/>
      <c r="M6" s="68"/>
      <c r="N6" s="42"/>
      <c r="O6" s="42"/>
      <c r="P6" s="42"/>
      <c r="Q6" s="42"/>
      <c r="R6" s="42"/>
      <c r="S6" s="42"/>
      <c r="T6" s="42"/>
      <c r="U6" s="42"/>
      <c r="V6" s="42"/>
      <c r="W6" s="43"/>
    </row>
    <row r="7" spans="1:23" ht="15" customHeight="1" x14ac:dyDescent="0.3">
      <c r="A7" s="44">
        <v>46078.944467592592</v>
      </c>
      <c r="B7" s="45" t="s">
        <v>635</v>
      </c>
      <c r="C7" s="45" t="s">
        <v>457</v>
      </c>
      <c r="D7" s="45" t="s">
        <v>456</v>
      </c>
      <c r="E7" s="45" t="s">
        <v>127</v>
      </c>
      <c r="F7" s="45" t="s">
        <v>1072</v>
      </c>
      <c r="G7" s="45" t="s">
        <v>1094</v>
      </c>
      <c r="H7" s="45" t="s">
        <v>14</v>
      </c>
      <c r="I7" s="41" t="s">
        <v>1095</v>
      </c>
      <c r="J7" s="41" t="s">
        <v>1096</v>
      </c>
      <c r="K7" s="69" t="s">
        <v>1097</v>
      </c>
      <c r="L7" s="68"/>
      <c r="M7" s="68"/>
      <c r="N7" s="46"/>
      <c r="O7" s="46"/>
      <c r="P7" s="46"/>
      <c r="Q7" s="46"/>
      <c r="R7" s="46"/>
      <c r="S7" s="46"/>
      <c r="T7" s="46"/>
      <c r="U7" s="46"/>
      <c r="V7" s="46"/>
      <c r="W7" s="47"/>
    </row>
    <row r="8" spans="1:23" ht="15" customHeight="1" x14ac:dyDescent="0.3">
      <c r="A8" s="39">
        <v>46079.399814814817</v>
      </c>
      <c r="B8" s="40" t="s">
        <v>864</v>
      </c>
      <c r="C8" s="40" t="s">
        <v>1098</v>
      </c>
      <c r="D8" s="40" t="s">
        <v>292</v>
      </c>
      <c r="E8" s="40" t="s">
        <v>259</v>
      </c>
      <c r="F8" s="40" t="s">
        <v>1072</v>
      </c>
      <c r="G8" s="40" t="s">
        <v>1099</v>
      </c>
      <c r="H8" s="40" t="s">
        <v>14</v>
      </c>
      <c r="I8" s="41" t="s">
        <v>1100</v>
      </c>
      <c r="J8" s="41" t="s">
        <v>1101</v>
      </c>
      <c r="K8" s="69" t="s">
        <v>1102</v>
      </c>
      <c r="L8" s="68"/>
      <c r="M8" s="68"/>
      <c r="N8" s="42"/>
      <c r="O8" s="42"/>
      <c r="P8" s="42"/>
      <c r="Q8" s="42"/>
      <c r="R8" s="42"/>
      <c r="S8" s="42"/>
      <c r="T8" s="42"/>
      <c r="U8" s="42"/>
      <c r="V8" s="42"/>
      <c r="W8" s="43"/>
    </row>
    <row r="9" spans="1:23" ht="15" customHeight="1" x14ac:dyDescent="0.3">
      <c r="A9" s="44">
        <v>46079.43644675926</v>
      </c>
      <c r="B9" s="45" t="s">
        <v>639</v>
      </c>
      <c r="C9" s="45" t="s">
        <v>495</v>
      </c>
      <c r="D9" s="45" t="s">
        <v>494</v>
      </c>
      <c r="E9" s="45" t="s">
        <v>127</v>
      </c>
      <c r="F9" s="45" t="s">
        <v>1072</v>
      </c>
      <c r="G9" s="45" t="s">
        <v>1103</v>
      </c>
      <c r="H9" s="45" t="s">
        <v>14</v>
      </c>
      <c r="I9" s="41" t="s">
        <v>1104</v>
      </c>
      <c r="J9" s="41" t="s">
        <v>1105</v>
      </c>
      <c r="K9" s="69" t="s">
        <v>1106</v>
      </c>
      <c r="L9" s="68"/>
      <c r="M9" s="68"/>
      <c r="N9" s="46"/>
      <c r="O9" s="46"/>
      <c r="P9" s="46"/>
      <c r="Q9" s="46"/>
      <c r="R9" s="46"/>
      <c r="S9" s="46"/>
      <c r="T9" s="46"/>
      <c r="U9" s="46"/>
      <c r="V9" s="46"/>
      <c r="W9" s="47"/>
    </row>
    <row r="10" spans="1:23" ht="15" customHeight="1" x14ac:dyDescent="0.3">
      <c r="A10" s="39">
        <v>46079.518113425926</v>
      </c>
      <c r="B10" s="40" t="s">
        <v>952</v>
      </c>
      <c r="C10" s="40" t="s">
        <v>428</v>
      </c>
      <c r="D10" s="40" t="s">
        <v>427</v>
      </c>
      <c r="E10" s="40" t="s">
        <v>17</v>
      </c>
      <c r="F10" s="40" t="s">
        <v>1072</v>
      </c>
      <c r="G10" s="40" t="s">
        <v>1107</v>
      </c>
      <c r="H10" s="40" t="s">
        <v>14</v>
      </c>
      <c r="I10" s="41" t="s">
        <v>1108</v>
      </c>
      <c r="J10" s="41" t="s">
        <v>1109</v>
      </c>
      <c r="K10" s="69" t="s">
        <v>1110</v>
      </c>
      <c r="L10" s="68"/>
      <c r="M10" s="68"/>
      <c r="N10" s="42"/>
      <c r="O10" s="42"/>
      <c r="P10" s="42"/>
      <c r="Q10" s="42"/>
      <c r="R10" s="42"/>
      <c r="S10" s="42"/>
      <c r="T10" s="42"/>
      <c r="U10" s="42"/>
      <c r="V10" s="42"/>
      <c r="W10" s="43"/>
    </row>
    <row r="11" spans="1:23" ht="15" customHeight="1" x14ac:dyDescent="0.3">
      <c r="A11" s="44">
        <v>46079.547708333332</v>
      </c>
      <c r="B11" s="45" t="s">
        <v>677</v>
      </c>
      <c r="C11" s="45" t="s">
        <v>317</v>
      </c>
      <c r="D11" s="45" t="s">
        <v>316</v>
      </c>
      <c r="E11" s="45" t="s">
        <v>127</v>
      </c>
      <c r="F11" s="45" t="s">
        <v>1072</v>
      </c>
      <c r="G11" s="45" t="s">
        <v>1111</v>
      </c>
      <c r="H11" s="45" t="s">
        <v>14</v>
      </c>
      <c r="I11" s="41" t="s">
        <v>1112</v>
      </c>
      <c r="J11" s="41" t="s">
        <v>1113</v>
      </c>
      <c r="K11" s="69" t="s">
        <v>1114</v>
      </c>
      <c r="L11" s="68"/>
      <c r="M11" s="68"/>
      <c r="N11" s="46"/>
      <c r="O11" s="46"/>
      <c r="P11" s="46"/>
      <c r="Q11" s="46"/>
      <c r="R11" s="46"/>
      <c r="S11" s="46"/>
      <c r="T11" s="46"/>
      <c r="U11" s="46"/>
      <c r="V11" s="46"/>
      <c r="W11" s="47"/>
    </row>
    <row r="12" spans="1:23" ht="15" customHeight="1" x14ac:dyDescent="0.3">
      <c r="A12" s="39">
        <v>46079.588263888887</v>
      </c>
      <c r="B12" s="40" t="s">
        <v>728</v>
      </c>
      <c r="C12" s="40" t="s">
        <v>345</v>
      </c>
      <c r="D12" s="40" t="s">
        <v>344</v>
      </c>
      <c r="E12" s="40" t="s">
        <v>127</v>
      </c>
      <c r="F12" s="40" t="s">
        <v>1072</v>
      </c>
      <c r="G12" s="40" t="s">
        <v>1115</v>
      </c>
      <c r="H12" s="40" t="s">
        <v>14</v>
      </c>
      <c r="I12" s="41" t="s">
        <v>1116</v>
      </c>
      <c r="J12" s="41" t="s">
        <v>1117</v>
      </c>
      <c r="K12" s="69" t="s">
        <v>1118</v>
      </c>
      <c r="L12" s="68"/>
      <c r="M12" s="68"/>
      <c r="N12" s="42"/>
      <c r="O12" s="42"/>
      <c r="P12" s="42"/>
      <c r="Q12" s="42"/>
      <c r="R12" s="42"/>
      <c r="S12" s="42"/>
      <c r="T12" s="42"/>
      <c r="U12" s="42"/>
      <c r="V12" s="42"/>
      <c r="W12" s="43"/>
    </row>
    <row r="13" spans="1:23" ht="15" customHeight="1" x14ac:dyDescent="0.3">
      <c r="A13" s="44">
        <v>46079.607662037037</v>
      </c>
      <c r="B13" s="45" t="s">
        <v>679</v>
      </c>
      <c r="C13" s="45" t="s">
        <v>321</v>
      </c>
      <c r="D13" s="45" t="s">
        <v>320</v>
      </c>
      <c r="E13" s="45" t="s">
        <v>127</v>
      </c>
      <c r="F13" s="45" t="s">
        <v>1072</v>
      </c>
      <c r="G13" s="45" t="s">
        <v>1119</v>
      </c>
      <c r="H13" s="45" t="s">
        <v>14</v>
      </c>
      <c r="I13" s="41" t="s">
        <v>1120</v>
      </c>
      <c r="J13" s="41" t="s">
        <v>1121</v>
      </c>
      <c r="K13" s="69" t="s">
        <v>1122</v>
      </c>
      <c r="L13" s="68"/>
      <c r="M13" s="68"/>
      <c r="N13" s="46"/>
      <c r="O13" s="46"/>
      <c r="P13" s="46"/>
      <c r="Q13" s="46"/>
      <c r="R13" s="46"/>
      <c r="S13" s="46"/>
      <c r="T13" s="46"/>
      <c r="U13" s="46"/>
      <c r="V13" s="46"/>
      <c r="W13" s="47"/>
    </row>
    <row r="14" spans="1:23" ht="15" customHeight="1" x14ac:dyDescent="0.3">
      <c r="A14" s="39">
        <v>46079.609351851854</v>
      </c>
      <c r="B14" s="40" t="s">
        <v>809</v>
      </c>
      <c r="C14" s="40" t="s">
        <v>102</v>
      </c>
      <c r="D14" s="40" t="s">
        <v>101</v>
      </c>
      <c r="E14" s="40" t="s">
        <v>28</v>
      </c>
      <c r="F14" s="40" t="s">
        <v>1072</v>
      </c>
      <c r="G14" s="40" t="s">
        <v>1123</v>
      </c>
      <c r="H14" s="40" t="s">
        <v>7</v>
      </c>
      <c r="I14" s="41" t="s">
        <v>1124</v>
      </c>
      <c r="J14" s="41" t="s">
        <v>1125</v>
      </c>
      <c r="K14" s="69" t="s">
        <v>1126</v>
      </c>
      <c r="L14" s="68"/>
      <c r="M14" s="68"/>
      <c r="N14" s="42"/>
      <c r="O14" s="42"/>
      <c r="P14" s="42"/>
      <c r="Q14" s="42"/>
      <c r="R14" s="42"/>
      <c r="S14" s="42"/>
      <c r="T14" s="42"/>
      <c r="U14" s="42"/>
      <c r="V14" s="42"/>
      <c r="W14" s="43"/>
    </row>
    <row r="15" spans="1:23" ht="15" customHeight="1" x14ac:dyDescent="0.3">
      <c r="A15" s="44">
        <v>46079.625254629631</v>
      </c>
      <c r="B15" s="45" t="s">
        <v>1127</v>
      </c>
      <c r="C15" s="45" t="s">
        <v>309</v>
      </c>
      <c r="D15" s="45" t="s">
        <v>308</v>
      </c>
      <c r="E15" s="48">
        <v>414</v>
      </c>
      <c r="F15" s="45" t="s">
        <v>1072</v>
      </c>
      <c r="G15" s="45" t="s">
        <v>1128</v>
      </c>
      <c r="H15" s="45" t="s">
        <v>14</v>
      </c>
      <c r="I15" s="41" t="s">
        <v>1129</v>
      </c>
      <c r="J15" s="41" t="s">
        <v>1130</v>
      </c>
      <c r="K15" s="69" t="s">
        <v>1131</v>
      </c>
      <c r="L15" s="68"/>
      <c r="M15" s="68"/>
      <c r="N15" s="46"/>
      <c r="O15" s="46"/>
      <c r="P15" s="46"/>
      <c r="Q15" s="46"/>
      <c r="R15" s="46"/>
      <c r="S15" s="46"/>
      <c r="T15" s="46"/>
      <c r="U15" s="46"/>
      <c r="V15" s="46"/>
      <c r="W15" s="47"/>
    </row>
    <row r="16" spans="1:23" ht="15" customHeight="1" x14ac:dyDescent="0.3">
      <c r="A16" s="39">
        <v>46079.628703703704</v>
      </c>
      <c r="B16" s="40" t="s">
        <v>802</v>
      </c>
      <c r="C16" s="40" t="s">
        <v>185</v>
      </c>
      <c r="D16" s="40" t="s">
        <v>184</v>
      </c>
      <c r="E16" s="40" t="s">
        <v>28</v>
      </c>
      <c r="F16" s="40" t="s">
        <v>1072</v>
      </c>
      <c r="G16" s="40" t="s">
        <v>1132</v>
      </c>
      <c r="H16" s="40" t="s">
        <v>14</v>
      </c>
      <c r="I16" s="41" t="s">
        <v>1133</v>
      </c>
      <c r="J16" s="41" t="s">
        <v>1134</v>
      </c>
      <c r="K16" s="69" t="s">
        <v>1135</v>
      </c>
      <c r="L16" s="68"/>
      <c r="M16" s="68"/>
      <c r="N16" s="42"/>
      <c r="O16" s="42"/>
      <c r="P16" s="42"/>
      <c r="Q16" s="42"/>
      <c r="R16" s="42"/>
      <c r="S16" s="42"/>
      <c r="T16" s="42"/>
      <c r="U16" s="42"/>
      <c r="V16" s="42"/>
      <c r="W16" s="43"/>
    </row>
    <row r="17" spans="1:23" ht="15" customHeight="1" x14ac:dyDescent="0.3">
      <c r="A17" s="44">
        <v>46079.659849537034</v>
      </c>
      <c r="B17" s="45" t="s">
        <v>705</v>
      </c>
      <c r="C17" s="45" t="s">
        <v>331</v>
      </c>
      <c r="D17" s="45" t="s">
        <v>330</v>
      </c>
      <c r="E17" s="45" t="s">
        <v>127</v>
      </c>
      <c r="F17" s="45" t="s">
        <v>1072</v>
      </c>
      <c r="G17" s="45" t="s">
        <v>1136</v>
      </c>
      <c r="H17" s="45" t="s">
        <v>14</v>
      </c>
      <c r="I17" s="41" t="s">
        <v>1137</v>
      </c>
      <c r="J17" s="41" t="s">
        <v>1138</v>
      </c>
      <c r="K17" s="69" t="s">
        <v>1139</v>
      </c>
      <c r="L17" s="68"/>
      <c r="M17" s="68"/>
      <c r="N17" s="46"/>
      <c r="O17" s="46"/>
      <c r="P17" s="46"/>
      <c r="Q17" s="46"/>
      <c r="R17" s="46"/>
      <c r="S17" s="46"/>
      <c r="T17" s="46"/>
      <c r="U17" s="46"/>
      <c r="V17" s="46"/>
      <c r="W17" s="47"/>
    </row>
    <row r="18" spans="1:23" ht="15" customHeight="1" x14ac:dyDescent="0.3">
      <c r="A18" s="39">
        <v>46079.688009259262</v>
      </c>
      <c r="B18" s="40" t="s">
        <v>759</v>
      </c>
      <c r="C18" s="40" t="s">
        <v>129</v>
      </c>
      <c r="D18" s="40" t="s">
        <v>128</v>
      </c>
      <c r="E18" s="40" t="s">
        <v>127</v>
      </c>
      <c r="F18" s="40" t="s">
        <v>1072</v>
      </c>
      <c r="G18" s="40" t="s">
        <v>1140</v>
      </c>
      <c r="H18" s="40" t="s">
        <v>14</v>
      </c>
      <c r="I18" s="41" t="s">
        <v>1141</v>
      </c>
      <c r="J18" s="41" t="s">
        <v>1142</v>
      </c>
      <c r="K18" s="69" t="s">
        <v>1143</v>
      </c>
      <c r="L18" s="68"/>
      <c r="M18" s="68"/>
      <c r="N18" s="42"/>
      <c r="O18" s="42"/>
      <c r="P18" s="42"/>
      <c r="Q18" s="42"/>
      <c r="R18" s="42"/>
      <c r="S18" s="42"/>
      <c r="T18" s="42"/>
      <c r="U18" s="42"/>
      <c r="V18" s="42"/>
      <c r="W18" s="43"/>
    </row>
    <row r="19" spans="1:23" ht="15" customHeight="1" x14ac:dyDescent="0.3">
      <c r="A19" s="44">
        <v>46079.800173611111</v>
      </c>
      <c r="B19" s="45" t="s">
        <v>662</v>
      </c>
      <c r="C19" s="45" t="s">
        <v>271</v>
      </c>
      <c r="D19" s="45" t="s">
        <v>270</v>
      </c>
      <c r="E19" s="45" t="s">
        <v>259</v>
      </c>
      <c r="F19" s="45" t="s">
        <v>1072</v>
      </c>
      <c r="G19" s="45" t="s">
        <v>1144</v>
      </c>
      <c r="H19" s="45" t="s">
        <v>7</v>
      </c>
      <c r="I19" s="41" t="s">
        <v>1145</v>
      </c>
      <c r="J19" s="41" t="s">
        <v>1146</v>
      </c>
      <c r="K19" s="69" t="s">
        <v>1147</v>
      </c>
      <c r="L19" s="68"/>
      <c r="M19" s="68"/>
      <c r="N19" s="46"/>
      <c r="O19" s="46"/>
      <c r="P19" s="46"/>
      <c r="Q19" s="46"/>
      <c r="R19" s="46"/>
      <c r="S19" s="46"/>
      <c r="T19" s="46"/>
      <c r="U19" s="46"/>
      <c r="V19" s="46"/>
      <c r="W19" s="47"/>
    </row>
    <row r="20" spans="1:23" ht="15" customHeight="1" x14ac:dyDescent="0.3">
      <c r="A20" s="39">
        <v>46079.814988425926</v>
      </c>
      <c r="B20" s="40" t="s">
        <v>750</v>
      </c>
      <c r="C20" s="40" t="s">
        <v>509</v>
      </c>
      <c r="D20" s="40" t="s">
        <v>508</v>
      </c>
      <c r="E20" s="40" t="s">
        <v>127</v>
      </c>
      <c r="F20" s="40" t="s">
        <v>1072</v>
      </c>
      <c r="G20" s="40" t="s">
        <v>1148</v>
      </c>
      <c r="H20" s="40" t="s">
        <v>14</v>
      </c>
      <c r="I20" s="41" t="s">
        <v>1149</v>
      </c>
      <c r="J20" s="41" t="s">
        <v>1150</v>
      </c>
      <c r="K20" s="69" t="s">
        <v>1151</v>
      </c>
      <c r="L20" s="68"/>
      <c r="M20" s="68"/>
      <c r="N20" s="42"/>
      <c r="O20" s="42"/>
      <c r="P20" s="42"/>
      <c r="Q20" s="42"/>
      <c r="R20" s="42"/>
      <c r="S20" s="42"/>
      <c r="T20" s="42"/>
      <c r="U20" s="42"/>
      <c r="V20" s="42"/>
      <c r="W20" s="43"/>
    </row>
    <row r="21" spans="1:23" ht="15" customHeight="1" x14ac:dyDescent="0.3">
      <c r="A21" s="44">
        <v>46079.835335648146</v>
      </c>
      <c r="B21" s="45" t="s">
        <v>810</v>
      </c>
      <c r="C21" s="45" t="s">
        <v>159</v>
      </c>
      <c r="D21" s="45" t="s">
        <v>158</v>
      </c>
      <c r="E21" s="45" t="s">
        <v>28</v>
      </c>
      <c r="F21" s="45" t="s">
        <v>1072</v>
      </c>
      <c r="G21" s="45" t="s">
        <v>1152</v>
      </c>
      <c r="H21" s="45" t="s">
        <v>14</v>
      </c>
      <c r="I21" s="41" t="s">
        <v>1153</v>
      </c>
      <c r="J21" s="41" t="s">
        <v>1154</v>
      </c>
      <c r="K21" s="69" t="s">
        <v>1155</v>
      </c>
      <c r="L21" s="68"/>
      <c r="M21" s="68"/>
      <c r="N21" s="46"/>
      <c r="O21" s="46"/>
      <c r="P21" s="46"/>
      <c r="Q21" s="46"/>
      <c r="R21" s="46"/>
      <c r="S21" s="46"/>
      <c r="T21" s="46"/>
      <c r="U21" s="46"/>
      <c r="V21" s="46"/>
      <c r="W21" s="47"/>
    </row>
    <row r="22" spans="1:23" ht="15" customHeight="1" x14ac:dyDescent="0.3">
      <c r="A22" s="39">
        <v>46079.853773148148</v>
      </c>
      <c r="B22" s="40" t="s">
        <v>704</v>
      </c>
      <c r="C22" s="40" t="s">
        <v>469</v>
      </c>
      <c r="D22" s="40" t="s">
        <v>468</v>
      </c>
      <c r="E22" s="40" t="s">
        <v>468</v>
      </c>
      <c r="F22" s="40" t="s">
        <v>1072</v>
      </c>
      <c r="G22" s="40" t="s">
        <v>1156</v>
      </c>
      <c r="H22" s="40" t="s">
        <v>14</v>
      </c>
      <c r="I22" s="41" t="s">
        <v>1157</v>
      </c>
      <c r="J22" s="41" t="s">
        <v>1158</v>
      </c>
      <c r="K22" s="69" t="s">
        <v>1159</v>
      </c>
      <c r="L22" s="68"/>
      <c r="M22" s="68"/>
      <c r="N22" s="42"/>
      <c r="O22" s="42"/>
      <c r="P22" s="42"/>
      <c r="Q22" s="42"/>
      <c r="R22" s="42"/>
      <c r="S22" s="42"/>
      <c r="T22" s="42"/>
      <c r="U22" s="42"/>
      <c r="V22" s="42"/>
      <c r="W22" s="43"/>
    </row>
    <row r="23" spans="1:23" ht="15" customHeight="1" x14ac:dyDescent="0.3">
      <c r="A23" s="44">
        <v>46079.877905092595</v>
      </c>
      <c r="B23" s="45" t="s">
        <v>741</v>
      </c>
      <c r="C23" s="45" t="s">
        <v>499</v>
      </c>
      <c r="D23" s="45" t="s">
        <v>498</v>
      </c>
      <c r="E23" s="45" t="s">
        <v>127</v>
      </c>
      <c r="F23" s="45" t="s">
        <v>1072</v>
      </c>
      <c r="G23" s="45" t="s">
        <v>1160</v>
      </c>
      <c r="H23" s="45" t="s">
        <v>14</v>
      </c>
      <c r="I23" s="41" t="s">
        <v>1161</v>
      </c>
      <c r="J23" s="41" t="s">
        <v>1162</v>
      </c>
      <c r="K23" s="69" t="s">
        <v>1163</v>
      </c>
      <c r="L23" s="68"/>
      <c r="M23" s="68"/>
      <c r="N23" s="46"/>
      <c r="O23" s="46"/>
      <c r="P23" s="46"/>
      <c r="Q23" s="46"/>
      <c r="R23" s="46"/>
      <c r="S23" s="46"/>
      <c r="T23" s="46"/>
      <c r="U23" s="46"/>
      <c r="V23" s="46"/>
      <c r="W23" s="47"/>
    </row>
    <row r="24" spans="1:23" ht="15" customHeight="1" x14ac:dyDescent="0.3">
      <c r="A24" s="39">
        <v>46079.880127314813</v>
      </c>
      <c r="B24" s="40" t="s">
        <v>1164</v>
      </c>
      <c r="C24" s="40" t="s">
        <v>445</v>
      </c>
      <c r="D24" s="40" t="s">
        <v>444</v>
      </c>
      <c r="E24" s="40" t="s">
        <v>28</v>
      </c>
      <c r="F24" s="40" t="s">
        <v>1072</v>
      </c>
      <c r="G24" s="40" t="s">
        <v>1165</v>
      </c>
      <c r="H24" s="40" t="s">
        <v>7</v>
      </c>
      <c r="I24" s="41" t="s">
        <v>1166</v>
      </c>
      <c r="J24" s="41" t="s">
        <v>1167</v>
      </c>
      <c r="K24" s="69" t="s">
        <v>1168</v>
      </c>
      <c r="L24" s="68"/>
      <c r="M24" s="68"/>
      <c r="N24" s="42"/>
      <c r="O24" s="42"/>
      <c r="P24" s="42"/>
      <c r="Q24" s="42"/>
      <c r="R24" s="42"/>
      <c r="S24" s="42"/>
      <c r="T24" s="42"/>
      <c r="U24" s="42"/>
      <c r="V24" s="42"/>
      <c r="W24" s="43"/>
    </row>
    <row r="25" spans="1:23" ht="13" x14ac:dyDescent="0.3">
      <c r="A25" s="44">
        <v>46079.886701388888</v>
      </c>
      <c r="B25" s="45" t="s">
        <v>656</v>
      </c>
      <c r="C25" s="45" t="s">
        <v>267</v>
      </c>
      <c r="D25" s="45" t="s">
        <v>266</v>
      </c>
      <c r="E25" s="45" t="s">
        <v>259</v>
      </c>
      <c r="F25" s="45" t="s">
        <v>1072</v>
      </c>
      <c r="G25" s="45" t="s">
        <v>1169</v>
      </c>
      <c r="H25" s="45" t="s">
        <v>14</v>
      </c>
      <c r="I25" s="41" t="s">
        <v>1170</v>
      </c>
      <c r="J25" s="41" t="s">
        <v>1171</v>
      </c>
      <c r="K25" s="69" t="s">
        <v>1172</v>
      </c>
      <c r="L25" s="68"/>
      <c r="M25" s="68"/>
      <c r="N25" s="46"/>
      <c r="O25" s="46"/>
      <c r="P25" s="46"/>
      <c r="Q25" s="46"/>
      <c r="R25" s="46"/>
      <c r="S25" s="46"/>
      <c r="T25" s="46"/>
      <c r="U25" s="46"/>
      <c r="V25" s="46"/>
      <c r="W25" s="47"/>
    </row>
    <row r="26" spans="1:23" ht="13" x14ac:dyDescent="0.3">
      <c r="A26" s="39">
        <v>46079.905150462961</v>
      </c>
      <c r="B26" s="40" t="s">
        <v>723</v>
      </c>
      <c r="C26" s="40" t="s">
        <v>475</v>
      </c>
      <c r="D26" s="40" t="s">
        <v>474</v>
      </c>
      <c r="E26" s="40" t="s">
        <v>127</v>
      </c>
      <c r="F26" s="40" t="s">
        <v>1072</v>
      </c>
      <c r="G26" s="40" t="s">
        <v>1173</v>
      </c>
      <c r="H26" s="40" t="s">
        <v>14</v>
      </c>
      <c r="I26" s="41" t="s">
        <v>1174</v>
      </c>
      <c r="J26" s="41" t="s">
        <v>1175</v>
      </c>
      <c r="K26" s="69" t="s">
        <v>1176</v>
      </c>
      <c r="L26" s="68"/>
      <c r="M26" s="68"/>
      <c r="N26" s="42"/>
      <c r="O26" s="42"/>
      <c r="P26" s="42"/>
      <c r="Q26" s="42"/>
      <c r="R26" s="42"/>
      <c r="S26" s="42"/>
      <c r="T26" s="42"/>
      <c r="U26" s="42"/>
      <c r="V26" s="42"/>
      <c r="W26" s="43"/>
    </row>
    <row r="27" spans="1:23" ht="13" x14ac:dyDescent="0.3">
      <c r="A27" s="44">
        <v>46079.949212962965</v>
      </c>
      <c r="B27" s="45" t="s">
        <v>749</v>
      </c>
      <c r="C27" s="45" t="s">
        <v>507</v>
      </c>
      <c r="D27" s="45" t="s">
        <v>506</v>
      </c>
      <c r="E27" s="45" t="s">
        <v>127</v>
      </c>
      <c r="F27" s="45" t="s">
        <v>1072</v>
      </c>
      <c r="G27" s="45" t="s">
        <v>1177</v>
      </c>
      <c r="H27" s="45" t="s">
        <v>14</v>
      </c>
      <c r="I27" s="41" t="s">
        <v>1178</v>
      </c>
      <c r="J27" s="41" t="s">
        <v>1179</v>
      </c>
      <c r="K27" s="69" t="s">
        <v>1180</v>
      </c>
      <c r="L27" s="68"/>
      <c r="M27" s="68"/>
      <c r="N27" s="46"/>
      <c r="O27" s="46"/>
      <c r="P27" s="46"/>
      <c r="Q27" s="46"/>
      <c r="R27" s="46"/>
      <c r="S27" s="46"/>
      <c r="T27" s="46"/>
      <c r="U27" s="46"/>
      <c r="V27" s="46"/>
      <c r="W27" s="47"/>
    </row>
    <row r="28" spans="1:23" ht="13" x14ac:dyDescent="0.3">
      <c r="A28" s="39">
        <v>46079.953634259262</v>
      </c>
      <c r="B28" s="40" t="s">
        <v>680</v>
      </c>
      <c r="C28" s="40" t="s">
        <v>277</v>
      </c>
      <c r="D28" s="40" t="s">
        <v>276</v>
      </c>
      <c r="E28" s="40" t="s">
        <v>259</v>
      </c>
      <c r="F28" s="40" t="s">
        <v>1072</v>
      </c>
      <c r="G28" s="40" t="s">
        <v>1181</v>
      </c>
      <c r="H28" s="40" t="s">
        <v>14</v>
      </c>
      <c r="I28" s="41" t="s">
        <v>1182</v>
      </c>
      <c r="J28" s="41" t="s">
        <v>1183</v>
      </c>
      <c r="K28" s="69" t="s">
        <v>1184</v>
      </c>
      <c r="L28" s="68"/>
      <c r="M28" s="68"/>
      <c r="N28" s="42"/>
      <c r="O28" s="42"/>
      <c r="P28" s="42"/>
      <c r="Q28" s="42"/>
      <c r="R28" s="42"/>
      <c r="S28" s="42"/>
      <c r="T28" s="42"/>
      <c r="U28" s="42"/>
      <c r="V28" s="42"/>
      <c r="W28" s="43"/>
    </row>
    <row r="29" spans="1:23" ht="13" x14ac:dyDescent="0.3">
      <c r="A29" s="44">
        <v>46079.967361111114</v>
      </c>
      <c r="B29" s="45" t="s">
        <v>622</v>
      </c>
      <c r="C29" s="45" t="s">
        <v>258</v>
      </c>
      <c r="D29" s="45" t="s">
        <v>257</v>
      </c>
      <c r="E29" s="45" t="s">
        <v>259</v>
      </c>
      <c r="F29" s="45" t="s">
        <v>1072</v>
      </c>
      <c r="G29" s="45" t="s">
        <v>1185</v>
      </c>
      <c r="H29" s="45" t="s">
        <v>14</v>
      </c>
      <c r="I29" s="41" t="s">
        <v>1186</v>
      </c>
      <c r="J29" s="41" t="s">
        <v>1187</v>
      </c>
      <c r="K29" s="69" t="s">
        <v>1188</v>
      </c>
      <c r="L29" s="68"/>
      <c r="M29" s="68"/>
      <c r="N29" s="46"/>
      <c r="O29" s="46"/>
      <c r="P29" s="46"/>
      <c r="Q29" s="46"/>
      <c r="R29" s="46"/>
      <c r="S29" s="46"/>
      <c r="T29" s="46"/>
      <c r="U29" s="46"/>
      <c r="V29" s="46"/>
      <c r="W29" s="47"/>
    </row>
    <row r="30" spans="1:23" ht="13" x14ac:dyDescent="0.3">
      <c r="A30" s="39">
        <v>46079.999872685185</v>
      </c>
      <c r="B30" s="40" t="s">
        <v>795</v>
      </c>
      <c r="C30" s="40" t="s">
        <v>511</v>
      </c>
      <c r="D30" s="40" t="s">
        <v>510</v>
      </c>
      <c r="E30" s="40" t="s">
        <v>28</v>
      </c>
      <c r="F30" s="40" t="s">
        <v>1072</v>
      </c>
      <c r="G30" s="40" t="s">
        <v>1189</v>
      </c>
      <c r="H30" s="40" t="s">
        <v>7</v>
      </c>
      <c r="I30" s="41" t="s">
        <v>1190</v>
      </c>
      <c r="J30" s="41" t="s">
        <v>1191</v>
      </c>
      <c r="K30" s="69" t="s">
        <v>1192</v>
      </c>
      <c r="L30" s="68"/>
      <c r="M30" s="68"/>
      <c r="N30" s="42"/>
      <c r="O30" s="42"/>
      <c r="P30" s="42"/>
      <c r="Q30" s="42"/>
      <c r="R30" s="42"/>
      <c r="S30" s="42"/>
      <c r="T30" s="42"/>
      <c r="U30" s="42"/>
      <c r="V30" s="42"/>
      <c r="W30" s="43"/>
    </row>
    <row r="31" spans="1:23" ht="13" x14ac:dyDescent="0.3">
      <c r="A31" s="44">
        <v>46080.025138888886</v>
      </c>
      <c r="B31" s="45" t="s">
        <v>665</v>
      </c>
      <c r="C31" s="45" t="s">
        <v>179</v>
      </c>
      <c r="D31" s="45" t="s">
        <v>178</v>
      </c>
      <c r="E31" s="45" t="s">
        <v>127</v>
      </c>
      <c r="F31" s="45" t="s">
        <v>1072</v>
      </c>
      <c r="G31" s="45" t="s">
        <v>1193</v>
      </c>
      <c r="H31" s="45" t="s">
        <v>7</v>
      </c>
      <c r="I31" s="41" t="s">
        <v>1194</v>
      </c>
      <c r="J31" s="41" t="s">
        <v>1195</v>
      </c>
      <c r="K31" s="69" t="s">
        <v>1196</v>
      </c>
      <c r="L31" s="68"/>
      <c r="M31" s="68"/>
      <c r="N31" s="46"/>
      <c r="O31" s="46"/>
      <c r="P31" s="46"/>
      <c r="Q31" s="46"/>
      <c r="R31" s="46"/>
      <c r="S31" s="46"/>
      <c r="T31" s="46"/>
      <c r="U31" s="46"/>
      <c r="V31" s="46"/>
      <c r="W31" s="47"/>
    </row>
    <row r="32" spans="1:23" ht="13" x14ac:dyDescent="0.3">
      <c r="A32" s="39">
        <v>46080.054189814815</v>
      </c>
      <c r="B32" s="40" t="s">
        <v>747</v>
      </c>
      <c r="C32" s="40" t="s">
        <v>505</v>
      </c>
      <c r="D32" s="40" t="s">
        <v>504</v>
      </c>
      <c r="E32" s="40" t="s">
        <v>127</v>
      </c>
      <c r="F32" s="40" t="s">
        <v>1072</v>
      </c>
      <c r="G32" s="40" t="s">
        <v>1197</v>
      </c>
      <c r="H32" s="40" t="s">
        <v>14</v>
      </c>
      <c r="I32" s="41" t="s">
        <v>1198</v>
      </c>
      <c r="J32" s="41" t="s">
        <v>1199</v>
      </c>
      <c r="K32" s="69" t="s">
        <v>1200</v>
      </c>
      <c r="L32" s="68"/>
      <c r="M32" s="68"/>
      <c r="N32" s="42"/>
      <c r="O32" s="42"/>
      <c r="P32" s="42"/>
      <c r="Q32" s="42"/>
      <c r="R32" s="42"/>
      <c r="S32" s="42"/>
      <c r="T32" s="42"/>
      <c r="U32" s="42"/>
      <c r="V32" s="42"/>
      <c r="W32" s="43"/>
    </row>
    <row r="33" spans="1:23" ht="13" x14ac:dyDescent="0.3">
      <c r="A33" s="44">
        <v>46080.256469907406</v>
      </c>
      <c r="B33" s="45" t="s">
        <v>768</v>
      </c>
      <c r="C33" s="45" t="s">
        <v>153</v>
      </c>
      <c r="D33" s="45" t="s">
        <v>152</v>
      </c>
      <c r="E33" s="45" t="s">
        <v>127</v>
      </c>
      <c r="F33" s="45" t="s">
        <v>1072</v>
      </c>
      <c r="G33" s="45" t="s">
        <v>1201</v>
      </c>
      <c r="H33" s="45" t="s">
        <v>14</v>
      </c>
      <c r="I33" s="41" t="s">
        <v>1202</v>
      </c>
      <c r="J33" s="41" t="s">
        <v>1203</v>
      </c>
      <c r="K33" s="69" t="s">
        <v>1204</v>
      </c>
      <c r="L33" s="68"/>
      <c r="M33" s="68"/>
      <c r="N33" s="46"/>
      <c r="O33" s="46"/>
      <c r="P33" s="46"/>
      <c r="Q33" s="46"/>
      <c r="R33" s="46"/>
      <c r="S33" s="46"/>
      <c r="T33" s="46"/>
      <c r="U33" s="46"/>
      <c r="V33" s="46"/>
      <c r="W33" s="47"/>
    </row>
    <row r="34" spans="1:23" ht="13" x14ac:dyDescent="0.3">
      <c r="A34" s="39">
        <v>46080.336840277778</v>
      </c>
      <c r="B34" s="40" t="s">
        <v>867</v>
      </c>
      <c r="C34" s="40" t="s">
        <v>294</v>
      </c>
      <c r="D34" s="40" t="s">
        <v>293</v>
      </c>
      <c r="E34" s="40" t="s">
        <v>259</v>
      </c>
      <c r="F34" s="40" t="s">
        <v>1072</v>
      </c>
      <c r="G34" s="40" t="s">
        <v>1205</v>
      </c>
      <c r="H34" s="40" t="s">
        <v>14</v>
      </c>
      <c r="I34" s="41" t="s">
        <v>1206</v>
      </c>
      <c r="J34" s="41" t="s">
        <v>1207</v>
      </c>
      <c r="K34" s="69" t="s">
        <v>1208</v>
      </c>
      <c r="L34" s="68"/>
      <c r="M34" s="68"/>
      <c r="N34" s="42"/>
      <c r="O34" s="42"/>
      <c r="P34" s="42"/>
      <c r="Q34" s="42"/>
      <c r="R34" s="42"/>
      <c r="S34" s="42"/>
      <c r="T34" s="42"/>
      <c r="U34" s="42"/>
      <c r="V34" s="42"/>
      <c r="W34" s="43"/>
    </row>
    <row r="35" spans="1:23" ht="13" x14ac:dyDescent="0.3">
      <c r="A35" s="44">
        <v>46080.342928240738</v>
      </c>
      <c r="B35" s="45" t="s">
        <v>735</v>
      </c>
      <c r="C35" s="45" t="s">
        <v>477</v>
      </c>
      <c r="D35" s="45" t="s">
        <v>476</v>
      </c>
      <c r="E35" s="45" t="s">
        <v>127</v>
      </c>
      <c r="F35" s="45" t="s">
        <v>1072</v>
      </c>
      <c r="G35" s="45" t="s">
        <v>1209</v>
      </c>
      <c r="H35" s="45" t="s">
        <v>14</v>
      </c>
      <c r="I35" s="41" t="s">
        <v>1210</v>
      </c>
      <c r="J35" s="41" t="s">
        <v>1211</v>
      </c>
      <c r="K35" s="69" t="s">
        <v>1212</v>
      </c>
      <c r="L35" s="68"/>
      <c r="M35" s="68"/>
      <c r="N35" s="46"/>
      <c r="O35" s="46"/>
      <c r="P35" s="46"/>
      <c r="Q35" s="46"/>
      <c r="R35" s="46"/>
      <c r="S35" s="46"/>
      <c r="T35" s="46"/>
      <c r="U35" s="46"/>
      <c r="V35" s="46"/>
      <c r="W35" s="47"/>
    </row>
    <row r="36" spans="1:23" ht="13" x14ac:dyDescent="0.3">
      <c r="A36" s="39">
        <v>46080.343877314815</v>
      </c>
      <c r="B36" s="40" t="s">
        <v>652</v>
      </c>
      <c r="C36" s="40" t="s">
        <v>311</v>
      </c>
      <c r="D36" s="40" t="s">
        <v>310</v>
      </c>
      <c r="E36" s="40" t="s">
        <v>259</v>
      </c>
      <c r="F36" s="40" t="s">
        <v>1072</v>
      </c>
      <c r="G36" s="40" t="s">
        <v>1213</v>
      </c>
      <c r="H36" s="40" t="s">
        <v>14</v>
      </c>
      <c r="I36" s="41" t="s">
        <v>1214</v>
      </c>
      <c r="J36" s="41" t="s">
        <v>1215</v>
      </c>
      <c r="K36" s="69" t="s">
        <v>1216</v>
      </c>
      <c r="L36" s="68"/>
      <c r="M36" s="68"/>
      <c r="N36" s="42"/>
      <c r="O36" s="42"/>
      <c r="P36" s="42"/>
      <c r="Q36" s="42"/>
      <c r="R36" s="42"/>
      <c r="S36" s="42"/>
      <c r="T36" s="42"/>
      <c r="U36" s="42"/>
      <c r="V36" s="42"/>
      <c r="W36" s="43"/>
    </row>
    <row r="37" spans="1:23" ht="13" x14ac:dyDescent="0.3">
      <c r="A37" s="44">
        <v>46080.372465277775</v>
      </c>
      <c r="B37" s="45" t="s">
        <v>775</v>
      </c>
      <c r="C37" s="45" t="s">
        <v>183</v>
      </c>
      <c r="D37" s="45" t="s">
        <v>182</v>
      </c>
      <c r="E37" s="45" t="s">
        <v>28</v>
      </c>
      <c r="F37" s="45" t="s">
        <v>1072</v>
      </c>
      <c r="G37" s="45" t="s">
        <v>1217</v>
      </c>
      <c r="H37" s="45" t="s">
        <v>7</v>
      </c>
      <c r="I37" s="41" t="s">
        <v>1218</v>
      </c>
      <c r="J37" s="41" t="s">
        <v>1219</v>
      </c>
      <c r="K37" s="69" t="s">
        <v>1220</v>
      </c>
      <c r="L37" s="68"/>
      <c r="M37" s="68"/>
      <c r="N37" s="46"/>
      <c r="O37" s="46"/>
      <c r="P37" s="46"/>
      <c r="Q37" s="46"/>
      <c r="R37" s="46"/>
      <c r="S37" s="46"/>
      <c r="T37" s="46"/>
      <c r="U37" s="46"/>
      <c r="V37" s="46"/>
      <c r="W37" s="47"/>
    </row>
    <row r="38" spans="1:23" ht="13" x14ac:dyDescent="0.3">
      <c r="A38" s="39">
        <v>46080.402777777781</v>
      </c>
      <c r="B38" s="40" t="s">
        <v>660</v>
      </c>
      <c r="C38" s="40" t="s">
        <v>269</v>
      </c>
      <c r="D38" s="40" t="s">
        <v>268</v>
      </c>
      <c r="E38" s="40" t="s">
        <v>259</v>
      </c>
      <c r="F38" s="40" t="s">
        <v>1072</v>
      </c>
      <c r="G38" s="40" t="s">
        <v>1221</v>
      </c>
      <c r="H38" s="40" t="s">
        <v>14</v>
      </c>
      <c r="I38" s="41" t="s">
        <v>1222</v>
      </c>
      <c r="J38" s="41" t="s">
        <v>1223</v>
      </c>
      <c r="K38" s="69" t="s">
        <v>1224</v>
      </c>
      <c r="L38" s="68"/>
      <c r="M38" s="68"/>
      <c r="N38" s="42"/>
      <c r="O38" s="42"/>
      <c r="P38" s="42"/>
      <c r="Q38" s="42"/>
      <c r="R38" s="42"/>
      <c r="S38" s="42"/>
      <c r="T38" s="42"/>
      <c r="U38" s="42"/>
      <c r="V38" s="42"/>
      <c r="W38" s="43"/>
    </row>
    <row r="39" spans="1:23" ht="13" x14ac:dyDescent="0.3">
      <c r="A39" s="44">
        <v>46080.404444444444</v>
      </c>
      <c r="B39" s="45" t="s">
        <v>719</v>
      </c>
      <c r="C39" s="45" t="s">
        <v>473</v>
      </c>
      <c r="D39" s="45" t="s">
        <v>472</v>
      </c>
      <c r="E39" s="45" t="s">
        <v>127</v>
      </c>
      <c r="F39" s="45" t="s">
        <v>1072</v>
      </c>
      <c r="G39" s="45" t="s">
        <v>1225</v>
      </c>
      <c r="H39" s="45" t="s">
        <v>14</v>
      </c>
      <c r="I39" s="41" t="s">
        <v>1226</v>
      </c>
      <c r="J39" s="41" t="s">
        <v>1227</v>
      </c>
      <c r="K39" s="69" t="s">
        <v>1228</v>
      </c>
      <c r="L39" s="68"/>
      <c r="M39" s="68"/>
      <c r="N39" s="46"/>
      <c r="O39" s="46"/>
      <c r="P39" s="46"/>
      <c r="Q39" s="46"/>
      <c r="R39" s="46"/>
      <c r="S39" s="46"/>
      <c r="T39" s="46"/>
      <c r="U39" s="46"/>
      <c r="V39" s="46"/>
      <c r="W39" s="47"/>
    </row>
    <row r="40" spans="1:23" ht="13" x14ac:dyDescent="0.3">
      <c r="A40" s="39">
        <v>46080.41265046296</v>
      </c>
      <c r="B40" s="40" t="s">
        <v>658</v>
      </c>
      <c r="C40" s="40" t="s">
        <v>177</v>
      </c>
      <c r="D40" s="40" t="s">
        <v>176</v>
      </c>
      <c r="E40" s="40" t="s">
        <v>127</v>
      </c>
      <c r="F40" s="40" t="s">
        <v>1072</v>
      </c>
      <c r="G40" s="40" t="s">
        <v>1229</v>
      </c>
      <c r="H40" s="40" t="s">
        <v>14</v>
      </c>
      <c r="I40" s="41" t="s">
        <v>1230</v>
      </c>
      <c r="J40" s="41" t="s">
        <v>1231</v>
      </c>
      <c r="K40" s="69" t="s">
        <v>1232</v>
      </c>
      <c r="L40" s="68"/>
      <c r="M40" s="68"/>
      <c r="N40" s="42"/>
      <c r="O40" s="42"/>
      <c r="P40" s="42"/>
      <c r="Q40" s="42"/>
      <c r="R40" s="42"/>
      <c r="S40" s="42"/>
      <c r="T40" s="42"/>
      <c r="U40" s="42"/>
      <c r="V40" s="42"/>
      <c r="W40" s="43"/>
    </row>
    <row r="41" spans="1:23" ht="13" x14ac:dyDescent="0.3">
      <c r="A41" s="44">
        <v>46080.419340277775</v>
      </c>
      <c r="B41" s="45" t="s">
        <v>793</v>
      </c>
      <c r="C41" s="45" t="s">
        <v>99</v>
      </c>
      <c r="D41" s="45" t="s">
        <v>98</v>
      </c>
      <c r="E41" s="45" t="s">
        <v>28</v>
      </c>
      <c r="F41" s="45" t="s">
        <v>1072</v>
      </c>
      <c r="G41" s="45" t="s">
        <v>1233</v>
      </c>
      <c r="H41" s="45" t="s">
        <v>7</v>
      </c>
      <c r="I41" s="41" t="s">
        <v>1234</v>
      </c>
      <c r="J41" s="41" t="s">
        <v>1235</v>
      </c>
      <c r="K41" s="69" t="s">
        <v>1236</v>
      </c>
      <c r="L41" s="68"/>
      <c r="M41" s="68"/>
      <c r="N41" s="46"/>
      <c r="O41" s="46"/>
      <c r="P41" s="46"/>
      <c r="Q41" s="46"/>
      <c r="R41" s="46"/>
      <c r="S41" s="46"/>
      <c r="T41" s="46"/>
      <c r="U41" s="46"/>
      <c r="V41" s="46"/>
      <c r="W41" s="47"/>
    </row>
    <row r="42" spans="1:23" ht="13" x14ac:dyDescent="0.3">
      <c r="A42" s="39">
        <v>46080.431469907409</v>
      </c>
      <c r="B42" s="40" t="s">
        <v>786</v>
      </c>
      <c r="C42" s="40" t="s">
        <v>27</v>
      </c>
      <c r="D42" s="40" t="s">
        <v>26</v>
      </c>
      <c r="E42" s="40" t="s">
        <v>28</v>
      </c>
      <c r="F42" s="40" t="s">
        <v>1072</v>
      </c>
      <c r="G42" s="40" t="s">
        <v>1237</v>
      </c>
      <c r="H42" s="40" t="s">
        <v>7</v>
      </c>
      <c r="I42" s="41" t="s">
        <v>1238</v>
      </c>
      <c r="J42" s="41" t="s">
        <v>1239</v>
      </c>
      <c r="K42" s="69" t="s">
        <v>1240</v>
      </c>
      <c r="L42" s="68"/>
      <c r="M42" s="68"/>
      <c r="N42" s="42"/>
      <c r="O42" s="42"/>
      <c r="P42" s="42"/>
      <c r="Q42" s="42"/>
      <c r="R42" s="42"/>
      <c r="S42" s="42"/>
      <c r="T42" s="42"/>
      <c r="U42" s="42"/>
      <c r="V42" s="42"/>
      <c r="W42" s="43"/>
    </row>
    <row r="43" spans="1:23" ht="13" x14ac:dyDescent="0.3">
      <c r="A43" s="44">
        <v>46080.433900462966</v>
      </c>
      <c r="B43" s="45" t="s">
        <v>711</v>
      </c>
      <c r="C43" s="45" t="s">
        <v>333</v>
      </c>
      <c r="D43" s="45" t="s">
        <v>332</v>
      </c>
      <c r="E43" s="45" t="s">
        <v>1241</v>
      </c>
      <c r="F43" s="45" t="s">
        <v>1072</v>
      </c>
      <c r="G43" s="45" t="s">
        <v>1242</v>
      </c>
      <c r="H43" s="45" t="s">
        <v>14</v>
      </c>
      <c r="I43" s="41" t="s">
        <v>1243</v>
      </c>
      <c r="J43" s="41" t="s">
        <v>1244</v>
      </c>
      <c r="K43" s="69" t="s">
        <v>1245</v>
      </c>
      <c r="L43" s="68"/>
      <c r="M43" s="68"/>
      <c r="N43" s="46"/>
      <c r="O43" s="46"/>
      <c r="P43" s="46"/>
      <c r="Q43" s="46"/>
      <c r="R43" s="46"/>
      <c r="S43" s="46"/>
      <c r="T43" s="46"/>
      <c r="U43" s="46"/>
      <c r="V43" s="46"/>
      <c r="W43" s="47"/>
    </row>
    <row r="44" spans="1:23" ht="13" x14ac:dyDescent="0.3">
      <c r="A44" s="39">
        <v>46080.456504629627</v>
      </c>
      <c r="B44" s="40" t="s">
        <v>742</v>
      </c>
      <c r="C44" s="40" t="s">
        <v>501</v>
      </c>
      <c r="D44" s="40" t="s">
        <v>500</v>
      </c>
      <c r="E44" s="40" t="s">
        <v>127</v>
      </c>
      <c r="F44" s="40" t="s">
        <v>1072</v>
      </c>
      <c r="G44" s="40" t="s">
        <v>1246</v>
      </c>
      <c r="H44" s="40" t="s">
        <v>14</v>
      </c>
      <c r="I44" s="41" t="s">
        <v>1247</v>
      </c>
      <c r="J44" s="41" t="s">
        <v>1248</v>
      </c>
      <c r="K44" s="69" t="s">
        <v>1249</v>
      </c>
      <c r="L44" s="68"/>
      <c r="M44" s="68"/>
      <c r="N44" s="42"/>
      <c r="O44" s="42"/>
      <c r="P44" s="42"/>
      <c r="Q44" s="42"/>
      <c r="R44" s="42"/>
      <c r="S44" s="42"/>
      <c r="T44" s="42"/>
      <c r="U44" s="42"/>
      <c r="V44" s="42"/>
      <c r="W44" s="43"/>
    </row>
    <row r="45" spans="1:23" ht="13" x14ac:dyDescent="0.3">
      <c r="A45" s="44">
        <v>46080.461145833331</v>
      </c>
      <c r="B45" s="45" t="s">
        <v>819</v>
      </c>
      <c r="C45" s="45" t="s">
        <v>108</v>
      </c>
      <c r="D45" s="45" t="s">
        <v>107</v>
      </c>
      <c r="E45" s="45" t="s">
        <v>611</v>
      </c>
      <c r="F45" s="45" t="s">
        <v>1072</v>
      </c>
      <c r="G45" s="45" t="s">
        <v>1250</v>
      </c>
      <c r="H45" s="45" t="s">
        <v>14</v>
      </c>
      <c r="I45" s="41" t="s">
        <v>1251</v>
      </c>
      <c r="J45" s="41" t="s">
        <v>1252</v>
      </c>
      <c r="K45" s="69" t="s">
        <v>1253</v>
      </c>
      <c r="L45" s="68"/>
      <c r="M45" s="68"/>
      <c r="N45" s="46"/>
      <c r="O45" s="46"/>
      <c r="P45" s="46"/>
      <c r="Q45" s="46"/>
      <c r="R45" s="46"/>
      <c r="S45" s="46"/>
      <c r="T45" s="46"/>
      <c r="U45" s="46"/>
      <c r="V45" s="46"/>
      <c r="W45" s="47"/>
    </row>
    <row r="46" spans="1:23" ht="13" x14ac:dyDescent="0.3">
      <c r="A46" s="39">
        <v>46080.48065972222</v>
      </c>
      <c r="B46" s="40" t="s">
        <v>722</v>
      </c>
      <c r="C46" s="40" t="s">
        <v>289</v>
      </c>
      <c r="D46" s="40" t="s">
        <v>288</v>
      </c>
      <c r="E46" s="40" t="s">
        <v>259</v>
      </c>
      <c r="F46" s="40" t="s">
        <v>1072</v>
      </c>
      <c r="G46" s="40" t="s">
        <v>1254</v>
      </c>
      <c r="H46" s="40" t="s">
        <v>14</v>
      </c>
      <c r="I46" s="41" t="s">
        <v>1255</v>
      </c>
      <c r="J46" s="41" t="s">
        <v>1256</v>
      </c>
      <c r="K46" s="69" t="s">
        <v>1257</v>
      </c>
      <c r="L46" s="68"/>
      <c r="M46" s="68"/>
      <c r="N46" s="42"/>
      <c r="O46" s="42"/>
      <c r="P46" s="42"/>
      <c r="Q46" s="42"/>
      <c r="R46" s="42"/>
      <c r="S46" s="42"/>
      <c r="T46" s="42"/>
      <c r="U46" s="42"/>
      <c r="V46" s="42"/>
      <c r="W46" s="43"/>
    </row>
    <row r="47" spans="1:23" ht="13" x14ac:dyDescent="0.3">
      <c r="A47" s="44">
        <v>46080.484918981485</v>
      </c>
      <c r="B47" s="45" t="s">
        <v>671</v>
      </c>
      <c r="C47" s="45" t="s">
        <v>275</v>
      </c>
      <c r="D47" s="45" t="s">
        <v>274</v>
      </c>
      <c r="E47" s="45" t="s">
        <v>259</v>
      </c>
      <c r="F47" s="45" t="s">
        <v>1072</v>
      </c>
      <c r="G47" s="45" t="s">
        <v>1258</v>
      </c>
      <c r="H47" s="45" t="s">
        <v>14</v>
      </c>
      <c r="I47" s="41" t="s">
        <v>1259</v>
      </c>
      <c r="J47" s="41" t="s">
        <v>1260</v>
      </c>
      <c r="K47" s="69" t="s">
        <v>1261</v>
      </c>
      <c r="L47" s="68"/>
      <c r="M47" s="68"/>
      <c r="N47" s="46"/>
      <c r="O47" s="46"/>
      <c r="P47" s="46"/>
      <c r="Q47" s="46"/>
      <c r="R47" s="46"/>
      <c r="S47" s="46"/>
      <c r="T47" s="46"/>
      <c r="U47" s="46"/>
      <c r="V47" s="46"/>
      <c r="W47" s="47"/>
    </row>
    <row r="48" spans="1:23" ht="13" x14ac:dyDescent="0.3">
      <c r="A48" s="39">
        <v>46080.513888888891</v>
      </c>
      <c r="B48" s="40" t="s">
        <v>713</v>
      </c>
      <c r="C48" s="40" t="s">
        <v>335</v>
      </c>
      <c r="D48" s="40" t="s">
        <v>334</v>
      </c>
      <c r="E48" s="40" t="s">
        <v>259</v>
      </c>
      <c r="F48" s="40" t="s">
        <v>1072</v>
      </c>
      <c r="G48" s="40" t="s">
        <v>1262</v>
      </c>
      <c r="H48" s="40" t="s">
        <v>7</v>
      </c>
      <c r="I48" s="41" t="s">
        <v>1263</v>
      </c>
      <c r="J48" s="41" t="s">
        <v>1264</v>
      </c>
      <c r="K48" s="69" t="s">
        <v>1265</v>
      </c>
      <c r="L48" s="68"/>
      <c r="M48" s="68"/>
      <c r="N48" s="42"/>
      <c r="O48" s="42"/>
      <c r="P48" s="42"/>
      <c r="Q48" s="42"/>
      <c r="R48" s="42"/>
      <c r="S48" s="42"/>
      <c r="T48" s="42"/>
      <c r="U48" s="42"/>
      <c r="V48" s="42"/>
      <c r="W48" s="43"/>
    </row>
    <row r="49" spans="1:23" ht="13" x14ac:dyDescent="0.3">
      <c r="A49" s="44">
        <v>46080.516250000001</v>
      </c>
      <c r="B49" s="45" t="s">
        <v>688</v>
      </c>
      <c r="C49" s="45" t="s">
        <v>283</v>
      </c>
      <c r="D49" s="45" t="s">
        <v>282</v>
      </c>
      <c r="E49" s="45" t="s">
        <v>127</v>
      </c>
      <c r="F49" s="45" t="s">
        <v>1072</v>
      </c>
      <c r="G49" s="45" t="s">
        <v>1266</v>
      </c>
      <c r="H49" s="45" t="s">
        <v>14</v>
      </c>
      <c r="I49" s="41" t="s">
        <v>1267</v>
      </c>
      <c r="J49" s="41" t="s">
        <v>1268</v>
      </c>
      <c r="K49" s="69" t="s">
        <v>1269</v>
      </c>
      <c r="L49" s="68"/>
      <c r="M49" s="68"/>
      <c r="N49" s="46"/>
      <c r="O49" s="46"/>
      <c r="P49" s="46"/>
      <c r="Q49" s="46"/>
      <c r="R49" s="46"/>
      <c r="S49" s="46"/>
      <c r="T49" s="46"/>
      <c r="U49" s="46"/>
      <c r="V49" s="46"/>
      <c r="W49" s="47"/>
    </row>
    <row r="50" spans="1:23" ht="13" x14ac:dyDescent="0.3">
      <c r="A50" s="39">
        <v>46080.51840277778</v>
      </c>
      <c r="B50" s="40" t="s">
        <v>1270</v>
      </c>
      <c r="C50" s="40" t="s">
        <v>465</v>
      </c>
      <c r="D50" s="40" t="s">
        <v>464</v>
      </c>
      <c r="E50" s="40" t="s">
        <v>127</v>
      </c>
      <c r="F50" s="40" t="s">
        <v>1072</v>
      </c>
      <c r="G50" s="40" t="s">
        <v>1271</v>
      </c>
      <c r="H50" s="40" t="s">
        <v>14</v>
      </c>
      <c r="I50" s="41" t="s">
        <v>1272</v>
      </c>
      <c r="J50" s="41" t="s">
        <v>1273</v>
      </c>
      <c r="K50" s="69" t="s">
        <v>1274</v>
      </c>
      <c r="L50" s="68"/>
      <c r="M50" s="68"/>
      <c r="N50" s="42"/>
      <c r="O50" s="42"/>
      <c r="P50" s="42"/>
      <c r="Q50" s="42"/>
      <c r="R50" s="42"/>
      <c r="S50" s="42"/>
      <c r="T50" s="42"/>
      <c r="U50" s="42"/>
      <c r="V50" s="42"/>
      <c r="W50" s="43"/>
    </row>
    <row r="51" spans="1:23" ht="13" x14ac:dyDescent="0.3">
      <c r="A51" s="44">
        <v>46080.529583333337</v>
      </c>
      <c r="B51" s="45" t="s">
        <v>820</v>
      </c>
      <c r="C51" s="45" t="s">
        <v>110</v>
      </c>
      <c r="D51" s="45" t="s">
        <v>109</v>
      </c>
      <c r="E51" s="45" t="s">
        <v>28</v>
      </c>
      <c r="F51" s="45" t="s">
        <v>1072</v>
      </c>
      <c r="G51" s="45" t="s">
        <v>1275</v>
      </c>
      <c r="H51" s="45" t="s">
        <v>7</v>
      </c>
      <c r="I51" s="41" t="s">
        <v>1276</v>
      </c>
      <c r="J51" s="41" t="s">
        <v>1277</v>
      </c>
      <c r="K51" s="69" t="s">
        <v>1278</v>
      </c>
      <c r="L51" s="68"/>
      <c r="M51" s="68"/>
      <c r="N51" s="46"/>
      <c r="O51" s="46"/>
      <c r="P51" s="46"/>
      <c r="Q51" s="46"/>
      <c r="R51" s="46"/>
      <c r="S51" s="46"/>
      <c r="T51" s="46"/>
      <c r="U51" s="46"/>
      <c r="V51" s="46"/>
      <c r="W51" s="47"/>
    </row>
    <row r="52" spans="1:23" ht="13" x14ac:dyDescent="0.3">
      <c r="A52" s="39">
        <v>46080.542094907411</v>
      </c>
      <c r="B52" s="40" t="s">
        <v>686</v>
      </c>
      <c r="C52" s="40" t="s">
        <v>323</v>
      </c>
      <c r="D52" s="40" t="s">
        <v>322</v>
      </c>
      <c r="E52" s="40" t="s">
        <v>259</v>
      </c>
      <c r="F52" s="40" t="s">
        <v>1072</v>
      </c>
      <c r="G52" s="40" t="s">
        <v>1279</v>
      </c>
      <c r="H52" s="40" t="s">
        <v>14</v>
      </c>
      <c r="I52" s="41" t="s">
        <v>1280</v>
      </c>
      <c r="J52" s="41" t="s">
        <v>1281</v>
      </c>
      <c r="K52" s="69" t="s">
        <v>1282</v>
      </c>
      <c r="L52" s="68"/>
      <c r="M52" s="68"/>
      <c r="N52" s="42"/>
      <c r="O52" s="42"/>
      <c r="P52" s="42"/>
      <c r="Q52" s="42"/>
      <c r="R52" s="42"/>
      <c r="S52" s="42"/>
      <c r="T52" s="42"/>
      <c r="U52" s="42"/>
      <c r="V52" s="42"/>
      <c r="W52" s="43"/>
    </row>
    <row r="53" spans="1:23" ht="13" x14ac:dyDescent="0.3">
      <c r="A53" s="44">
        <v>46080.550775462965</v>
      </c>
      <c r="B53" s="45" t="s">
        <v>696</v>
      </c>
      <c r="C53" s="45" t="s">
        <v>327</v>
      </c>
      <c r="D53" s="45" t="s">
        <v>326</v>
      </c>
      <c r="E53" s="45" t="s">
        <v>259</v>
      </c>
      <c r="F53" s="45" t="s">
        <v>1072</v>
      </c>
      <c r="G53" s="45" t="s">
        <v>1283</v>
      </c>
      <c r="H53" s="45" t="s">
        <v>14</v>
      </c>
      <c r="I53" s="41" t="s">
        <v>1284</v>
      </c>
      <c r="J53" s="41" t="s">
        <v>1285</v>
      </c>
      <c r="K53" s="69" t="s">
        <v>1286</v>
      </c>
      <c r="L53" s="68"/>
      <c r="M53" s="68"/>
      <c r="N53" s="46"/>
      <c r="O53" s="46"/>
      <c r="P53" s="46"/>
      <c r="Q53" s="46"/>
      <c r="R53" s="46"/>
      <c r="S53" s="46"/>
      <c r="T53" s="46"/>
      <c r="U53" s="46"/>
      <c r="V53" s="46"/>
      <c r="W53" s="47"/>
    </row>
    <row r="54" spans="1:23" ht="13" x14ac:dyDescent="0.3">
      <c r="A54" s="39">
        <v>46080.551932870374</v>
      </c>
      <c r="B54" s="40" t="s">
        <v>733</v>
      </c>
      <c r="C54" s="40" t="s">
        <v>349</v>
      </c>
      <c r="D54" s="40" t="s">
        <v>348</v>
      </c>
      <c r="E54" s="40" t="s">
        <v>127</v>
      </c>
      <c r="F54" s="40" t="s">
        <v>1072</v>
      </c>
      <c r="G54" s="40" t="s">
        <v>1287</v>
      </c>
      <c r="H54" s="40" t="s">
        <v>14</v>
      </c>
      <c r="I54" s="41" t="s">
        <v>1288</v>
      </c>
      <c r="J54" s="41" t="s">
        <v>1289</v>
      </c>
      <c r="K54" s="69" t="s">
        <v>1290</v>
      </c>
      <c r="L54" s="68"/>
      <c r="M54" s="68"/>
      <c r="N54" s="42"/>
      <c r="O54" s="42"/>
      <c r="P54" s="42"/>
      <c r="Q54" s="42"/>
      <c r="R54" s="42"/>
      <c r="S54" s="42"/>
      <c r="T54" s="42"/>
      <c r="U54" s="42"/>
      <c r="V54" s="42"/>
      <c r="W54" s="43"/>
    </row>
    <row r="55" spans="1:23" ht="13" x14ac:dyDescent="0.3">
      <c r="A55" s="44">
        <v>46080.555150462962</v>
      </c>
      <c r="B55" s="45" t="s">
        <v>988</v>
      </c>
      <c r="C55" s="45" t="s">
        <v>1291</v>
      </c>
      <c r="D55" s="45" t="s">
        <v>536</v>
      </c>
      <c r="E55" s="45" t="s">
        <v>6</v>
      </c>
      <c r="F55" s="45" t="s">
        <v>1072</v>
      </c>
      <c r="G55" s="45" t="s">
        <v>1292</v>
      </c>
      <c r="H55" s="45" t="s">
        <v>14</v>
      </c>
      <c r="I55" s="41" t="s">
        <v>1293</v>
      </c>
      <c r="J55" s="41" t="s">
        <v>1294</v>
      </c>
      <c r="K55" s="69" t="s">
        <v>1295</v>
      </c>
      <c r="L55" s="68"/>
      <c r="M55" s="68"/>
      <c r="N55" s="46"/>
      <c r="O55" s="46"/>
      <c r="P55" s="46"/>
      <c r="Q55" s="46"/>
      <c r="R55" s="46"/>
      <c r="S55" s="46"/>
      <c r="T55" s="46"/>
      <c r="U55" s="46"/>
      <c r="V55" s="46"/>
      <c r="W55" s="47"/>
    </row>
    <row r="56" spans="1:23" ht="13" x14ac:dyDescent="0.3">
      <c r="A56" s="39">
        <v>46080.572638888887</v>
      </c>
      <c r="B56" s="40" t="s">
        <v>669</v>
      </c>
      <c r="C56" s="40" t="s">
        <v>313</v>
      </c>
      <c r="D56" s="40" t="s">
        <v>312</v>
      </c>
      <c r="E56" s="40" t="s">
        <v>259</v>
      </c>
      <c r="F56" s="40" t="s">
        <v>1072</v>
      </c>
      <c r="G56" s="40" t="s">
        <v>1296</v>
      </c>
      <c r="H56" s="40" t="s">
        <v>14</v>
      </c>
      <c r="I56" s="41" t="s">
        <v>1297</v>
      </c>
      <c r="J56" s="41" t="s">
        <v>1298</v>
      </c>
      <c r="K56" s="69" t="s">
        <v>1299</v>
      </c>
      <c r="L56" s="68"/>
      <c r="M56" s="68"/>
      <c r="N56" s="42"/>
      <c r="O56" s="42"/>
      <c r="P56" s="42"/>
      <c r="Q56" s="42"/>
      <c r="R56" s="42"/>
      <c r="S56" s="42"/>
      <c r="T56" s="42"/>
      <c r="U56" s="42"/>
      <c r="V56" s="42"/>
      <c r="W56" s="43"/>
    </row>
    <row r="57" spans="1:23" ht="13" x14ac:dyDescent="0.3">
      <c r="A57" s="44">
        <v>46080.579606481479</v>
      </c>
      <c r="B57" s="45" t="s">
        <v>964</v>
      </c>
      <c r="C57" s="45" t="s">
        <v>430</v>
      </c>
      <c r="D57" s="45" t="s">
        <v>429</v>
      </c>
      <c r="E57" s="45" t="s">
        <v>17</v>
      </c>
      <c r="F57" s="45" t="s">
        <v>1072</v>
      </c>
      <c r="G57" s="45" t="s">
        <v>1300</v>
      </c>
      <c r="H57" s="45" t="s">
        <v>14</v>
      </c>
      <c r="I57" s="41" t="s">
        <v>1301</v>
      </c>
      <c r="J57" s="41" t="s">
        <v>1302</v>
      </c>
      <c r="K57" s="69" t="s">
        <v>1303</v>
      </c>
      <c r="L57" s="68"/>
      <c r="M57" s="68"/>
      <c r="N57" s="46"/>
      <c r="O57" s="46"/>
      <c r="P57" s="46"/>
      <c r="Q57" s="46"/>
      <c r="R57" s="46"/>
      <c r="S57" s="46"/>
      <c r="T57" s="46"/>
      <c r="U57" s="46"/>
      <c r="V57" s="46"/>
      <c r="W57" s="47"/>
    </row>
    <row r="58" spans="1:23" ht="13" x14ac:dyDescent="0.3">
      <c r="A58" s="39">
        <v>46080.580972222226</v>
      </c>
      <c r="B58" s="40" t="s">
        <v>619</v>
      </c>
      <c r="C58" s="40" t="s">
        <v>447</v>
      </c>
      <c r="D58" s="40" t="s">
        <v>446</v>
      </c>
      <c r="E58" s="40" t="s">
        <v>1304</v>
      </c>
      <c r="F58" s="40" t="s">
        <v>1072</v>
      </c>
      <c r="G58" s="40" t="s">
        <v>1305</v>
      </c>
      <c r="H58" s="40" t="s">
        <v>14</v>
      </c>
      <c r="I58" s="41" t="s">
        <v>1306</v>
      </c>
      <c r="J58" s="41" t="s">
        <v>1307</v>
      </c>
      <c r="K58" s="69" t="s">
        <v>1308</v>
      </c>
      <c r="L58" s="68"/>
      <c r="M58" s="68"/>
      <c r="N58" s="42"/>
      <c r="O58" s="42"/>
      <c r="P58" s="42"/>
      <c r="Q58" s="42"/>
      <c r="R58" s="42"/>
      <c r="S58" s="42"/>
      <c r="T58" s="42"/>
      <c r="U58" s="42"/>
      <c r="V58" s="42"/>
      <c r="W58" s="43"/>
    </row>
    <row r="59" spans="1:23" ht="13" x14ac:dyDescent="0.3">
      <c r="A59" s="44">
        <v>46080.580972222226</v>
      </c>
      <c r="B59" s="45" t="s">
        <v>637</v>
      </c>
      <c r="C59" s="45" t="s">
        <v>459</v>
      </c>
      <c r="D59" s="45" t="s">
        <v>458</v>
      </c>
      <c r="E59" s="45" t="s">
        <v>127</v>
      </c>
      <c r="F59" s="45" t="s">
        <v>1072</v>
      </c>
      <c r="G59" s="45" t="s">
        <v>1309</v>
      </c>
      <c r="H59" s="45" t="s">
        <v>14</v>
      </c>
      <c r="I59" s="41" t="s">
        <v>1310</v>
      </c>
      <c r="J59" s="41" t="s">
        <v>1311</v>
      </c>
      <c r="K59" s="69" t="s">
        <v>1312</v>
      </c>
      <c r="L59" s="68"/>
      <c r="M59" s="68"/>
      <c r="N59" s="46"/>
      <c r="O59" s="46"/>
      <c r="P59" s="46"/>
      <c r="Q59" s="46"/>
      <c r="R59" s="46"/>
      <c r="S59" s="46"/>
      <c r="T59" s="46"/>
      <c r="U59" s="46"/>
      <c r="V59" s="46"/>
      <c r="W59" s="47"/>
    </row>
    <row r="60" spans="1:23" ht="13" x14ac:dyDescent="0.3">
      <c r="A60" s="39">
        <v>46080.583148148151</v>
      </c>
      <c r="B60" s="40" t="s">
        <v>1313</v>
      </c>
      <c r="C60" s="40" t="s">
        <v>135</v>
      </c>
      <c r="D60" s="40" t="s">
        <v>134</v>
      </c>
      <c r="E60" s="40" t="s">
        <v>28</v>
      </c>
      <c r="F60" s="40" t="s">
        <v>1072</v>
      </c>
      <c r="G60" s="40" t="s">
        <v>1314</v>
      </c>
      <c r="H60" s="40" t="s">
        <v>7</v>
      </c>
      <c r="I60" s="41" t="s">
        <v>1315</v>
      </c>
      <c r="J60" s="41" t="s">
        <v>1316</v>
      </c>
      <c r="K60" s="69" t="s">
        <v>1317</v>
      </c>
      <c r="L60" s="68"/>
      <c r="M60" s="68"/>
      <c r="N60" s="42"/>
      <c r="O60" s="42"/>
      <c r="P60" s="42"/>
      <c r="Q60" s="42"/>
      <c r="R60" s="42"/>
      <c r="S60" s="42"/>
      <c r="T60" s="42"/>
      <c r="U60" s="42"/>
      <c r="V60" s="42"/>
      <c r="W60" s="43"/>
    </row>
    <row r="61" spans="1:23" ht="13" x14ac:dyDescent="0.3">
      <c r="A61" s="44">
        <v>46080.585902777777</v>
      </c>
      <c r="B61" s="45" t="s">
        <v>698</v>
      </c>
      <c r="C61" s="45" t="s">
        <v>463</v>
      </c>
      <c r="D61" s="45" t="s">
        <v>462</v>
      </c>
      <c r="E61" s="45" t="s">
        <v>127</v>
      </c>
      <c r="F61" s="45" t="s">
        <v>1072</v>
      </c>
      <c r="G61" s="45" t="s">
        <v>1318</v>
      </c>
      <c r="H61" s="45" t="s">
        <v>14</v>
      </c>
      <c r="I61" s="41" t="s">
        <v>1319</v>
      </c>
      <c r="J61" s="41" t="s">
        <v>1320</v>
      </c>
      <c r="K61" s="69" t="s">
        <v>1321</v>
      </c>
      <c r="L61" s="68"/>
      <c r="M61" s="68"/>
      <c r="N61" s="46"/>
      <c r="O61" s="46"/>
      <c r="P61" s="46"/>
      <c r="Q61" s="46"/>
      <c r="R61" s="46"/>
      <c r="S61" s="46"/>
      <c r="T61" s="46"/>
      <c r="U61" s="46"/>
      <c r="V61" s="46"/>
      <c r="W61" s="47"/>
    </row>
    <row r="62" spans="1:23" ht="13" x14ac:dyDescent="0.3">
      <c r="A62" s="39">
        <v>46080.586099537039</v>
      </c>
      <c r="B62" s="40" t="s">
        <v>813</v>
      </c>
      <c r="C62" s="40" t="s">
        <v>187</v>
      </c>
      <c r="D62" s="40" t="s">
        <v>186</v>
      </c>
      <c r="E62" s="40" t="s">
        <v>28</v>
      </c>
      <c r="F62" s="40" t="s">
        <v>1072</v>
      </c>
      <c r="G62" s="40" t="s">
        <v>1322</v>
      </c>
      <c r="H62" s="40" t="s">
        <v>7</v>
      </c>
      <c r="I62" s="41" t="s">
        <v>1323</v>
      </c>
      <c r="J62" s="41" t="s">
        <v>1324</v>
      </c>
      <c r="K62" s="69" t="s">
        <v>1325</v>
      </c>
      <c r="L62" s="68"/>
      <c r="M62" s="68"/>
      <c r="N62" s="42"/>
      <c r="O62" s="42"/>
      <c r="P62" s="42"/>
      <c r="Q62" s="42"/>
      <c r="R62" s="42"/>
      <c r="S62" s="42"/>
      <c r="T62" s="42"/>
      <c r="U62" s="42"/>
      <c r="V62" s="42"/>
      <c r="W62" s="43"/>
    </row>
    <row r="63" spans="1:23" ht="13" x14ac:dyDescent="0.3">
      <c r="A63" s="44">
        <v>46080.592662037037</v>
      </c>
      <c r="B63" s="45" t="s">
        <v>814</v>
      </c>
      <c r="C63" s="45" t="s">
        <v>104</v>
      </c>
      <c r="D63" s="45" t="s">
        <v>103</v>
      </c>
      <c r="E63" s="45" t="s">
        <v>28</v>
      </c>
      <c r="F63" s="45" t="s">
        <v>1072</v>
      </c>
      <c r="G63" s="45" t="s">
        <v>1326</v>
      </c>
      <c r="H63" s="45" t="s">
        <v>14</v>
      </c>
      <c r="I63" s="41" t="s">
        <v>1327</v>
      </c>
      <c r="J63" s="41" t="s">
        <v>1328</v>
      </c>
      <c r="K63" s="69" t="s">
        <v>1329</v>
      </c>
      <c r="L63" s="68"/>
      <c r="M63" s="68"/>
      <c r="N63" s="46"/>
      <c r="O63" s="46"/>
      <c r="P63" s="46"/>
      <c r="Q63" s="46"/>
      <c r="R63" s="46"/>
      <c r="S63" s="46"/>
      <c r="T63" s="46"/>
      <c r="U63" s="46"/>
      <c r="V63" s="46"/>
      <c r="W63" s="47"/>
    </row>
    <row r="64" spans="1:23" ht="13" x14ac:dyDescent="0.3">
      <c r="A64" s="39">
        <v>46080.605694444443</v>
      </c>
      <c r="B64" s="40" t="s">
        <v>703</v>
      </c>
      <c r="C64" s="40" t="s">
        <v>467</v>
      </c>
      <c r="D64" s="40" t="s">
        <v>466</v>
      </c>
      <c r="E64" s="40" t="s">
        <v>127</v>
      </c>
      <c r="F64" s="40" t="s">
        <v>1072</v>
      </c>
      <c r="G64" s="40" t="s">
        <v>1330</v>
      </c>
      <c r="H64" s="40" t="s">
        <v>14</v>
      </c>
      <c r="I64" s="41" t="s">
        <v>1331</v>
      </c>
      <c r="J64" s="41" t="s">
        <v>1332</v>
      </c>
      <c r="K64" s="69" t="s">
        <v>1333</v>
      </c>
      <c r="L64" s="68"/>
      <c r="M64" s="68"/>
      <c r="N64" s="42"/>
      <c r="O64" s="42"/>
      <c r="P64" s="42"/>
      <c r="Q64" s="42"/>
      <c r="R64" s="42"/>
      <c r="S64" s="42"/>
      <c r="T64" s="42"/>
      <c r="U64" s="42"/>
      <c r="V64" s="42"/>
      <c r="W64" s="43"/>
    </row>
    <row r="65" spans="1:23" ht="13" x14ac:dyDescent="0.3">
      <c r="A65" s="44">
        <v>46080.606562499997</v>
      </c>
      <c r="B65" s="45" t="s">
        <v>700</v>
      </c>
      <c r="C65" s="45" t="s">
        <v>329</v>
      </c>
      <c r="D65" s="45" t="s">
        <v>328</v>
      </c>
      <c r="E65" s="45" t="s">
        <v>259</v>
      </c>
      <c r="F65" s="45" t="s">
        <v>1072</v>
      </c>
      <c r="G65" s="45" t="s">
        <v>1334</v>
      </c>
      <c r="H65" s="45" t="s">
        <v>14</v>
      </c>
      <c r="I65" s="41" t="s">
        <v>1335</v>
      </c>
      <c r="J65" s="41" t="s">
        <v>1336</v>
      </c>
      <c r="K65" s="69" t="s">
        <v>1337</v>
      </c>
      <c r="L65" s="68"/>
      <c r="M65" s="68"/>
      <c r="N65" s="46"/>
      <c r="O65" s="46"/>
      <c r="P65" s="46"/>
      <c r="Q65" s="46"/>
      <c r="R65" s="46"/>
      <c r="S65" s="46"/>
      <c r="T65" s="46"/>
      <c r="U65" s="46"/>
      <c r="V65" s="46"/>
      <c r="W65" s="47"/>
    </row>
    <row r="66" spans="1:23" ht="13" x14ac:dyDescent="0.3">
      <c r="A66" s="39">
        <v>46080.617511574077</v>
      </c>
      <c r="B66" s="40" t="s">
        <v>630</v>
      </c>
      <c r="C66" s="40" t="s">
        <v>449</v>
      </c>
      <c r="D66" s="40" t="s">
        <v>448</v>
      </c>
      <c r="E66" s="40" t="s">
        <v>127</v>
      </c>
      <c r="F66" s="40" t="s">
        <v>1072</v>
      </c>
      <c r="G66" s="40" t="s">
        <v>1338</v>
      </c>
      <c r="H66" s="40" t="s">
        <v>14</v>
      </c>
      <c r="I66" s="41" t="s">
        <v>1339</v>
      </c>
      <c r="J66" s="41" t="s">
        <v>1340</v>
      </c>
      <c r="K66" s="69" t="s">
        <v>1341</v>
      </c>
      <c r="L66" s="68"/>
      <c r="M66" s="68"/>
      <c r="N66" s="42"/>
      <c r="O66" s="42"/>
      <c r="P66" s="42"/>
      <c r="Q66" s="42"/>
      <c r="R66" s="42"/>
      <c r="S66" s="42"/>
      <c r="T66" s="42"/>
      <c r="U66" s="42"/>
      <c r="V66" s="42"/>
      <c r="W66" s="43"/>
    </row>
    <row r="67" spans="1:23" ht="13" x14ac:dyDescent="0.3">
      <c r="A67" s="44">
        <v>46080.621516203704</v>
      </c>
      <c r="B67" s="45" t="s">
        <v>690</v>
      </c>
      <c r="C67" s="45" t="s">
        <v>461</v>
      </c>
      <c r="D67" s="45" t="s">
        <v>460</v>
      </c>
      <c r="E67" s="45" t="s">
        <v>127</v>
      </c>
      <c r="F67" s="45" t="s">
        <v>1072</v>
      </c>
      <c r="G67" s="45" t="s">
        <v>1342</v>
      </c>
      <c r="H67" s="45" t="s">
        <v>14</v>
      </c>
      <c r="I67" s="41" t="s">
        <v>1343</v>
      </c>
      <c r="J67" s="41" t="s">
        <v>1344</v>
      </c>
      <c r="K67" s="69" t="s">
        <v>1345</v>
      </c>
      <c r="L67" s="68"/>
      <c r="M67" s="68"/>
      <c r="N67" s="46"/>
      <c r="O67" s="46"/>
      <c r="P67" s="46"/>
      <c r="Q67" s="46"/>
      <c r="R67" s="46"/>
      <c r="S67" s="46"/>
      <c r="T67" s="46"/>
      <c r="U67" s="46"/>
      <c r="V67" s="46"/>
      <c r="W67" s="47"/>
    </row>
    <row r="68" spans="1:23" ht="13" x14ac:dyDescent="0.3">
      <c r="A68" s="39">
        <v>46080.622546296298</v>
      </c>
      <c r="B68" s="40" t="s">
        <v>766</v>
      </c>
      <c r="C68" s="40" t="s">
        <v>355</v>
      </c>
      <c r="D68" s="40" t="s">
        <v>354</v>
      </c>
      <c r="E68" s="40" t="s">
        <v>259</v>
      </c>
      <c r="F68" s="40" t="s">
        <v>1072</v>
      </c>
      <c r="G68" s="40" t="s">
        <v>1346</v>
      </c>
      <c r="H68" s="40" t="s">
        <v>7</v>
      </c>
      <c r="I68" s="41" t="s">
        <v>1347</v>
      </c>
      <c r="J68" s="41" t="s">
        <v>1348</v>
      </c>
      <c r="K68" s="69" t="s">
        <v>1349</v>
      </c>
      <c r="L68" s="68"/>
      <c r="M68" s="68"/>
      <c r="N68" s="42"/>
      <c r="O68" s="42"/>
      <c r="P68" s="42"/>
      <c r="Q68" s="42"/>
      <c r="R68" s="42"/>
      <c r="S68" s="42"/>
      <c r="T68" s="42"/>
      <c r="U68" s="42"/>
      <c r="V68" s="42"/>
      <c r="W68" s="43"/>
    </row>
    <row r="69" spans="1:23" ht="13" x14ac:dyDescent="0.3">
      <c r="A69" s="44">
        <v>46080.623472222222</v>
      </c>
      <c r="B69" s="45" t="s">
        <v>816</v>
      </c>
      <c r="C69" s="45" t="s">
        <v>189</v>
      </c>
      <c r="D69" s="45" t="s">
        <v>188</v>
      </c>
      <c r="E69" s="45" t="s">
        <v>28</v>
      </c>
      <c r="F69" s="45" t="s">
        <v>1072</v>
      </c>
      <c r="G69" s="45" t="s">
        <v>1350</v>
      </c>
      <c r="H69" s="45" t="s">
        <v>7</v>
      </c>
      <c r="I69" s="41" t="s">
        <v>1351</v>
      </c>
      <c r="J69" s="41" t="s">
        <v>1352</v>
      </c>
      <c r="K69" s="69" t="s">
        <v>1353</v>
      </c>
      <c r="L69" s="68"/>
      <c r="M69" s="68"/>
      <c r="N69" s="46"/>
      <c r="O69" s="46"/>
      <c r="P69" s="46"/>
      <c r="Q69" s="46"/>
      <c r="R69" s="46"/>
      <c r="S69" s="46"/>
      <c r="T69" s="46"/>
      <c r="U69" s="46"/>
      <c r="V69" s="46"/>
      <c r="W69" s="47"/>
    </row>
    <row r="70" spans="1:23" ht="13" x14ac:dyDescent="0.3">
      <c r="A70" s="39">
        <v>46080.64576388889</v>
      </c>
      <c r="B70" s="40" t="s">
        <v>681</v>
      </c>
      <c r="C70" s="40" t="s">
        <v>279</v>
      </c>
      <c r="D70" s="40" t="s">
        <v>278</v>
      </c>
      <c r="E70" s="40" t="s">
        <v>127</v>
      </c>
      <c r="F70" s="40" t="s">
        <v>1072</v>
      </c>
      <c r="G70" s="40" t="s">
        <v>1354</v>
      </c>
      <c r="H70" s="40" t="s">
        <v>14</v>
      </c>
      <c r="I70" s="41" t="s">
        <v>1355</v>
      </c>
      <c r="J70" s="41" t="s">
        <v>1356</v>
      </c>
      <c r="K70" s="69" t="s">
        <v>1357</v>
      </c>
      <c r="L70" s="68"/>
      <c r="M70" s="68"/>
      <c r="N70" s="42"/>
      <c r="O70" s="42"/>
      <c r="P70" s="42"/>
      <c r="Q70" s="42"/>
      <c r="R70" s="42"/>
      <c r="S70" s="42"/>
      <c r="T70" s="42"/>
      <c r="U70" s="42"/>
      <c r="V70" s="42"/>
      <c r="W70" s="43"/>
    </row>
    <row r="71" spans="1:23" ht="13" x14ac:dyDescent="0.3">
      <c r="A71" s="44">
        <v>46080.647245370368</v>
      </c>
      <c r="B71" s="45" t="s">
        <v>799</v>
      </c>
      <c r="C71" s="45" t="s">
        <v>133</v>
      </c>
      <c r="D71" s="45" t="s">
        <v>132</v>
      </c>
      <c r="E71" s="45" t="s">
        <v>28</v>
      </c>
      <c r="F71" s="45" t="s">
        <v>1072</v>
      </c>
      <c r="G71" s="45" t="s">
        <v>1358</v>
      </c>
      <c r="H71" s="45" t="s">
        <v>7</v>
      </c>
      <c r="I71" s="41" t="s">
        <v>1359</v>
      </c>
      <c r="J71" s="41" t="s">
        <v>1360</v>
      </c>
      <c r="K71" s="69" t="s">
        <v>1361</v>
      </c>
      <c r="L71" s="68"/>
      <c r="M71" s="68"/>
      <c r="N71" s="46"/>
      <c r="O71" s="46"/>
      <c r="P71" s="46"/>
      <c r="Q71" s="46"/>
      <c r="R71" s="46"/>
      <c r="S71" s="46"/>
      <c r="T71" s="46"/>
      <c r="U71" s="46"/>
      <c r="V71" s="46"/>
      <c r="W71" s="47"/>
    </row>
    <row r="72" spans="1:23" ht="13" x14ac:dyDescent="0.3">
      <c r="A72" s="39">
        <v>46080.659814814811</v>
      </c>
      <c r="B72" s="40" t="s">
        <v>707</v>
      </c>
      <c r="C72" s="40" t="s">
        <v>285</v>
      </c>
      <c r="D72" s="40" t="s">
        <v>284</v>
      </c>
      <c r="E72" s="40" t="s">
        <v>259</v>
      </c>
      <c r="F72" s="40" t="s">
        <v>1072</v>
      </c>
      <c r="G72" s="40" t="s">
        <v>1362</v>
      </c>
      <c r="H72" s="40" t="s">
        <v>14</v>
      </c>
      <c r="I72" s="41" t="s">
        <v>1363</v>
      </c>
      <c r="J72" s="41" t="s">
        <v>1364</v>
      </c>
      <c r="K72" s="69" t="s">
        <v>1365</v>
      </c>
      <c r="L72" s="68"/>
      <c r="M72" s="68"/>
      <c r="N72" s="42"/>
      <c r="O72" s="42"/>
      <c r="P72" s="42"/>
      <c r="Q72" s="42"/>
      <c r="R72" s="42"/>
      <c r="S72" s="42"/>
      <c r="T72" s="42"/>
      <c r="U72" s="42"/>
      <c r="V72" s="42"/>
      <c r="W72" s="43"/>
    </row>
    <row r="73" spans="1:23" ht="13" x14ac:dyDescent="0.3">
      <c r="A73" s="44">
        <v>46080.665763888886</v>
      </c>
      <c r="B73" s="45" t="s">
        <v>757</v>
      </c>
      <c r="C73" s="45" t="s">
        <v>351</v>
      </c>
      <c r="D73" s="45" t="s">
        <v>350</v>
      </c>
      <c r="E73" s="45" t="s">
        <v>259</v>
      </c>
      <c r="F73" s="45" t="s">
        <v>1072</v>
      </c>
      <c r="G73" s="45" t="s">
        <v>1366</v>
      </c>
      <c r="H73" s="45" t="s">
        <v>14</v>
      </c>
      <c r="I73" s="41" t="s">
        <v>1367</v>
      </c>
      <c r="J73" s="41" t="s">
        <v>1368</v>
      </c>
      <c r="K73" s="69" t="s">
        <v>1369</v>
      </c>
      <c r="L73" s="68"/>
      <c r="M73" s="68"/>
      <c r="N73" s="46"/>
      <c r="O73" s="46"/>
      <c r="P73" s="46"/>
      <c r="Q73" s="46"/>
      <c r="R73" s="46"/>
      <c r="S73" s="46"/>
      <c r="T73" s="46"/>
      <c r="U73" s="46"/>
      <c r="V73" s="46"/>
      <c r="W73" s="47"/>
    </row>
    <row r="74" spans="1:23" ht="13" x14ac:dyDescent="0.3">
      <c r="A74" s="39">
        <v>46080.665925925925</v>
      </c>
      <c r="B74" s="40" t="s">
        <v>805</v>
      </c>
      <c r="C74" s="40" t="s">
        <v>32</v>
      </c>
      <c r="D74" s="40" t="s">
        <v>31</v>
      </c>
      <c r="E74" s="40" t="s">
        <v>28</v>
      </c>
      <c r="F74" s="40" t="s">
        <v>1072</v>
      </c>
      <c r="G74" s="40" t="s">
        <v>1370</v>
      </c>
      <c r="H74" s="40" t="s">
        <v>7</v>
      </c>
      <c r="I74" s="41" t="s">
        <v>1371</v>
      </c>
      <c r="J74" s="41" t="s">
        <v>1372</v>
      </c>
      <c r="K74" s="69" t="s">
        <v>1373</v>
      </c>
      <c r="L74" s="68"/>
      <c r="M74" s="68"/>
      <c r="N74" s="42"/>
      <c r="O74" s="42"/>
      <c r="P74" s="42"/>
      <c r="Q74" s="42"/>
      <c r="R74" s="42"/>
      <c r="S74" s="42"/>
      <c r="T74" s="42"/>
      <c r="U74" s="42"/>
      <c r="V74" s="42"/>
      <c r="W74" s="43"/>
    </row>
    <row r="75" spans="1:23" ht="13" x14ac:dyDescent="0.3">
      <c r="A75" s="44">
        <v>46080.67900462963</v>
      </c>
      <c r="B75" s="45" t="s">
        <v>634</v>
      </c>
      <c r="C75" s="45" t="s">
        <v>455</v>
      </c>
      <c r="D75" s="45" t="s">
        <v>454</v>
      </c>
      <c r="E75" s="45" t="s">
        <v>127</v>
      </c>
      <c r="F75" s="45" t="s">
        <v>1072</v>
      </c>
      <c r="G75" s="45" t="s">
        <v>1374</v>
      </c>
      <c r="H75" s="45" t="s">
        <v>14</v>
      </c>
      <c r="I75" s="41" t="s">
        <v>1375</v>
      </c>
      <c r="J75" s="41" t="s">
        <v>1376</v>
      </c>
      <c r="K75" s="69" t="s">
        <v>1377</v>
      </c>
      <c r="L75" s="68"/>
      <c r="M75" s="68"/>
      <c r="N75" s="46"/>
      <c r="O75" s="46"/>
      <c r="P75" s="46"/>
      <c r="Q75" s="46"/>
      <c r="R75" s="46"/>
      <c r="S75" s="46"/>
      <c r="T75" s="46"/>
      <c r="U75" s="46"/>
      <c r="V75" s="46"/>
      <c r="W75" s="47"/>
    </row>
    <row r="76" spans="1:23" ht="13" x14ac:dyDescent="0.3">
      <c r="A76" s="39">
        <v>46080.683530092596</v>
      </c>
      <c r="B76" s="40" t="s">
        <v>1378</v>
      </c>
      <c r="C76" s="40" t="s">
        <v>251</v>
      </c>
      <c r="D76" s="40" t="s">
        <v>250</v>
      </c>
      <c r="E76" s="40" t="s">
        <v>1379</v>
      </c>
      <c r="F76" s="40" t="s">
        <v>1072</v>
      </c>
      <c r="G76" s="40" t="s">
        <v>1380</v>
      </c>
      <c r="H76" s="40" t="s">
        <v>14</v>
      </c>
      <c r="I76" s="41" t="s">
        <v>1381</v>
      </c>
      <c r="J76" s="41" t="s">
        <v>1382</v>
      </c>
      <c r="K76" s="69" t="s">
        <v>1383</v>
      </c>
      <c r="L76" s="68"/>
      <c r="M76" s="68"/>
      <c r="N76" s="42"/>
      <c r="O76" s="42"/>
      <c r="P76" s="42"/>
      <c r="Q76" s="42"/>
      <c r="R76" s="42"/>
      <c r="S76" s="42"/>
      <c r="T76" s="42"/>
      <c r="U76" s="42"/>
      <c r="V76" s="42"/>
      <c r="W76" s="43"/>
    </row>
    <row r="77" spans="1:23" ht="13" x14ac:dyDescent="0.3">
      <c r="A77" s="44">
        <v>46080.685879629629</v>
      </c>
      <c r="B77" s="45" t="s">
        <v>650</v>
      </c>
      <c r="C77" s="45" t="s">
        <v>173</v>
      </c>
      <c r="D77" s="45" t="s">
        <v>172</v>
      </c>
      <c r="E77" s="45" t="s">
        <v>127</v>
      </c>
      <c r="F77" s="45" t="s">
        <v>1072</v>
      </c>
      <c r="G77" s="45" t="s">
        <v>1384</v>
      </c>
      <c r="H77" s="45" t="s">
        <v>14</v>
      </c>
      <c r="I77" s="41" t="s">
        <v>1385</v>
      </c>
      <c r="J77" s="41" t="s">
        <v>1386</v>
      </c>
      <c r="K77" s="69" t="s">
        <v>1387</v>
      </c>
      <c r="L77" s="68"/>
      <c r="M77" s="68"/>
      <c r="N77" s="46"/>
      <c r="O77" s="46"/>
      <c r="P77" s="46"/>
      <c r="Q77" s="46"/>
      <c r="R77" s="46"/>
      <c r="S77" s="46"/>
      <c r="T77" s="46"/>
      <c r="U77" s="46"/>
      <c r="V77" s="46"/>
      <c r="W77" s="47"/>
    </row>
    <row r="78" spans="1:23" ht="13" x14ac:dyDescent="0.3">
      <c r="A78" s="39">
        <v>46080.69321759259</v>
      </c>
      <c r="B78" s="40" t="s">
        <v>1388</v>
      </c>
      <c r="C78" s="40" t="s">
        <v>157</v>
      </c>
      <c r="D78" s="40" t="s">
        <v>156</v>
      </c>
      <c r="E78" s="40" t="s">
        <v>28</v>
      </c>
      <c r="F78" s="40" t="s">
        <v>1072</v>
      </c>
      <c r="G78" s="40" t="s">
        <v>1389</v>
      </c>
      <c r="H78" s="40" t="s">
        <v>14</v>
      </c>
      <c r="I78" s="41" t="s">
        <v>1390</v>
      </c>
      <c r="J78" s="41" t="s">
        <v>1391</v>
      </c>
      <c r="K78" s="69" t="s">
        <v>1392</v>
      </c>
      <c r="L78" s="68"/>
      <c r="M78" s="68"/>
      <c r="N78" s="42"/>
      <c r="O78" s="42"/>
      <c r="P78" s="42"/>
      <c r="Q78" s="42"/>
      <c r="R78" s="42"/>
      <c r="S78" s="42"/>
      <c r="T78" s="42"/>
      <c r="U78" s="42"/>
      <c r="V78" s="42"/>
      <c r="W78" s="43"/>
    </row>
    <row r="79" spans="1:23" ht="13" x14ac:dyDescent="0.3">
      <c r="A79" s="44">
        <v>46080.698495370372</v>
      </c>
      <c r="B79" s="45" t="s">
        <v>685</v>
      </c>
      <c r="C79" s="45" t="s">
        <v>281</v>
      </c>
      <c r="D79" s="45" t="s">
        <v>280</v>
      </c>
      <c r="E79" s="45" t="s">
        <v>127</v>
      </c>
      <c r="F79" s="45" t="s">
        <v>1072</v>
      </c>
      <c r="G79" s="45" t="s">
        <v>1393</v>
      </c>
      <c r="H79" s="45" t="s">
        <v>14</v>
      </c>
      <c r="I79" s="41" t="s">
        <v>1394</v>
      </c>
      <c r="J79" s="41" t="s">
        <v>1395</v>
      </c>
      <c r="K79" s="69" t="s">
        <v>1396</v>
      </c>
      <c r="L79" s="68"/>
      <c r="M79" s="68"/>
      <c r="N79" s="46"/>
      <c r="O79" s="46"/>
      <c r="P79" s="46"/>
      <c r="Q79" s="46"/>
      <c r="R79" s="46"/>
      <c r="S79" s="46"/>
      <c r="T79" s="46"/>
      <c r="U79" s="46"/>
      <c r="V79" s="46"/>
      <c r="W79" s="47"/>
    </row>
    <row r="80" spans="1:23" ht="13" x14ac:dyDescent="0.3">
      <c r="A80" s="39">
        <v>46080.704583333332</v>
      </c>
      <c r="B80" s="40" t="s">
        <v>627</v>
      </c>
      <c r="C80" s="40" t="s">
        <v>307</v>
      </c>
      <c r="D80" s="40" t="s">
        <v>306</v>
      </c>
      <c r="E80" s="40" t="s">
        <v>259</v>
      </c>
      <c r="F80" s="40" t="s">
        <v>1072</v>
      </c>
      <c r="G80" s="40" t="s">
        <v>1397</v>
      </c>
      <c r="H80" s="40" t="s">
        <v>7</v>
      </c>
      <c r="I80" s="41" t="s">
        <v>1398</v>
      </c>
      <c r="J80" s="41" t="s">
        <v>1399</v>
      </c>
      <c r="K80" s="69" t="s">
        <v>1400</v>
      </c>
      <c r="L80" s="68"/>
      <c r="M80" s="68"/>
      <c r="N80" s="42"/>
      <c r="O80" s="42"/>
      <c r="P80" s="42"/>
      <c r="Q80" s="42"/>
      <c r="R80" s="42"/>
      <c r="S80" s="42"/>
      <c r="T80" s="42"/>
      <c r="U80" s="42"/>
      <c r="V80" s="42"/>
      <c r="W80" s="43"/>
    </row>
    <row r="81" spans="1:23" ht="13" x14ac:dyDescent="0.3">
      <c r="A81" s="44">
        <v>46080.706307870372</v>
      </c>
      <c r="B81" s="45" t="s">
        <v>1401</v>
      </c>
      <c r="C81" s="45" t="s">
        <v>443</v>
      </c>
      <c r="D81" s="45" t="s">
        <v>442</v>
      </c>
      <c r="E81" s="45" t="s">
        <v>252</v>
      </c>
      <c r="F81" s="45" t="s">
        <v>1072</v>
      </c>
      <c r="G81" s="45" t="s">
        <v>1402</v>
      </c>
      <c r="H81" s="45" t="s">
        <v>14</v>
      </c>
      <c r="I81" s="41" t="s">
        <v>1403</v>
      </c>
      <c r="J81" s="41" t="s">
        <v>1404</v>
      </c>
      <c r="K81" s="69" t="s">
        <v>1405</v>
      </c>
      <c r="L81" s="68"/>
      <c r="M81" s="68"/>
      <c r="N81" s="46"/>
      <c r="O81" s="46"/>
      <c r="P81" s="46"/>
      <c r="Q81" s="46"/>
      <c r="R81" s="46"/>
      <c r="S81" s="46"/>
      <c r="T81" s="46"/>
      <c r="U81" s="46"/>
      <c r="V81" s="46"/>
      <c r="W81" s="47"/>
    </row>
    <row r="82" spans="1:23" ht="13" x14ac:dyDescent="0.3">
      <c r="A82" s="39">
        <v>46080.707511574074</v>
      </c>
      <c r="B82" s="40" t="s">
        <v>632</v>
      </c>
      <c r="C82" s="40" t="s">
        <v>451</v>
      </c>
      <c r="D82" s="40" t="s">
        <v>450</v>
      </c>
      <c r="E82" s="40" t="s">
        <v>127</v>
      </c>
      <c r="F82" s="40" t="s">
        <v>1072</v>
      </c>
      <c r="G82" s="40" t="s">
        <v>1406</v>
      </c>
      <c r="H82" s="40" t="s">
        <v>14</v>
      </c>
      <c r="I82" s="41" t="s">
        <v>1407</v>
      </c>
      <c r="J82" s="41" t="s">
        <v>1408</v>
      </c>
      <c r="K82" s="69" t="s">
        <v>1409</v>
      </c>
      <c r="L82" s="68"/>
      <c r="M82" s="68"/>
      <c r="N82" s="42"/>
      <c r="O82" s="42"/>
      <c r="P82" s="42"/>
      <c r="Q82" s="42"/>
      <c r="R82" s="42"/>
      <c r="S82" s="42"/>
      <c r="T82" s="42"/>
      <c r="U82" s="42"/>
      <c r="V82" s="42"/>
      <c r="W82" s="43"/>
    </row>
    <row r="83" spans="1:23" ht="13" x14ac:dyDescent="0.3">
      <c r="A83" s="44">
        <v>46080.712465277778</v>
      </c>
      <c r="B83" s="45" t="s">
        <v>675</v>
      </c>
      <c r="C83" s="45" t="s">
        <v>1410</v>
      </c>
      <c r="D83" s="45" t="s">
        <v>314</v>
      </c>
      <c r="E83" s="45" t="s">
        <v>259</v>
      </c>
      <c r="F83" s="45" t="s">
        <v>1072</v>
      </c>
      <c r="G83" s="45" t="s">
        <v>1411</v>
      </c>
      <c r="H83" s="45" t="s">
        <v>14</v>
      </c>
      <c r="I83" s="41" t="s">
        <v>1412</v>
      </c>
      <c r="J83" s="41" t="s">
        <v>1413</v>
      </c>
      <c r="K83" s="69" t="s">
        <v>1414</v>
      </c>
      <c r="L83" s="68"/>
      <c r="M83" s="68"/>
      <c r="N83" s="46"/>
      <c r="O83" s="46"/>
      <c r="P83" s="46"/>
      <c r="Q83" s="46"/>
      <c r="R83" s="46"/>
      <c r="S83" s="46"/>
      <c r="T83" s="46"/>
      <c r="U83" s="46"/>
      <c r="V83" s="46"/>
      <c r="W83" s="47"/>
    </row>
    <row r="84" spans="1:23" ht="13" x14ac:dyDescent="0.3">
      <c r="A84" s="39">
        <v>46080.714942129627</v>
      </c>
      <c r="B84" s="40" t="s">
        <v>717</v>
      </c>
      <c r="C84" s="40" t="s">
        <v>337</v>
      </c>
      <c r="D84" s="40" t="s">
        <v>336</v>
      </c>
      <c r="E84" s="40" t="s">
        <v>259</v>
      </c>
      <c r="F84" s="40" t="s">
        <v>1072</v>
      </c>
      <c r="G84" s="40" t="s">
        <v>1415</v>
      </c>
      <c r="H84" s="40" t="s">
        <v>14</v>
      </c>
      <c r="I84" s="41" t="s">
        <v>1416</v>
      </c>
      <c r="J84" s="41" t="s">
        <v>1417</v>
      </c>
      <c r="K84" s="69" t="s">
        <v>1418</v>
      </c>
      <c r="L84" s="68"/>
      <c r="M84" s="68"/>
      <c r="N84" s="42"/>
      <c r="O84" s="42"/>
      <c r="P84" s="42"/>
      <c r="Q84" s="42"/>
      <c r="R84" s="42"/>
      <c r="S84" s="42"/>
      <c r="T84" s="42"/>
      <c r="U84" s="42"/>
      <c r="V84" s="42"/>
      <c r="W84" s="43"/>
    </row>
    <row r="85" spans="1:23" ht="13" x14ac:dyDescent="0.3">
      <c r="A85" s="44">
        <v>46080.717465277776</v>
      </c>
      <c r="B85" s="45" t="s">
        <v>624</v>
      </c>
      <c r="C85" s="45" t="s">
        <v>261</v>
      </c>
      <c r="D85" s="45" t="s">
        <v>260</v>
      </c>
      <c r="E85" s="45" t="s">
        <v>259</v>
      </c>
      <c r="F85" s="45" t="s">
        <v>1072</v>
      </c>
      <c r="G85" s="45" t="s">
        <v>1419</v>
      </c>
      <c r="H85" s="45" t="s">
        <v>7</v>
      </c>
      <c r="I85" s="41" t="s">
        <v>1420</v>
      </c>
      <c r="J85" s="41" t="s">
        <v>1421</v>
      </c>
      <c r="K85" s="69" t="s">
        <v>1422</v>
      </c>
      <c r="L85" s="68"/>
      <c r="M85" s="68"/>
      <c r="N85" s="46"/>
      <c r="O85" s="46"/>
      <c r="P85" s="46"/>
      <c r="Q85" s="46"/>
      <c r="R85" s="46"/>
      <c r="S85" s="46"/>
      <c r="T85" s="46"/>
      <c r="U85" s="46"/>
      <c r="V85" s="46"/>
      <c r="W85" s="47"/>
    </row>
    <row r="86" spans="1:23" ht="13" x14ac:dyDescent="0.3">
      <c r="A86" s="39">
        <v>46080.723761574074</v>
      </c>
      <c r="B86" s="40" t="s">
        <v>1423</v>
      </c>
      <c r="C86" s="40" t="s">
        <v>255</v>
      </c>
      <c r="D86" s="40" t="s">
        <v>254</v>
      </c>
      <c r="E86" s="40" t="s">
        <v>256</v>
      </c>
      <c r="F86" s="40" t="s">
        <v>1072</v>
      </c>
      <c r="G86" s="40" t="s">
        <v>1424</v>
      </c>
      <c r="H86" s="40" t="s">
        <v>14</v>
      </c>
      <c r="I86" s="41" t="s">
        <v>1425</v>
      </c>
      <c r="J86" s="41" t="s">
        <v>1426</v>
      </c>
      <c r="K86" s="69" t="s">
        <v>1427</v>
      </c>
      <c r="L86" s="68"/>
      <c r="M86" s="68"/>
      <c r="N86" s="42"/>
      <c r="O86" s="42"/>
      <c r="P86" s="42"/>
      <c r="Q86" s="42"/>
      <c r="R86" s="42"/>
      <c r="S86" s="42"/>
      <c r="T86" s="42"/>
      <c r="U86" s="42"/>
      <c r="V86" s="42"/>
      <c r="W86" s="43"/>
    </row>
    <row r="87" spans="1:23" ht="13" x14ac:dyDescent="0.3">
      <c r="A87" s="44">
        <v>46080.729953703703</v>
      </c>
      <c r="B87" s="45" t="s">
        <v>780</v>
      </c>
      <c r="C87" s="45" t="s">
        <v>493</v>
      </c>
      <c r="D87" s="45" t="s">
        <v>492</v>
      </c>
      <c r="E87" s="45" t="s">
        <v>611</v>
      </c>
      <c r="F87" s="45" t="s">
        <v>1072</v>
      </c>
      <c r="G87" s="45" t="s">
        <v>597</v>
      </c>
      <c r="H87" s="45" t="s">
        <v>7</v>
      </c>
      <c r="I87" s="41" t="s">
        <v>1428</v>
      </c>
      <c r="J87" s="41" t="s">
        <v>1429</v>
      </c>
      <c r="K87" s="69" t="s">
        <v>1430</v>
      </c>
      <c r="L87" s="68"/>
      <c r="M87" s="68"/>
      <c r="N87" s="46"/>
      <c r="O87" s="46"/>
      <c r="P87" s="46"/>
      <c r="Q87" s="46"/>
      <c r="R87" s="46"/>
      <c r="S87" s="46"/>
      <c r="T87" s="46"/>
      <c r="U87" s="46"/>
      <c r="V87" s="46"/>
      <c r="W87" s="47"/>
    </row>
    <row r="88" spans="1:23" ht="13" x14ac:dyDescent="0.3">
      <c r="A88" s="39">
        <v>46080.734363425923</v>
      </c>
      <c r="B88" s="40" t="s">
        <v>654</v>
      </c>
      <c r="C88" s="40" t="s">
        <v>175</v>
      </c>
      <c r="D88" s="40" t="s">
        <v>174</v>
      </c>
      <c r="E88" s="40" t="s">
        <v>127</v>
      </c>
      <c r="F88" s="40" t="s">
        <v>1072</v>
      </c>
      <c r="G88" s="40" t="s">
        <v>1431</v>
      </c>
      <c r="H88" s="40" t="s">
        <v>14</v>
      </c>
      <c r="I88" s="41" t="s">
        <v>1432</v>
      </c>
      <c r="J88" s="41" t="s">
        <v>1433</v>
      </c>
      <c r="K88" s="69" t="s">
        <v>1434</v>
      </c>
      <c r="L88" s="68"/>
      <c r="M88" s="68"/>
      <c r="N88" s="42"/>
      <c r="O88" s="42"/>
      <c r="P88" s="42"/>
      <c r="Q88" s="42"/>
      <c r="R88" s="42"/>
      <c r="S88" s="42"/>
      <c r="T88" s="42"/>
      <c r="U88" s="42"/>
      <c r="V88" s="42"/>
      <c r="W88" s="43"/>
    </row>
    <row r="89" spans="1:23" ht="13" x14ac:dyDescent="0.3">
      <c r="A89" s="44">
        <v>46080.735439814816</v>
      </c>
      <c r="B89" s="45" t="s">
        <v>770</v>
      </c>
      <c r="C89" s="45" t="s">
        <v>155</v>
      </c>
      <c r="D89" s="45" t="s">
        <v>154</v>
      </c>
      <c r="E89" s="45" t="s">
        <v>127</v>
      </c>
      <c r="F89" s="45" t="s">
        <v>1072</v>
      </c>
      <c r="G89" s="45" t="s">
        <v>1435</v>
      </c>
      <c r="H89" s="45" t="s">
        <v>14</v>
      </c>
      <c r="I89" s="41" t="s">
        <v>1436</v>
      </c>
      <c r="J89" s="41" t="s">
        <v>1437</v>
      </c>
      <c r="K89" s="69" t="s">
        <v>1438</v>
      </c>
      <c r="L89" s="68"/>
      <c r="M89" s="68"/>
      <c r="N89" s="46"/>
      <c r="O89" s="46"/>
      <c r="P89" s="46"/>
      <c r="Q89" s="46"/>
      <c r="R89" s="46"/>
      <c r="S89" s="46"/>
      <c r="T89" s="46"/>
      <c r="U89" s="46"/>
      <c r="V89" s="46"/>
      <c r="W89" s="47"/>
    </row>
    <row r="90" spans="1:23" ht="13" x14ac:dyDescent="0.3">
      <c r="A90" s="39">
        <v>46080.741064814814</v>
      </c>
      <c r="B90" s="40" t="s">
        <v>663</v>
      </c>
      <c r="C90" s="40" t="s">
        <v>273</v>
      </c>
      <c r="D90" s="40" t="s">
        <v>272</v>
      </c>
      <c r="E90" s="40" t="s">
        <v>259</v>
      </c>
      <c r="F90" s="40" t="s">
        <v>1072</v>
      </c>
      <c r="G90" s="40" t="s">
        <v>1439</v>
      </c>
      <c r="H90" s="40" t="s">
        <v>14</v>
      </c>
      <c r="I90" s="41" t="s">
        <v>1440</v>
      </c>
      <c r="J90" s="41" t="s">
        <v>1441</v>
      </c>
      <c r="K90" s="69" t="s">
        <v>1442</v>
      </c>
      <c r="L90" s="68"/>
      <c r="M90" s="68"/>
      <c r="N90" s="42"/>
      <c r="O90" s="42"/>
      <c r="P90" s="42"/>
      <c r="Q90" s="42"/>
      <c r="R90" s="42"/>
      <c r="S90" s="42"/>
      <c r="T90" s="42"/>
      <c r="U90" s="42"/>
      <c r="V90" s="42"/>
      <c r="W90" s="43"/>
    </row>
    <row r="91" spans="1:23" ht="13" x14ac:dyDescent="0.3">
      <c r="A91" s="44">
        <v>46080.745763888888</v>
      </c>
      <c r="B91" s="45" t="s">
        <v>709</v>
      </c>
      <c r="C91" s="45" t="s">
        <v>471</v>
      </c>
      <c r="D91" s="45" t="s">
        <v>470</v>
      </c>
      <c r="E91" s="45" t="s">
        <v>127</v>
      </c>
      <c r="F91" s="45" t="s">
        <v>1072</v>
      </c>
      <c r="G91" s="45" t="s">
        <v>1443</v>
      </c>
      <c r="H91" s="45" t="s">
        <v>14</v>
      </c>
      <c r="I91" s="41" t="s">
        <v>1444</v>
      </c>
      <c r="J91" s="41" t="s">
        <v>1445</v>
      </c>
      <c r="K91" s="69" t="s">
        <v>1446</v>
      </c>
      <c r="L91" s="68"/>
      <c r="M91" s="68"/>
      <c r="N91" s="46"/>
      <c r="O91" s="46"/>
      <c r="P91" s="46"/>
      <c r="Q91" s="46"/>
      <c r="R91" s="46"/>
      <c r="S91" s="46"/>
      <c r="T91" s="46"/>
      <c r="U91" s="46"/>
      <c r="V91" s="46"/>
      <c r="W91" s="47"/>
    </row>
    <row r="92" spans="1:23" ht="13" x14ac:dyDescent="0.3">
      <c r="A92" s="39">
        <v>46080.758217592593</v>
      </c>
      <c r="B92" s="40" t="s">
        <v>804</v>
      </c>
      <c r="C92" s="40" t="s">
        <v>30</v>
      </c>
      <c r="D92" s="40" t="s">
        <v>29</v>
      </c>
      <c r="E92" s="40" t="s">
        <v>28</v>
      </c>
      <c r="F92" s="40" t="s">
        <v>1072</v>
      </c>
      <c r="G92" s="40" t="s">
        <v>1447</v>
      </c>
      <c r="H92" s="40" t="s">
        <v>14</v>
      </c>
      <c r="I92" s="41" t="s">
        <v>1448</v>
      </c>
      <c r="J92" s="41" t="s">
        <v>1449</v>
      </c>
      <c r="K92" s="69" t="s">
        <v>1450</v>
      </c>
      <c r="L92" s="68"/>
      <c r="M92" s="68"/>
      <c r="N92" s="42"/>
      <c r="O92" s="42"/>
      <c r="P92" s="42"/>
      <c r="Q92" s="42"/>
      <c r="R92" s="42"/>
      <c r="S92" s="42"/>
      <c r="T92" s="42"/>
      <c r="U92" s="42"/>
      <c r="V92" s="42"/>
      <c r="W92" s="43"/>
    </row>
    <row r="93" spans="1:23" ht="13" x14ac:dyDescent="0.3">
      <c r="A93" s="44">
        <v>46080.759791666664</v>
      </c>
      <c r="B93" s="45" t="s">
        <v>745</v>
      </c>
      <c r="C93" s="45" t="s">
        <v>503</v>
      </c>
      <c r="D93" s="45" t="s">
        <v>502</v>
      </c>
      <c r="E93" s="45" t="s">
        <v>127</v>
      </c>
      <c r="F93" s="45" t="s">
        <v>1072</v>
      </c>
      <c r="G93" s="45" t="s">
        <v>1451</v>
      </c>
      <c r="H93" s="45" t="s">
        <v>14</v>
      </c>
      <c r="I93" s="41" t="s">
        <v>1452</v>
      </c>
      <c r="J93" s="41" t="s">
        <v>1453</v>
      </c>
      <c r="K93" s="69" t="s">
        <v>1454</v>
      </c>
      <c r="L93" s="68"/>
      <c r="M93" s="68"/>
      <c r="N93" s="46"/>
      <c r="O93" s="46"/>
      <c r="P93" s="46"/>
      <c r="Q93" s="46"/>
      <c r="R93" s="46"/>
      <c r="S93" s="46"/>
      <c r="T93" s="46"/>
      <c r="U93" s="46"/>
      <c r="V93" s="46"/>
      <c r="W93" s="47"/>
    </row>
    <row r="94" spans="1:23" ht="13" x14ac:dyDescent="0.3">
      <c r="A94" s="39">
        <v>46080.79310185185</v>
      </c>
      <c r="B94" s="40" t="s">
        <v>640</v>
      </c>
      <c r="C94" s="40" t="s">
        <v>265</v>
      </c>
      <c r="D94" s="40" t="s">
        <v>264</v>
      </c>
      <c r="E94" s="40" t="s">
        <v>259</v>
      </c>
      <c r="F94" s="40" t="s">
        <v>1072</v>
      </c>
      <c r="G94" s="40" t="s">
        <v>1455</v>
      </c>
      <c r="H94" s="40" t="s">
        <v>7</v>
      </c>
      <c r="I94" s="41" t="s">
        <v>1456</v>
      </c>
      <c r="J94" s="41" t="s">
        <v>1457</v>
      </c>
      <c r="K94" s="69" t="s">
        <v>1458</v>
      </c>
      <c r="L94" s="68"/>
      <c r="M94" s="68"/>
      <c r="N94" s="42"/>
      <c r="O94" s="42"/>
      <c r="P94" s="42"/>
      <c r="Q94" s="42"/>
      <c r="R94" s="42"/>
      <c r="S94" s="42"/>
      <c r="T94" s="42"/>
      <c r="U94" s="42"/>
      <c r="V94" s="42"/>
      <c r="W94" s="43"/>
    </row>
    <row r="95" spans="1:23" ht="13" x14ac:dyDescent="0.3">
      <c r="A95" s="44">
        <v>46080.819201388891</v>
      </c>
      <c r="B95" s="45" t="s">
        <v>730</v>
      </c>
      <c r="C95" s="45" t="s">
        <v>347</v>
      </c>
      <c r="D95" s="45" t="s">
        <v>346</v>
      </c>
      <c r="E95" s="45" t="s">
        <v>1241</v>
      </c>
      <c r="F95" s="45" t="s">
        <v>1072</v>
      </c>
      <c r="G95" s="45" t="s">
        <v>1459</v>
      </c>
      <c r="H95" s="45" t="s">
        <v>14</v>
      </c>
      <c r="I95" s="41" t="s">
        <v>1460</v>
      </c>
      <c r="J95" s="41" t="s">
        <v>1461</v>
      </c>
      <c r="K95" s="69" t="s">
        <v>1462</v>
      </c>
      <c r="L95" s="68"/>
      <c r="M95" s="68"/>
      <c r="N95" s="46"/>
      <c r="O95" s="46"/>
      <c r="P95" s="46"/>
      <c r="Q95" s="46"/>
      <c r="R95" s="46"/>
      <c r="S95" s="46"/>
      <c r="T95" s="46"/>
      <c r="U95" s="46"/>
      <c r="V95" s="46"/>
      <c r="W95" s="47"/>
    </row>
    <row r="96" spans="1:23" ht="13" x14ac:dyDescent="0.3">
      <c r="A96" s="39">
        <v>46080.821053240739</v>
      </c>
      <c r="B96" s="40" t="s">
        <v>625</v>
      </c>
      <c r="C96" s="40" t="s">
        <v>263</v>
      </c>
      <c r="D96" s="40" t="s">
        <v>262</v>
      </c>
      <c r="E96" s="40" t="s">
        <v>259</v>
      </c>
      <c r="F96" s="40" t="s">
        <v>1072</v>
      </c>
      <c r="G96" s="40" t="s">
        <v>1463</v>
      </c>
      <c r="H96" s="40" t="s">
        <v>14</v>
      </c>
      <c r="I96" s="41" t="s">
        <v>1464</v>
      </c>
      <c r="J96" s="41" t="s">
        <v>1465</v>
      </c>
      <c r="K96" s="69" t="s">
        <v>1466</v>
      </c>
      <c r="L96" s="68"/>
      <c r="M96" s="68"/>
      <c r="N96" s="42"/>
      <c r="O96" s="42"/>
      <c r="P96" s="42"/>
      <c r="Q96" s="42"/>
      <c r="R96" s="42"/>
      <c r="S96" s="42"/>
      <c r="T96" s="42"/>
      <c r="U96" s="42"/>
      <c r="V96" s="42"/>
      <c r="W96" s="43"/>
    </row>
    <row r="97" spans="1:23" ht="13" x14ac:dyDescent="0.3">
      <c r="A97" s="44">
        <v>46080.825092592589</v>
      </c>
      <c r="B97" s="45" t="s">
        <v>727</v>
      </c>
      <c r="C97" s="45" t="s">
        <v>343</v>
      </c>
      <c r="D97" s="45" t="s">
        <v>342</v>
      </c>
      <c r="E97" s="45" t="s">
        <v>259</v>
      </c>
      <c r="F97" s="45" t="s">
        <v>1072</v>
      </c>
      <c r="G97" s="45" t="s">
        <v>1467</v>
      </c>
      <c r="H97" s="45" t="s">
        <v>14</v>
      </c>
      <c r="I97" s="41" t="s">
        <v>1468</v>
      </c>
      <c r="J97" s="41" t="s">
        <v>1469</v>
      </c>
      <c r="K97" s="69" t="s">
        <v>1470</v>
      </c>
      <c r="L97" s="68"/>
      <c r="M97" s="68"/>
      <c r="N97" s="46"/>
      <c r="O97" s="46"/>
      <c r="P97" s="46"/>
      <c r="Q97" s="46"/>
      <c r="R97" s="46"/>
      <c r="S97" s="46"/>
      <c r="T97" s="46"/>
      <c r="U97" s="46"/>
      <c r="V97" s="46"/>
      <c r="W97" s="47"/>
    </row>
    <row r="98" spans="1:23" ht="13" x14ac:dyDescent="0.3">
      <c r="A98" s="39">
        <v>46080.826342592591</v>
      </c>
      <c r="B98" s="40" t="s">
        <v>817</v>
      </c>
      <c r="C98" s="40" t="s">
        <v>106</v>
      </c>
      <c r="D98" s="40" t="s">
        <v>105</v>
      </c>
      <c r="E98" s="40" t="s">
        <v>28</v>
      </c>
      <c r="F98" s="40" t="s">
        <v>1072</v>
      </c>
      <c r="G98" s="40" t="s">
        <v>1471</v>
      </c>
      <c r="H98" s="40" t="s">
        <v>14</v>
      </c>
      <c r="I98" s="41" t="s">
        <v>1472</v>
      </c>
      <c r="J98" s="41" t="s">
        <v>1473</v>
      </c>
      <c r="K98" s="69" t="s">
        <v>1474</v>
      </c>
      <c r="L98" s="68"/>
      <c r="M98" s="68"/>
      <c r="N98" s="42"/>
      <c r="O98" s="42"/>
      <c r="P98" s="42"/>
      <c r="Q98" s="42"/>
      <c r="R98" s="42"/>
      <c r="S98" s="42"/>
      <c r="T98" s="42"/>
      <c r="U98" s="42"/>
      <c r="V98" s="42"/>
      <c r="W98" s="43"/>
    </row>
    <row r="99" spans="1:23" ht="13" x14ac:dyDescent="0.3">
      <c r="A99" s="44">
        <v>46080.830023148148</v>
      </c>
      <c r="B99" s="45" t="s">
        <v>765</v>
      </c>
      <c r="C99" s="45" t="s">
        <v>150</v>
      </c>
      <c r="D99" s="45" t="s">
        <v>149</v>
      </c>
      <c r="E99" s="45" t="s">
        <v>127</v>
      </c>
      <c r="F99" s="45" t="s">
        <v>1072</v>
      </c>
      <c r="G99" s="45" t="s">
        <v>1475</v>
      </c>
      <c r="H99" s="45" t="s">
        <v>14</v>
      </c>
      <c r="I99" s="41" t="s">
        <v>1476</v>
      </c>
      <c r="J99" s="41" t="s">
        <v>1477</v>
      </c>
      <c r="K99" s="69" t="s">
        <v>1478</v>
      </c>
      <c r="L99" s="68"/>
      <c r="M99" s="68"/>
      <c r="N99" s="46"/>
      <c r="O99" s="46"/>
      <c r="P99" s="46"/>
      <c r="Q99" s="46"/>
      <c r="R99" s="46"/>
      <c r="S99" s="46"/>
      <c r="T99" s="46"/>
      <c r="U99" s="46"/>
      <c r="V99" s="46"/>
      <c r="W99" s="47"/>
    </row>
    <row r="100" spans="1:23" ht="13" x14ac:dyDescent="0.3">
      <c r="A100" s="39">
        <v>46080.830370370371</v>
      </c>
      <c r="B100" s="40" t="s">
        <v>792</v>
      </c>
      <c r="C100" s="40" t="s">
        <v>375</v>
      </c>
      <c r="D100" s="40" t="s">
        <v>374</v>
      </c>
      <c r="E100" s="40" t="s">
        <v>28</v>
      </c>
      <c r="F100" s="40" t="s">
        <v>1072</v>
      </c>
      <c r="G100" s="40" t="s">
        <v>1479</v>
      </c>
      <c r="H100" s="40" t="s">
        <v>7</v>
      </c>
      <c r="I100" s="41" t="s">
        <v>1480</v>
      </c>
      <c r="J100" s="41" t="s">
        <v>1481</v>
      </c>
      <c r="K100" s="69" t="s">
        <v>1482</v>
      </c>
      <c r="L100" s="68"/>
      <c r="M100" s="68"/>
      <c r="N100" s="42"/>
      <c r="O100" s="42"/>
      <c r="P100" s="42"/>
      <c r="Q100" s="42"/>
      <c r="R100" s="42"/>
      <c r="S100" s="42"/>
      <c r="T100" s="42"/>
      <c r="U100" s="42"/>
      <c r="V100" s="42"/>
      <c r="W100" s="43"/>
    </row>
    <row r="101" spans="1:23" ht="13" x14ac:dyDescent="0.3">
      <c r="A101" s="44">
        <v>46080.850057870368</v>
      </c>
      <c r="B101" s="45" t="s">
        <v>642</v>
      </c>
      <c r="C101" s="45" t="s">
        <v>497</v>
      </c>
      <c r="D101" s="45" t="s">
        <v>496</v>
      </c>
      <c r="E101" s="45" t="s">
        <v>127</v>
      </c>
      <c r="F101" s="45" t="s">
        <v>1072</v>
      </c>
      <c r="G101" s="45" t="s">
        <v>1483</v>
      </c>
      <c r="H101" s="45" t="s">
        <v>14</v>
      </c>
      <c r="I101" s="41" t="s">
        <v>1484</v>
      </c>
      <c r="J101" s="41" t="s">
        <v>1485</v>
      </c>
      <c r="K101" s="69" t="s">
        <v>1486</v>
      </c>
      <c r="L101" s="68"/>
      <c r="M101" s="68"/>
      <c r="N101" s="46"/>
      <c r="O101" s="46"/>
      <c r="P101" s="46"/>
      <c r="Q101" s="46"/>
      <c r="R101" s="46"/>
      <c r="S101" s="46"/>
      <c r="T101" s="46"/>
      <c r="U101" s="46"/>
      <c r="V101" s="46"/>
      <c r="W101" s="47"/>
    </row>
    <row r="102" spans="1:23" ht="13" x14ac:dyDescent="0.3">
      <c r="A102" s="39">
        <v>46080.855914351851</v>
      </c>
      <c r="B102" s="40" t="s">
        <v>633</v>
      </c>
      <c r="C102" s="40" t="s">
        <v>453</v>
      </c>
      <c r="D102" s="40" t="s">
        <v>452</v>
      </c>
      <c r="E102" s="40" t="s">
        <v>127</v>
      </c>
      <c r="F102" s="40" t="s">
        <v>1072</v>
      </c>
      <c r="G102" s="40" t="s">
        <v>1487</v>
      </c>
      <c r="H102" s="40" t="s">
        <v>14</v>
      </c>
      <c r="I102" s="41" t="s">
        <v>1488</v>
      </c>
      <c r="J102" s="41" t="s">
        <v>1489</v>
      </c>
      <c r="K102" s="69" t="s">
        <v>1490</v>
      </c>
      <c r="L102" s="68"/>
      <c r="M102" s="68"/>
      <c r="N102" s="42"/>
      <c r="O102" s="42"/>
      <c r="P102" s="42"/>
      <c r="Q102" s="42"/>
      <c r="R102" s="42"/>
      <c r="S102" s="42"/>
      <c r="T102" s="42"/>
      <c r="U102" s="42"/>
      <c r="V102" s="42"/>
      <c r="W102" s="43"/>
    </row>
    <row r="103" spans="1:23" ht="13" x14ac:dyDescent="0.3">
      <c r="A103" s="44">
        <v>46080.862546296295</v>
      </c>
      <c r="B103" s="45" t="s">
        <v>616</v>
      </c>
      <c r="C103" s="45" t="s">
        <v>304</v>
      </c>
      <c r="D103" s="45" t="s">
        <v>303</v>
      </c>
      <c r="E103" s="45" t="s">
        <v>259</v>
      </c>
      <c r="F103" s="45" t="s">
        <v>1072</v>
      </c>
      <c r="G103" s="45" t="s">
        <v>1491</v>
      </c>
      <c r="H103" s="45" t="s">
        <v>7</v>
      </c>
      <c r="I103" s="41" t="s">
        <v>1492</v>
      </c>
      <c r="J103" s="41" t="s">
        <v>1493</v>
      </c>
      <c r="K103" s="69" t="s">
        <v>1494</v>
      </c>
      <c r="L103" s="68"/>
      <c r="M103" s="68"/>
      <c r="N103" s="46"/>
      <c r="O103" s="46"/>
      <c r="P103" s="46"/>
      <c r="Q103" s="46"/>
      <c r="R103" s="46"/>
      <c r="S103" s="46"/>
      <c r="T103" s="46"/>
      <c r="U103" s="46"/>
      <c r="V103" s="46"/>
      <c r="W103" s="47"/>
    </row>
    <row r="104" spans="1:23" ht="13" x14ac:dyDescent="0.3">
      <c r="A104" s="39">
        <v>46080.870069444441</v>
      </c>
      <c r="B104" s="40" t="s">
        <v>769</v>
      </c>
      <c r="C104" s="40" t="s">
        <v>357</v>
      </c>
      <c r="D104" s="40" t="s">
        <v>356</v>
      </c>
      <c r="E104" s="40" t="s">
        <v>259</v>
      </c>
      <c r="F104" s="40" t="s">
        <v>1072</v>
      </c>
      <c r="G104" s="40" t="s">
        <v>1495</v>
      </c>
      <c r="H104" s="40" t="s">
        <v>14</v>
      </c>
      <c r="I104" s="41" t="s">
        <v>1496</v>
      </c>
      <c r="J104" s="41" t="s">
        <v>1497</v>
      </c>
      <c r="K104" s="69" t="s">
        <v>1498</v>
      </c>
      <c r="L104" s="68"/>
      <c r="M104" s="68"/>
      <c r="N104" s="42"/>
      <c r="O104" s="42"/>
      <c r="P104" s="42"/>
      <c r="Q104" s="42"/>
      <c r="R104" s="42"/>
      <c r="S104" s="42"/>
      <c r="T104" s="42"/>
      <c r="U104" s="42"/>
      <c r="V104" s="42"/>
      <c r="W104" s="43"/>
    </row>
    <row r="105" spans="1:23" ht="13" x14ac:dyDescent="0.3">
      <c r="A105" s="44">
        <v>46080.898229166669</v>
      </c>
      <c r="B105" s="45" t="s">
        <v>807</v>
      </c>
      <c r="C105" s="45" t="s">
        <v>34</v>
      </c>
      <c r="D105" s="45" t="s">
        <v>33</v>
      </c>
      <c r="E105" s="45" t="s">
        <v>28</v>
      </c>
      <c r="F105" s="45" t="s">
        <v>1072</v>
      </c>
      <c r="G105" s="45" t="s">
        <v>1499</v>
      </c>
      <c r="H105" s="45" t="s">
        <v>7</v>
      </c>
      <c r="I105" s="41" t="s">
        <v>1500</v>
      </c>
      <c r="J105" s="41" t="s">
        <v>1501</v>
      </c>
      <c r="K105" s="69" t="s">
        <v>1502</v>
      </c>
      <c r="L105" s="68"/>
      <c r="M105" s="68"/>
      <c r="N105" s="46"/>
      <c r="O105" s="46"/>
      <c r="P105" s="46"/>
      <c r="Q105" s="46"/>
      <c r="R105" s="46"/>
      <c r="S105" s="46"/>
      <c r="T105" s="46"/>
      <c r="U105" s="46"/>
      <c r="V105" s="46"/>
      <c r="W105" s="47"/>
    </row>
    <row r="106" spans="1:23" ht="13" x14ac:dyDescent="0.3">
      <c r="A106" s="39">
        <v>46080.916585648149</v>
      </c>
      <c r="B106" s="40" t="s">
        <v>648</v>
      </c>
      <c r="C106" s="40" t="s">
        <v>170</v>
      </c>
      <c r="D106" s="40" t="s">
        <v>169</v>
      </c>
      <c r="E106" s="40" t="s">
        <v>127</v>
      </c>
      <c r="F106" s="40" t="s">
        <v>1072</v>
      </c>
      <c r="G106" s="40" t="s">
        <v>1503</v>
      </c>
      <c r="H106" s="40" t="s">
        <v>14</v>
      </c>
      <c r="I106" s="41" t="s">
        <v>1504</v>
      </c>
      <c r="J106" s="41" t="s">
        <v>1505</v>
      </c>
      <c r="K106" s="69" t="s">
        <v>1506</v>
      </c>
      <c r="L106" s="68"/>
      <c r="M106" s="68"/>
      <c r="N106" s="42"/>
      <c r="O106" s="42"/>
      <c r="P106" s="42"/>
      <c r="Q106" s="42"/>
      <c r="R106" s="42"/>
      <c r="S106" s="42"/>
      <c r="T106" s="42"/>
      <c r="U106" s="42"/>
      <c r="V106" s="42"/>
      <c r="W106" s="43"/>
    </row>
    <row r="107" spans="1:23" ht="13" x14ac:dyDescent="0.3">
      <c r="A107" s="44">
        <v>46080.921886574077</v>
      </c>
      <c r="B107" s="45" t="s">
        <v>752</v>
      </c>
      <c r="C107" s="45" t="s">
        <v>126</v>
      </c>
      <c r="D107" s="45" t="s">
        <v>125</v>
      </c>
      <c r="E107" s="45" t="s">
        <v>127</v>
      </c>
      <c r="F107" s="45" t="s">
        <v>1072</v>
      </c>
      <c r="G107" s="45" t="s">
        <v>1507</v>
      </c>
      <c r="H107" s="45" t="s">
        <v>14</v>
      </c>
      <c r="I107" s="41" t="s">
        <v>1508</v>
      </c>
      <c r="J107" s="41" t="s">
        <v>1509</v>
      </c>
      <c r="K107" s="69" t="s">
        <v>1510</v>
      </c>
      <c r="L107" s="68"/>
      <c r="M107" s="68"/>
      <c r="N107" s="46"/>
      <c r="O107" s="46"/>
      <c r="P107" s="46"/>
      <c r="Q107" s="46"/>
      <c r="R107" s="46"/>
      <c r="S107" s="46"/>
      <c r="T107" s="46"/>
      <c r="U107" s="46"/>
      <c r="V107" s="46"/>
      <c r="W107" s="47"/>
    </row>
    <row r="108" spans="1:23" ht="13" x14ac:dyDescent="0.3">
      <c r="A108" s="39">
        <v>46080.9219212963</v>
      </c>
      <c r="B108" s="40" t="s">
        <v>763</v>
      </c>
      <c r="C108" s="40" t="s">
        <v>131</v>
      </c>
      <c r="D108" s="40" t="s">
        <v>130</v>
      </c>
      <c r="E108" s="40" t="s">
        <v>127</v>
      </c>
      <c r="F108" s="40" t="s">
        <v>1072</v>
      </c>
      <c r="G108" s="40" t="s">
        <v>1511</v>
      </c>
      <c r="H108" s="40" t="s">
        <v>14</v>
      </c>
      <c r="I108" s="41" t="s">
        <v>1512</v>
      </c>
      <c r="J108" s="41" t="s">
        <v>1513</v>
      </c>
      <c r="K108" s="69" t="s">
        <v>1514</v>
      </c>
      <c r="L108" s="68"/>
      <c r="M108" s="68"/>
      <c r="N108" s="42"/>
      <c r="O108" s="42"/>
      <c r="P108" s="42"/>
      <c r="Q108" s="42"/>
      <c r="R108" s="42"/>
      <c r="S108" s="42"/>
      <c r="T108" s="42"/>
      <c r="U108" s="42"/>
      <c r="V108" s="42"/>
      <c r="W108" s="43"/>
    </row>
    <row r="109" spans="1:23" ht="13" x14ac:dyDescent="0.3">
      <c r="A109" s="44">
        <v>46080.938425925924</v>
      </c>
      <c r="B109" s="45" t="s">
        <v>721</v>
      </c>
      <c r="C109" s="45" t="s">
        <v>339</v>
      </c>
      <c r="D109" s="45" t="s">
        <v>338</v>
      </c>
      <c r="E109" s="45" t="s">
        <v>259</v>
      </c>
      <c r="F109" s="45" t="s">
        <v>1072</v>
      </c>
      <c r="G109" s="45" t="s">
        <v>1515</v>
      </c>
      <c r="H109" s="45" t="s">
        <v>14</v>
      </c>
      <c r="I109" s="41" t="s">
        <v>1516</v>
      </c>
      <c r="J109" s="41" t="s">
        <v>1517</v>
      </c>
      <c r="K109" s="69" t="s">
        <v>1518</v>
      </c>
      <c r="L109" s="68"/>
      <c r="M109" s="68"/>
      <c r="N109" s="46"/>
      <c r="O109" s="46"/>
      <c r="P109" s="46"/>
      <c r="Q109" s="46"/>
      <c r="R109" s="46"/>
      <c r="S109" s="46"/>
      <c r="T109" s="46"/>
      <c r="U109" s="46"/>
      <c r="V109" s="46"/>
      <c r="W109" s="47"/>
    </row>
    <row r="110" spans="1:23" ht="13" x14ac:dyDescent="0.3">
      <c r="A110" s="39">
        <v>46080.973993055559</v>
      </c>
      <c r="B110" s="40" t="s">
        <v>772</v>
      </c>
      <c r="C110" s="40" t="s">
        <v>181</v>
      </c>
      <c r="D110" s="40" t="s">
        <v>180</v>
      </c>
      <c r="E110" s="40" t="s">
        <v>28</v>
      </c>
      <c r="F110" s="40" t="s">
        <v>1072</v>
      </c>
      <c r="G110" s="40" t="s">
        <v>1519</v>
      </c>
      <c r="H110" s="40" t="s">
        <v>14</v>
      </c>
      <c r="I110" s="41" t="s">
        <v>1520</v>
      </c>
      <c r="J110" s="41" t="s">
        <v>1521</v>
      </c>
      <c r="K110" s="69" t="s">
        <v>1522</v>
      </c>
      <c r="L110" s="68"/>
      <c r="M110" s="68"/>
      <c r="N110" s="42"/>
      <c r="O110" s="42"/>
      <c r="P110" s="42"/>
      <c r="Q110" s="42"/>
      <c r="R110" s="42"/>
      <c r="S110" s="42"/>
      <c r="T110" s="42"/>
      <c r="U110" s="42"/>
      <c r="V110" s="42"/>
      <c r="W110" s="43"/>
    </row>
    <row r="111" spans="1:23" ht="13" x14ac:dyDescent="0.3">
      <c r="A111" s="44">
        <v>46080.976053240738</v>
      </c>
      <c r="B111" s="45" t="s">
        <v>714</v>
      </c>
      <c r="C111" s="45" t="s">
        <v>287</v>
      </c>
      <c r="D111" s="45" t="s">
        <v>286</v>
      </c>
      <c r="E111" s="45" t="s">
        <v>259</v>
      </c>
      <c r="F111" s="45" t="s">
        <v>1072</v>
      </c>
      <c r="G111" s="45" t="s">
        <v>1523</v>
      </c>
      <c r="H111" s="45" t="s">
        <v>7</v>
      </c>
      <c r="I111" s="41" t="s">
        <v>1524</v>
      </c>
      <c r="J111" s="41" t="s">
        <v>1525</v>
      </c>
      <c r="K111" s="69" t="s">
        <v>1526</v>
      </c>
      <c r="L111" s="68"/>
      <c r="M111" s="68"/>
      <c r="N111" s="46"/>
      <c r="O111" s="46"/>
      <c r="P111" s="46"/>
      <c r="Q111" s="46"/>
      <c r="R111" s="46"/>
      <c r="S111" s="46"/>
      <c r="T111" s="46"/>
      <c r="U111" s="46"/>
      <c r="V111" s="46"/>
      <c r="W111" s="47"/>
    </row>
    <row r="112" spans="1:23" ht="13" x14ac:dyDescent="0.3">
      <c r="A112" s="39">
        <v>46080.977094907408</v>
      </c>
      <c r="B112" s="40" t="s">
        <v>787</v>
      </c>
      <c r="C112" s="40" t="s">
        <v>596</v>
      </c>
      <c r="D112" s="40" t="s">
        <v>595</v>
      </c>
      <c r="E112" s="40" t="s">
        <v>28</v>
      </c>
      <c r="F112" s="40" t="s">
        <v>1072</v>
      </c>
      <c r="G112" s="40" t="s">
        <v>1527</v>
      </c>
      <c r="H112" s="40" t="s">
        <v>7</v>
      </c>
      <c r="I112" s="42"/>
      <c r="J112" s="42"/>
      <c r="K112" s="69" t="s">
        <v>1528</v>
      </c>
      <c r="L112" s="68"/>
      <c r="M112" s="68"/>
      <c r="N112" s="42"/>
      <c r="O112" s="42"/>
      <c r="P112" s="42"/>
      <c r="Q112" s="42"/>
      <c r="R112" s="42"/>
      <c r="S112" s="42"/>
      <c r="T112" s="42"/>
      <c r="U112" s="42"/>
      <c r="V112" s="42"/>
      <c r="W112" s="43"/>
    </row>
    <row r="113" spans="1:23" ht="13" x14ac:dyDescent="0.3">
      <c r="A113" s="44">
        <v>46080.989560185182</v>
      </c>
      <c r="B113" s="45" t="s">
        <v>881</v>
      </c>
      <c r="C113" s="45" t="s">
        <v>52</v>
      </c>
      <c r="D113" s="45" t="s">
        <v>51</v>
      </c>
      <c r="E113" s="45" t="s">
        <v>17</v>
      </c>
      <c r="F113" s="45" t="s">
        <v>1072</v>
      </c>
      <c r="G113" s="45" t="s">
        <v>1529</v>
      </c>
      <c r="H113" s="45" t="s">
        <v>14</v>
      </c>
      <c r="I113" s="41" t="s">
        <v>1530</v>
      </c>
      <c r="J113" s="41" t="s">
        <v>1531</v>
      </c>
      <c r="K113" s="69" t="s">
        <v>1532</v>
      </c>
      <c r="L113" s="68"/>
      <c r="M113" s="68"/>
      <c r="N113" s="46"/>
      <c r="O113" s="46"/>
      <c r="P113" s="46"/>
      <c r="Q113" s="46"/>
      <c r="R113" s="46"/>
      <c r="S113" s="46"/>
      <c r="T113" s="46"/>
      <c r="U113" s="46"/>
      <c r="V113" s="46"/>
      <c r="W113" s="47"/>
    </row>
    <row r="114" spans="1:23" ht="13" x14ac:dyDescent="0.3">
      <c r="A114" s="39">
        <v>46080.993055555555</v>
      </c>
      <c r="B114" s="40" t="s">
        <v>724</v>
      </c>
      <c r="C114" s="40" t="s">
        <v>1533</v>
      </c>
      <c r="D114" s="40" t="s">
        <v>340</v>
      </c>
      <c r="E114" s="40" t="s">
        <v>259</v>
      </c>
      <c r="F114" s="40" t="s">
        <v>1072</v>
      </c>
      <c r="G114" s="40" t="s">
        <v>1534</v>
      </c>
      <c r="H114" s="40" t="s">
        <v>7</v>
      </c>
      <c r="I114" s="41" t="s">
        <v>1535</v>
      </c>
      <c r="J114" s="41" t="s">
        <v>1536</v>
      </c>
      <c r="K114" s="69" t="s">
        <v>1537</v>
      </c>
      <c r="L114" s="68"/>
      <c r="M114" s="68"/>
      <c r="N114" s="42"/>
      <c r="O114" s="42"/>
      <c r="P114" s="42"/>
      <c r="Q114" s="42"/>
      <c r="R114" s="42"/>
      <c r="S114" s="42"/>
      <c r="T114" s="42"/>
      <c r="U114" s="42"/>
      <c r="V114" s="42"/>
      <c r="W114" s="43"/>
    </row>
    <row r="115" spans="1:23" ht="13" x14ac:dyDescent="0.3">
      <c r="A115" s="44">
        <v>46080.997199074074</v>
      </c>
      <c r="B115" s="45" t="s">
        <v>1015</v>
      </c>
      <c r="C115" s="45" t="s">
        <v>13</v>
      </c>
      <c r="D115" s="45" t="s">
        <v>12</v>
      </c>
      <c r="E115" s="45" t="s">
        <v>6</v>
      </c>
      <c r="F115" s="45" t="s">
        <v>1072</v>
      </c>
      <c r="G115" s="45" t="s">
        <v>1538</v>
      </c>
      <c r="H115" s="45" t="s">
        <v>7</v>
      </c>
      <c r="I115" s="41" t="s">
        <v>1539</v>
      </c>
      <c r="J115" s="41" t="s">
        <v>1540</v>
      </c>
      <c r="K115" s="69" t="s">
        <v>1541</v>
      </c>
      <c r="L115" s="68"/>
      <c r="M115" s="68"/>
      <c r="N115" s="46"/>
      <c r="O115" s="46"/>
      <c r="P115" s="46"/>
      <c r="Q115" s="46"/>
      <c r="R115" s="46"/>
      <c r="S115" s="46"/>
      <c r="T115" s="46"/>
      <c r="U115" s="46"/>
      <c r="V115" s="46"/>
      <c r="W115" s="47"/>
    </row>
    <row r="116" spans="1:23" ht="13" x14ac:dyDescent="0.3">
      <c r="A116" s="39">
        <v>46081.072743055556</v>
      </c>
      <c r="B116" s="40" t="s">
        <v>694</v>
      </c>
      <c r="C116" s="40" t="s">
        <v>325</v>
      </c>
      <c r="D116" s="40" t="s">
        <v>324</v>
      </c>
      <c r="E116" s="40" t="s">
        <v>259</v>
      </c>
      <c r="F116" s="40" t="s">
        <v>1072</v>
      </c>
      <c r="G116" s="40" t="s">
        <v>1542</v>
      </c>
      <c r="H116" s="40" t="s">
        <v>14</v>
      </c>
      <c r="I116" s="41" t="s">
        <v>1543</v>
      </c>
      <c r="J116" s="41" t="s">
        <v>1544</v>
      </c>
      <c r="K116" s="69" t="s">
        <v>1545</v>
      </c>
      <c r="L116" s="68"/>
      <c r="M116" s="68"/>
      <c r="N116" s="42"/>
      <c r="O116" s="42"/>
      <c r="P116" s="42"/>
      <c r="Q116" s="42"/>
      <c r="R116" s="42"/>
      <c r="S116" s="42"/>
      <c r="T116" s="42"/>
      <c r="U116" s="42"/>
      <c r="V116" s="42"/>
      <c r="W116" s="43"/>
    </row>
    <row r="117" spans="1:23" ht="13" x14ac:dyDescent="0.3">
      <c r="A117" s="44">
        <v>46081.196168981478</v>
      </c>
      <c r="B117" s="45" t="s">
        <v>761</v>
      </c>
      <c r="C117" s="45" t="s">
        <v>353</v>
      </c>
      <c r="D117" s="45" t="s">
        <v>352</v>
      </c>
      <c r="E117" s="45" t="s">
        <v>259</v>
      </c>
      <c r="F117" s="45" t="s">
        <v>1072</v>
      </c>
      <c r="G117" s="45" t="s">
        <v>1546</v>
      </c>
      <c r="H117" s="45" t="s">
        <v>14</v>
      </c>
      <c r="I117" s="41" t="s">
        <v>1547</v>
      </c>
      <c r="J117" s="41" t="s">
        <v>1548</v>
      </c>
      <c r="K117" s="69" t="s">
        <v>1549</v>
      </c>
      <c r="L117" s="68"/>
      <c r="M117" s="68"/>
      <c r="N117" s="46"/>
      <c r="O117" s="46"/>
      <c r="P117" s="46"/>
      <c r="Q117" s="46"/>
      <c r="R117" s="46"/>
      <c r="S117" s="46"/>
      <c r="T117" s="46"/>
      <c r="U117" s="46"/>
      <c r="V117" s="46"/>
      <c r="W117" s="47"/>
    </row>
    <row r="118" spans="1:23" ht="13" x14ac:dyDescent="0.3">
      <c r="A118" s="39">
        <v>46075.914074074077</v>
      </c>
      <c r="B118" s="40" t="s">
        <v>834</v>
      </c>
      <c r="C118" s="40" t="s">
        <v>562</v>
      </c>
      <c r="D118" s="40" t="s">
        <v>561</v>
      </c>
      <c r="E118" s="40" t="s">
        <v>526</v>
      </c>
      <c r="F118" s="70" t="s">
        <v>1550</v>
      </c>
      <c r="G118" s="68"/>
      <c r="H118" s="40" t="s">
        <v>7</v>
      </c>
      <c r="I118" s="42"/>
      <c r="J118" s="42"/>
      <c r="K118" s="42"/>
      <c r="L118" s="40" t="s">
        <v>7</v>
      </c>
      <c r="M118" s="40" t="s">
        <v>7</v>
      </c>
      <c r="N118" s="40" t="s">
        <v>563</v>
      </c>
      <c r="O118" s="41" t="s">
        <v>1551</v>
      </c>
      <c r="P118" s="41" t="s">
        <v>1552</v>
      </c>
      <c r="Q118" s="41" t="s">
        <v>1553</v>
      </c>
      <c r="R118" s="40" t="s">
        <v>563</v>
      </c>
      <c r="S118" s="41" t="s">
        <v>1554</v>
      </c>
      <c r="T118" s="41" t="s">
        <v>1555</v>
      </c>
      <c r="U118" s="69" t="s">
        <v>1556</v>
      </c>
      <c r="V118" s="68"/>
      <c r="W118" s="49" t="s">
        <v>1557</v>
      </c>
    </row>
    <row r="119" spans="1:23" ht="13" x14ac:dyDescent="0.3">
      <c r="A119" s="44">
        <v>46076.91505787037</v>
      </c>
      <c r="B119" s="45" t="s">
        <v>754</v>
      </c>
      <c r="C119" s="45" t="s">
        <v>432</v>
      </c>
      <c r="D119" s="45" t="s">
        <v>431</v>
      </c>
      <c r="E119" s="45" t="s">
        <v>127</v>
      </c>
      <c r="F119" s="67" t="s">
        <v>1550</v>
      </c>
      <c r="G119" s="68"/>
      <c r="H119" s="45" t="s">
        <v>14</v>
      </c>
      <c r="I119" s="46"/>
      <c r="J119" s="46"/>
      <c r="K119" s="46"/>
      <c r="L119" s="45" t="s">
        <v>14</v>
      </c>
      <c r="M119" s="45" t="s">
        <v>14</v>
      </c>
      <c r="N119" s="45" t="s">
        <v>433</v>
      </c>
      <c r="O119" s="41" t="s">
        <v>1558</v>
      </c>
      <c r="P119" s="41" t="s">
        <v>1559</v>
      </c>
      <c r="Q119" s="41" t="s">
        <v>1560</v>
      </c>
      <c r="R119" s="45" t="s">
        <v>433</v>
      </c>
      <c r="S119" s="41" t="s">
        <v>1561</v>
      </c>
      <c r="T119" s="41" t="s">
        <v>1562</v>
      </c>
      <c r="U119" s="41" t="s">
        <v>1563</v>
      </c>
      <c r="V119" s="69" t="s">
        <v>1564</v>
      </c>
      <c r="W119" s="68"/>
    </row>
    <row r="120" spans="1:23" ht="13" x14ac:dyDescent="0.3">
      <c r="A120" s="39">
        <v>46078.496145833335</v>
      </c>
      <c r="B120" s="40" t="s">
        <v>853</v>
      </c>
      <c r="C120" s="40" t="s">
        <v>1565</v>
      </c>
      <c r="D120" s="40" t="s">
        <v>588</v>
      </c>
      <c r="E120" s="40" t="s">
        <v>1566</v>
      </c>
      <c r="F120" s="70" t="s">
        <v>1550</v>
      </c>
      <c r="G120" s="68"/>
      <c r="H120" s="40" t="s">
        <v>14</v>
      </c>
      <c r="I120" s="42"/>
      <c r="J120" s="42"/>
      <c r="K120" s="42"/>
      <c r="L120" s="40" t="s">
        <v>14</v>
      </c>
      <c r="M120" s="40" t="s">
        <v>7</v>
      </c>
      <c r="N120" s="40" t="s">
        <v>1567</v>
      </c>
      <c r="O120" s="41" t="s">
        <v>1568</v>
      </c>
      <c r="P120" s="41" t="s">
        <v>1569</v>
      </c>
      <c r="Q120" s="41" t="s">
        <v>1570</v>
      </c>
      <c r="R120" s="40" t="s">
        <v>590</v>
      </c>
      <c r="S120" s="41" t="s">
        <v>1571</v>
      </c>
      <c r="T120" s="41" t="s">
        <v>1572</v>
      </c>
      <c r="U120" s="69" t="s">
        <v>1573</v>
      </c>
      <c r="V120" s="68"/>
      <c r="W120" s="68"/>
    </row>
    <row r="121" spans="1:23" ht="13" x14ac:dyDescent="0.3">
      <c r="A121" s="44">
        <v>46078.585578703707</v>
      </c>
      <c r="B121" s="45" t="s">
        <v>1029</v>
      </c>
      <c r="C121" s="45" t="s">
        <v>377</v>
      </c>
      <c r="D121" s="45" t="s">
        <v>376</v>
      </c>
      <c r="E121" s="45" t="s">
        <v>17</v>
      </c>
      <c r="F121" s="67" t="s">
        <v>1550</v>
      </c>
      <c r="G121" s="68"/>
      <c r="H121" s="45" t="s">
        <v>14</v>
      </c>
      <c r="I121" s="46"/>
      <c r="J121" s="46"/>
      <c r="K121" s="46"/>
      <c r="L121" s="45" t="s">
        <v>14</v>
      </c>
      <c r="M121" s="45" t="s">
        <v>14</v>
      </c>
      <c r="N121" s="45" t="s">
        <v>1574</v>
      </c>
      <c r="O121" s="41" t="s">
        <v>1575</v>
      </c>
      <c r="P121" s="41" t="s">
        <v>1576</v>
      </c>
      <c r="Q121" s="41" t="s">
        <v>1577</v>
      </c>
      <c r="R121" s="45" t="s">
        <v>1574</v>
      </c>
      <c r="S121" s="41" t="s">
        <v>1578</v>
      </c>
      <c r="T121" s="41" t="s">
        <v>1579</v>
      </c>
      <c r="U121" s="41" t="s">
        <v>1580</v>
      </c>
      <c r="V121" s="41" t="s">
        <v>1581</v>
      </c>
      <c r="W121" s="49" t="s">
        <v>1582</v>
      </c>
    </row>
    <row r="122" spans="1:23" ht="13" x14ac:dyDescent="0.3">
      <c r="A122" s="39">
        <v>46078.787453703706</v>
      </c>
      <c r="B122" s="40" t="s">
        <v>789</v>
      </c>
      <c r="C122" s="40" t="s">
        <v>436</v>
      </c>
      <c r="D122" s="40" t="s">
        <v>435</v>
      </c>
      <c r="E122" s="40" t="s">
        <v>28</v>
      </c>
      <c r="F122" s="70" t="s">
        <v>1550</v>
      </c>
      <c r="G122" s="68"/>
      <c r="H122" s="40" t="s">
        <v>7</v>
      </c>
      <c r="I122" s="42"/>
      <c r="J122" s="42"/>
      <c r="K122" s="42"/>
      <c r="L122" s="40" t="s">
        <v>7</v>
      </c>
      <c r="M122" s="40" t="s">
        <v>7</v>
      </c>
      <c r="N122" s="40" t="s">
        <v>1583</v>
      </c>
      <c r="O122" s="41" t="s">
        <v>1584</v>
      </c>
      <c r="P122" s="41" t="s">
        <v>1585</v>
      </c>
      <c r="Q122" s="41" t="s">
        <v>1586</v>
      </c>
      <c r="R122" s="40" t="s">
        <v>1587</v>
      </c>
      <c r="S122" s="41" t="s">
        <v>1588</v>
      </c>
      <c r="T122" s="41" t="s">
        <v>1589</v>
      </c>
      <c r="U122" s="41" t="s">
        <v>1590</v>
      </c>
      <c r="V122" s="69" t="s">
        <v>1591</v>
      </c>
      <c r="W122" s="68"/>
    </row>
    <row r="123" spans="1:23" ht="13" x14ac:dyDescent="0.3">
      <c r="A123" s="44">
        <v>46079.023425925923</v>
      </c>
      <c r="B123" s="45" t="s">
        <v>949</v>
      </c>
      <c r="C123" s="45" t="s">
        <v>382</v>
      </c>
      <c r="D123" s="45" t="s">
        <v>381</v>
      </c>
      <c r="E123" s="45" t="s">
        <v>17</v>
      </c>
      <c r="F123" s="67" t="s">
        <v>1550</v>
      </c>
      <c r="G123" s="68"/>
      <c r="H123" s="45" t="s">
        <v>7</v>
      </c>
      <c r="I123" s="46"/>
      <c r="J123" s="46"/>
      <c r="K123" s="46"/>
      <c r="L123" s="45" t="s">
        <v>7</v>
      </c>
      <c r="M123" s="45" t="s">
        <v>7</v>
      </c>
      <c r="N123" s="45" t="s">
        <v>1592</v>
      </c>
      <c r="O123" s="41" t="s">
        <v>1593</v>
      </c>
      <c r="P123" s="41" t="s">
        <v>1594</v>
      </c>
      <c r="Q123" s="41" t="s">
        <v>1595</v>
      </c>
      <c r="R123" s="45" t="s">
        <v>383</v>
      </c>
      <c r="S123" s="41" t="s">
        <v>1596</v>
      </c>
      <c r="T123" s="41" t="s">
        <v>1597</v>
      </c>
      <c r="U123" s="41" t="s">
        <v>1598</v>
      </c>
      <c r="V123" s="69" t="s">
        <v>1599</v>
      </c>
      <c r="W123" s="68"/>
    </row>
    <row r="124" spans="1:23" ht="13" x14ac:dyDescent="0.3">
      <c r="A124" s="39">
        <v>46079.548645833333</v>
      </c>
      <c r="B124" s="40" t="s">
        <v>995</v>
      </c>
      <c r="C124" s="40" t="s">
        <v>92</v>
      </c>
      <c r="D124" s="40" t="s">
        <v>91</v>
      </c>
      <c r="E124" s="40" t="s">
        <v>6</v>
      </c>
      <c r="F124" s="70" t="s">
        <v>1550</v>
      </c>
      <c r="G124" s="68"/>
      <c r="H124" s="40" t="s">
        <v>7</v>
      </c>
      <c r="I124" s="42"/>
      <c r="J124" s="42"/>
      <c r="K124" s="42"/>
      <c r="L124" s="40" t="s">
        <v>7</v>
      </c>
      <c r="M124" s="40" t="s">
        <v>7</v>
      </c>
      <c r="N124" s="40" t="s">
        <v>1600</v>
      </c>
      <c r="O124" s="41" t="s">
        <v>1601</v>
      </c>
      <c r="P124" s="41" t="s">
        <v>1602</v>
      </c>
      <c r="Q124" s="41" t="s">
        <v>1603</v>
      </c>
      <c r="R124" s="40" t="s">
        <v>93</v>
      </c>
      <c r="S124" s="41" t="s">
        <v>1604</v>
      </c>
      <c r="T124" s="41" t="s">
        <v>1605</v>
      </c>
      <c r="U124" s="41" t="s">
        <v>1606</v>
      </c>
      <c r="V124" s="69" t="s">
        <v>1607</v>
      </c>
      <c r="W124" s="68"/>
    </row>
    <row r="125" spans="1:23" ht="13" x14ac:dyDescent="0.3">
      <c r="A125" s="44">
        <v>46079.890127314815</v>
      </c>
      <c r="B125" s="45" t="s">
        <v>645</v>
      </c>
      <c r="C125" s="45" t="s">
        <v>402</v>
      </c>
      <c r="D125" s="45" t="s">
        <v>401</v>
      </c>
      <c r="E125" s="45" t="s">
        <v>127</v>
      </c>
      <c r="F125" s="67" t="s">
        <v>1550</v>
      </c>
      <c r="G125" s="68"/>
      <c r="H125" s="45" t="s">
        <v>7</v>
      </c>
      <c r="I125" s="46"/>
      <c r="J125" s="46"/>
      <c r="K125" s="46"/>
      <c r="L125" s="45" t="s">
        <v>7</v>
      </c>
      <c r="M125" s="45" t="s">
        <v>7</v>
      </c>
      <c r="N125" s="45" t="s">
        <v>1608</v>
      </c>
      <c r="O125" s="41" t="s">
        <v>1609</v>
      </c>
      <c r="P125" s="41" t="s">
        <v>1610</v>
      </c>
      <c r="Q125" s="41" t="s">
        <v>1611</v>
      </c>
      <c r="R125" s="45" t="s">
        <v>403</v>
      </c>
      <c r="S125" s="41" t="s">
        <v>1612</v>
      </c>
      <c r="T125" s="41" t="s">
        <v>1613</v>
      </c>
      <c r="U125" s="41" t="s">
        <v>1614</v>
      </c>
      <c r="V125" s="41" t="s">
        <v>1615</v>
      </c>
      <c r="W125" s="49" t="s">
        <v>1616</v>
      </c>
    </row>
    <row r="126" spans="1:23" ht="13" x14ac:dyDescent="0.3">
      <c r="A126" s="39">
        <v>46079.918842592589</v>
      </c>
      <c r="B126" s="40" t="s">
        <v>842</v>
      </c>
      <c r="C126" s="40" t="s">
        <v>529</v>
      </c>
      <c r="D126" s="40" t="s">
        <v>528</v>
      </c>
      <c r="E126" s="40" t="s">
        <v>526</v>
      </c>
      <c r="F126" s="70" t="s">
        <v>1550</v>
      </c>
      <c r="G126" s="68"/>
      <c r="H126" s="40" t="s">
        <v>7</v>
      </c>
      <c r="I126" s="42"/>
      <c r="J126" s="42"/>
      <c r="K126" s="42"/>
      <c r="L126" s="40" t="s">
        <v>7</v>
      </c>
      <c r="M126" s="40" t="s">
        <v>7</v>
      </c>
      <c r="N126" s="40" t="s">
        <v>530</v>
      </c>
      <c r="O126" s="41" t="s">
        <v>1617</v>
      </c>
      <c r="P126" s="41" t="s">
        <v>1618</v>
      </c>
      <c r="Q126" s="41" t="s">
        <v>1619</v>
      </c>
      <c r="R126" s="40" t="s">
        <v>530</v>
      </c>
      <c r="S126" s="41" t="s">
        <v>1620</v>
      </c>
      <c r="T126" s="41" t="s">
        <v>1621</v>
      </c>
      <c r="U126" s="69" t="s">
        <v>1622</v>
      </c>
      <c r="V126" s="68"/>
      <c r="W126" s="68"/>
    </row>
    <row r="127" spans="1:23" ht="13" x14ac:dyDescent="0.3">
      <c r="A127" s="44">
        <v>46079.935474537036</v>
      </c>
      <c r="B127" s="45" t="s">
        <v>907</v>
      </c>
      <c r="C127" s="45" t="s">
        <v>302</v>
      </c>
      <c r="D127" s="45" t="s">
        <v>301</v>
      </c>
      <c r="E127" s="45" t="s">
        <v>17</v>
      </c>
      <c r="F127" s="67" t="s">
        <v>1550</v>
      </c>
      <c r="G127" s="68"/>
      <c r="H127" s="45" t="s">
        <v>7</v>
      </c>
      <c r="I127" s="46"/>
      <c r="J127" s="46"/>
      <c r="K127" s="46"/>
      <c r="L127" s="45" t="s">
        <v>7</v>
      </c>
      <c r="M127" s="45" t="s">
        <v>14</v>
      </c>
      <c r="N127" s="45" t="s">
        <v>1623</v>
      </c>
      <c r="O127" s="41" t="s">
        <v>1624</v>
      </c>
      <c r="P127" s="41" t="s">
        <v>1625</v>
      </c>
      <c r="Q127" s="41" t="s">
        <v>1626</v>
      </c>
      <c r="R127" s="45" t="s">
        <v>1627</v>
      </c>
      <c r="S127" s="41" t="s">
        <v>1628</v>
      </c>
      <c r="T127" s="41" t="s">
        <v>1629</v>
      </c>
      <c r="U127" s="41" t="s">
        <v>1630</v>
      </c>
      <c r="V127" s="69" t="s">
        <v>1631</v>
      </c>
      <c r="W127" s="68"/>
    </row>
    <row r="128" spans="1:23" ht="13" x14ac:dyDescent="0.3">
      <c r="A128" s="39">
        <v>46079.94672453704</v>
      </c>
      <c r="B128" s="40" t="s">
        <v>926</v>
      </c>
      <c r="C128" s="40" t="s">
        <v>245</v>
      </c>
      <c r="D128" s="40" t="s">
        <v>244</v>
      </c>
      <c r="E128" s="40" t="s">
        <v>244</v>
      </c>
      <c r="F128" s="70" t="s">
        <v>1550</v>
      </c>
      <c r="G128" s="68"/>
      <c r="H128" s="40" t="s">
        <v>14</v>
      </c>
      <c r="I128" s="42"/>
      <c r="J128" s="42"/>
      <c r="K128" s="42"/>
      <c r="L128" s="40" t="s">
        <v>14</v>
      </c>
      <c r="M128" s="40" t="s">
        <v>14</v>
      </c>
      <c r="N128" s="40" t="s">
        <v>1632</v>
      </c>
      <c r="O128" s="41" t="s">
        <v>1633</v>
      </c>
      <c r="P128" s="41" t="s">
        <v>1634</v>
      </c>
      <c r="Q128" s="41" t="s">
        <v>1635</v>
      </c>
      <c r="R128" s="40" t="s">
        <v>1636</v>
      </c>
      <c r="S128" s="41" t="s">
        <v>1637</v>
      </c>
      <c r="T128" s="41" t="s">
        <v>1638</v>
      </c>
      <c r="U128" s="69" t="s">
        <v>1639</v>
      </c>
      <c r="V128" s="68"/>
      <c r="W128" s="68"/>
    </row>
    <row r="129" spans="1:23" ht="13" x14ac:dyDescent="0.3">
      <c r="A129" s="44">
        <v>46080.007708333331</v>
      </c>
      <c r="B129" s="45" t="s">
        <v>855</v>
      </c>
      <c r="C129" s="50" t="s">
        <v>523</v>
      </c>
      <c r="D129" s="45" t="s">
        <v>591</v>
      </c>
      <c r="E129" s="45" t="s">
        <v>526</v>
      </c>
      <c r="F129" s="67" t="s">
        <v>1550</v>
      </c>
      <c r="G129" s="68"/>
      <c r="H129" s="45" t="s">
        <v>7</v>
      </c>
      <c r="I129" s="46"/>
      <c r="J129" s="46"/>
      <c r="K129" s="46"/>
      <c r="L129" s="45" t="s">
        <v>7</v>
      </c>
      <c r="M129" s="45" t="s">
        <v>7</v>
      </c>
      <c r="N129" s="45" t="s">
        <v>592</v>
      </c>
      <c r="O129" s="41" t="s">
        <v>1640</v>
      </c>
      <c r="P129" s="41" t="s">
        <v>1641</v>
      </c>
      <c r="Q129" s="41" t="s">
        <v>1642</v>
      </c>
      <c r="R129" s="45" t="s">
        <v>592</v>
      </c>
      <c r="S129" s="41" t="s">
        <v>1643</v>
      </c>
      <c r="T129" s="41" t="s">
        <v>1644</v>
      </c>
      <c r="U129" s="41" t="s">
        <v>1645</v>
      </c>
      <c r="V129" s="69" t="s">
        <v>1646</v>
      </c>
      <c r="W129" s="68"/>
    </row>
    <row r="130" spans="1:23" ht="13" x14ac:dyDescent="0.3">
      <c r="A130" s="39">
        <v>46080.028020833335</v>
      </c>
      <c r="B130" s="40" t="s">
        <v>911</v>
      </c>
      <c r="C130" s="40" t="s">
        <v>359</v>
      </c>
      <c r="D130" s="40" t="s">
        <v>358</v>
      </c>
      <c r="E130" s="40" t="s">
        <v>17</v>
      </c>
      <c r="F130" s="70" t="s">
        <v>1550</v>
      </c>
      <c r="G130" s="68"/>
      <c r="H130" s="40" t="s">
        <v>7</v>
      </c>
      <c r="I130" s="42"/>
      <c r="J130" s="42"/>
      <c r="K130" s="42"/>
      <c r="L130" s="40" t="s">
        <v>7</v>
      </c>
      <c r="M130" s="40" t="s">
        <v>14</v>
      </c>
      <c r="N130" s="40" t="s">
        <v>1647</v>
      </c>
      <c r="O130" s="41" t="s">
        <v>1648</v>
      </c>
      <c r="P130" s="41" t="s">
        <v>1649</v>
      </c>
      <c r="Q130" s="41" t="s">
        <v>1650</v>
      </c>
      <c r="R130" s="40" t="s">
        <v>1651</v>
      </c>
      <c r="S130" s="41" t="s">
        <v>1652</v>
      </c>
      <c r="T130" s="41" t="s">
        <v>1653</v>
      </c>
      <c r="U130" s="41" t="s">
        <v>1654</v>
      </c>
      <c r="V130" s="69" t="s">
        <v>1655</v>
      </c>
      <c r="W130" s="68"/>
    </row>
    <row r="131" spans="1:23" ht="13" x14ac:dyDescent="0.3">
      <c r="A131" s="44">
        <v>46080.144918981481</v>
      </c>
      <c r="B131" s="45" t="s">
        <v>913</v>
      </c>
      <c r="C131" s="45" t="s">
        <v>124</v>
      </c>
      <c r="D131" s="45" t="s">
        <v>123</v>
      </c>
      <c r="E131" s="45" t="s">
        <v>17</v>
      </c>
      <c r="F131" s="67" t="s">
        <v>1550</v>
      </c>
      <c r="G131" s="68"/>
      <c r="H131" s="45" t="s">
        <v>14</v>
      </c>
      <c r="I131" s="46"/>
      <c r="J131" s="46"/>
      <c r="K131" s="46"/>
      <c r="L131" s="45" t="s">
        <v>14</v>
      </c>
      <c r="M131" s="45" t="s">
        <v>14</v>
      </c>
      <c r="N131" s="45" t="s">
        <v>1656</v>
      </c>
      <c r="O131" s="41" t="s">
        <v>1657</v>
      </c>
      <c r="P131" s="41" t="s">
        <v>1658</v>
      </c>
      <c r="Q131" s="41" t="s">
        <v>1659</v>
      </c>
      <c r="R131" s="45" t="s">
        <v>1656</v>
      </c>
      <c r="S131" s="41" t="s">
        <v>1660</v>
      </c>
      <c r="T131" s="41" t="s">
        <v>1661</v>
      </c>
      <c r="U131" s="41" t="s">
        <v>1662</v>
      </c>
      <c r="V131" s="69" t="s">
        <v>1663</v>
      </c>
      <c r="W131" s="68"/>
    </row>
    <row r="132" spans="1:23" ht="13" x14ac:dyDescent="0.3">
      <c r="A132" s="39">
        <v>46080.342442129629</v>
      </c>
      <c r="B132" s="40" t="s">
        <v>987</v>
      </c>
      <c r="C132" s="40" t="s">
        <v>240</v>
      </c>
      <c r="D132" s="40" t="s">
        <v>239</v>
      </c>
      <c r="E132" s="40" t="s">
        <v>6</v>
      </c>
      <c r="F132" s="70" t="s">
        <v>1550</v>
      </c>
      <c r="G132" s="68"/>
      <c r="H132" s="40" t="s">
        <v>7</v>
      </c>
      <c r="I132" s="42"/>
      <c r="J132" s="42"/>
      <c r="K132" s="42"/>
      <c r="L132" s="40" t="s">
        <v>7</v>
      </c>
      <c r="M132" s="40" t="s">
        <v>14</v>
      </c>
      <c r="N132" s="40" t="s">
        <v>1664</v>
      </c>
      <c r="O132" s="41" t="s">
        <v>1665</v>
      </c>
      <c r="P132" s="41" t="s">
        <v>1666</v>
      </c>
      <c r="Q132" s="41" t="s">
        <v>1667</v>
      </c>
      <c r="R132" s="40" t="s">
        <v>241</v>
      </c>
      <c r="S132" s="41" t="s">
        <v>1668</v>
      </c>
      <c r="T132" s="41" t="s">
        <v>1669</v>
      </c>
      <c r="U132" s="41" t="s">
        <v>1670</v>
      </c>
      <c r="V132" s="69" t="s">
        <v>1671</v>
      </c>
      <c r="W132" s="68"/>
    </row>
    <row r="133" spans="1:23" ht="13" x14ac:dyDescent="0.3">
      <c r="A133" s="44">
        <v>46080.38753472222</v>
      </c>
      <c r="B133" s="45" t="s">
        <v>779</v>
      </c>
      <c r="C133" s="45" t="s">
        <v>393</v>
      </c>
      <c r="D133" s="45" t="s">
        <v>392</v>
      </c>
      <c r="E133" s="45" t="s">
        <v>28</v>
      </c>
      <c r="F133" s="67" t="s">
        <v>1550</v>
      </c>
      <c r="G133" s="68"/>
      <c r="H133" s="45" t="s">
        <v>14</v>
      </c>
      <c r="I133" s="46"/>
      <c r="J133" s="46"/>
      <c r="K133" s="46"/>
      <c r="L133" s="45" t="s">
        <v>14</v>
      </c>
      <c r="M133" s="45" t="s">
        <v>14</v>
      </c>
      <c r="N133" s="45" t="s">
        <v>394</v>
      </c>
      <c r="O133" s="41" t="s">
        <v>1672</v>
      </c>
      <c r="P133" s="41" t="s">
        <v>1673</v>
      </c>
      <c r="Q133" s="41" t="s">
        <v>1674</v>
      </c>
      <c r="R133" s="45" t="s">
        <v>394</v>
      </c>
      <c r="S133" s="41" t="s">
        <v>1675</v>
      </c>
      <c r="T133" s="41" t="s">
        <v>1676</v>
      </c>
      <c r="U133" s="41" t="s">
        <v>1677</v>
      </c>
      <c r="V133" s="69" t="s">
        <v>1678</v>
      </c>
      <c r="W133" s="68"/>
    </row>
    <row r="134" spans="1:23" ht="13" x14ac:dyDescent="0.3">
      <c r="A134" s="39">
        <v>46080.410034722219</v>
      </c>
      <c r="B134" s="40" t="s">
        <v>954</v>
      </c>
      <c r="C134" s="40" t="s">
        <v>368</v>
      </c>
      <c r="D134" s="40" t="s">
        <v>367</v>
      </c>
      <c r="E134" s="40" t="s">
        <v>17</v>
      </c>
      <c r="F134" s="70" t="s">
        <v>1550</v>
      </c>
      <c r="G134" s="68"/>
      <c r="H134" s="40" t="s">
        <v>14</v>
      </c>
      <c r="I134" s="42"/>
      <c r="J134" s="42"/>
      <c r="K134" s="42"/>
      <c r="L134" s="40" t="s">
        <v>14</v>
      </c>
      <c r="M134" s="40" t="s">
        <v>14</v>
      </c>
      <c r="N134" s="40" t="s">
        <v>1679</v>
      </c>
      <c r="O134" s="41" t="s">
        <v>1680</v>
      </c>
      <c r="P134" s="41" t="s">
        <v>1681</v>
      </c>
      <c r="Q134" s="41" t="s">
        <v>1682</v>
      </c>
      <c r="R134" s="40" t="s">
        <v>369</v>
      </c>
      <c r="S134" s="41" t="s">
        <v>1683</v>
      </c>
      <c r="T134" s="41" t="s">
        <v>1684</v>
      </c>
      <c r="U134" s="69" t="s">
        <v>1685</v>
      </c>
      <c r="V134" s="68"/>
      <c r="W134" s="68"/>
    </row>
    <row r="135" spans="1:23" ht="13" x14ac:dyDescent="0.3">
      <c r="A135" s="44">
        <v>46080.411909722221</v>
      </c>
      <c r="B135" s="45" t="s">
        <v>851</v>
      </c>
      <c r="C135" s="45" t="s">
        <v>535</v>
      </c>
      <c r="D135" s="45" t="s">
        <v>1686</v>
      </c>
      <c r="E135" s="45" t="s">
        <v>526</v>
      </c>
      <c r="F135" s="67" t="s">
        <v>1550</v>
      </c>
      <c r="G135" s="68"/>
      <c r="H135" s="45" t="s">
        <v>7</v>
      </c>
      <c r="I135" s="46"/>
      <c r="J135" s="46"/>
      <c r="K135" s="46"/>
      <c r="L135" s="45" t="s">
        <v>7</v>
      </c>
      <c r="M135" s="45" t="s">
        <v>7</v>
      </c>
      <c r="N135" s="45" t="s">
        <v>1687</v>
      </c>
      <c r="O135" s="41" t="s">
        <v>1688</v>
      </c>
      <c r="P135" s="41" t="s">
        <v>1689</v>
      </c>
      <c r="Q135" s="41" t="s">
        <v>1690</v>
      </c>
      <c r="R135" s="45" t="s">
        <v>1687</v>
      </c>
      <c r="S135" s="41" t="s">
        <v>1691</v>
      </c>
      <c r="T135" s="41" t="s">
        <v>1692</v>
      </c>
      <c r="U135" s="69" t="s">
        <v>1693</v>
      </c>
      <c r="V135" s="68"/>
      <c r="W135" s="68"/>
    </row>
    <row r="136" spans="1:23" ht="13" x14ac:dyDescent="0.3">
      <c r="A136" s="39">
        <v>46080.413958333331</v>
      </c>
      <c r="B136" s="40" t="s">
        <v>811</v>
      </c>
      <c r="C136" s="40" t="s">
        <v>479</v>
      </c>
      <c r="D136" s="40" t="s">
        <v>478</v>
      </c>
      <c r="E136" s="40" t="s">
        <v>28</v>
      </c>
      <c r="F136" s="70" t="s">
        <v>1550</v>
      </c>
      <c r="G136" s="68"/>
      <c r="H136" s="40" t="s">
        <v>7</v>
      </c>
      <c r="I136" s="42"/>
      <c r="J136" s="42"/>
      <c r="K136" s="42"/>
      <c r="L136" s="40" t="s">
        <v>7</v>
      </c>
      <c r="M136" s="40" t="s">
        <v>14</v>
      </c>
      <c r="N136" s="40" t="s">
        <v>1694</v>
      </c>
      <c r="O136" s="41" t="s">
        <v>1695</v>
      </c>
      <c r="P136" s="41" t="s">
        <v>1696</v>
      </c>
      <c r="Q136" s="41" t="s">
        <v>1697</v>
      </c>
      <c r="R136" s="40" t="s">
        <v>480</v>
      </c>
      <c r="S136" s="41" t="s">
        <v>1698</v>
      </c>
      <c r="T136" s="41" t="s">
        <v>1699</v>
      </c>
      <c r="U136" s="41" t="s">
        <v>1700</v>
      </c>
      <c r="V136" s="69" t="s">
        <v>1701</v>
      </c>
      <c r="W136" s="68"/>
    </row>
    <row r="137" spans="1:23" ht="13" x14ac:dyDescent="0.3">
      <c r="A137" s="44">
        <v>46080.4299537037</v>
      </c>
      <c r="B137" s="45" t="s">
        <v>917</v>
      </c>
      <c r="C137" s="45" t="s">
        <v>915</v>
      </c>
      <c r="D137" s="45" t="s">
        <v>242</v>
      </c>
      <c r="E137" s="45" t="s">
        <v>17</v>
      </c>
      <c r="F137" s="67" t="s">
        <v>1550</v>
      </c>
      <c r="G137" s="68"/>
      <c r="H137" s="45" t="s">
        <v>14</v>
      </c>
      <c r="I137" s="46"/>
      <c r="J137" s="46"/>
      <c r="K137" s="46"/>
      <c r="L137" s="45" t="s">
        <v>14</v>
      </c>
      <c r="M137" s="45" t="s">
        <v>14</v>
      </c>
      <c r="N137" s="45" t="s">
        <v>243</v>
      </c>
      <c r="O137" s="41" t="s">
        <v>1702</v>
      </c>
      <c r="P137" s="41" t="s">
        <v>1703</v>
      </c>
      <c r="Q137" s="41" t="s">
        <v>1704</v>
      </c>
      <c r="R137" s="45" t="s">
        <v>243</v>
      </c>
      <c r="S137" s="41" t="s">
        <v>1705</v>
      </c>
      <c r="T137" s="41" t="s">
        <v>1706</v>
      </c>
      <c r="U137" s="41" t="s">
        <v>1707</v>
      </c>
      <c r="V137" s="69" t="s">
        <v>1708</v>
      </c>
      <c r="W137" s="68"/>
    </row>
    <row r="138" spans="1:23" ht="13" x14ac:dyDescent="0.3">
      <c r="A138" s="39">
        <v>46080.448287037034</v>
      </c>
      <c r="B138" s="40" t="s">
        <v>931</v>
      </c>
      <c r="C138" s="40" t="s">
        <v>140</v>
      </c>
      <c r="D138" s="40" t="s">
        <v>139</v>
      </c>
      <c r="E138" s="40" t="s">
        <v>17</v>
      </c>
      <c r="F138" s="70" t="s">
        <v>1550</v>
      </c>
      <c r="G138" s="68"/>
      <c r="H138" s="40" t="s">
        <v>7</v>
      </c>
      <c r="I138" s="42"/>
      <c r="J138" s="42"/>
      <c r="K138" s="42"/>
      <c r="L138" s="40" t="s">
        <v>7</v>
      </c>
      <c r="M138" s="40" t="s">
        <v>14</v>
      </c>
      <c r="N138" s="40" t="s">
        <v>1709</v>
      </c>
      <c r="O138" s="41" t="s">
        <v>1710</v>
      </c>
      <c r="P138" s="41" t="s">
        <v>1711</v>
      </c>
      <c r="Q138" s="41" t="s">
        <v>1712</v>
      </c>
      <c r="R138" s="40" t="s">
        <v>1713</v>
      </c>
      <c r="S138" s="41" t="s">
        <v>1714</v>
      </c>
      <c r="T138" s="41" t="s">
        <v>1715</v>
      </c>
      <c r="U138" s="41" t="s">
        <v>1716</v>
      </c>
      <c r="V138" s="69" t="s">
        <v>1717</v>
      </c>
      <c r="W138" s="68"/>
    </row>
    <row r="139" spans="1:23" ht="13" x14ac:dyDescent="0.3">
      <c r="A139" s="44">
        <v>46080.475277777776</v>
      </c>
      <c r="B139" s="45" t="s">
        <v>1718</v>
      </c>
      <c r="C139" s="45" t="s">
        <v>438</v>
      </c>
      <c r="D139" s="45" t="s">
        <v>437</v>
      </c>
      <c r="E139" s="45" t="s">
        <v>28</v>
      </c>
      <c r="F139" s="67" t="s">
        <v>1550</v>
      </c>
      <c r="G139" s="68"/>
      <c r="H139" s="45" t="s">
        <v>7</v>
      </c>
      <c r="I139" s="46"/>
      <c r="J139" s="46"/>
      <c r="K139" s="46"/>
      <c r="L139" s="45" t="s">
        <v>7</v>
      </c>
      <c r="M139" s="45" t="s">
        <v>7</v>
      </c>
      <c r="N139" s="45" t="s">
        <v>1719</v>
      </c>
      <c r="O139" s="41" t="s">
        <v>1720</v>
      </c>
      <c r="P139" s="41" t="s">
        <v>1721</v>
      </c>
      <c r="Q139" s="41" t="s">
        <v>1722</v>
      </c>
      <c r="R139" s="45" t="s">
        <v>1719</v>
      </c>
      <c r="S139" s="41" t="s">
        <v>1723</v>
      </c>
      <c r="T139" s="41" t="s">
        <v>1724</v>
      </c>
      <c r="U139" s="41" t="s">
        <v>1725</v>
      </c>
      <c r="V139" s="69" t="s">
        <v>1726</v>
      </c>
      <c r="W139" s="68"/>
    </row>
    <row r="140" spans="1:23" ht="13" x14ac:dyDescent="0.3">
      <c r="A140" s="39">
        <v>46080.478912037041</v>
      </c>
      <c r="B140" s="40" t="s">
        <v>716</v>
      </c>
      <c r="C140" s="40" t="s">
        <v>440</v>
      </c>
      <c r="D140" s="40" t="s">
        <v>439</v>
      </c>
      <c r="E140" s="40" t="s">
        <v>127</v>
      </c>
      <c r="F140" s="70" t="s">
        <v>1550</v>
      </c>
      <c r="G140" s="68"/>
      <c r="H140" s="40" t="s">
        <v>14</v>
      </c>
      <c r="I140" s="42"/>
      <c r="J140" s="42"/>
      <c r="K140" s="42"/>
      <c r="L140" s="40" t="s">
        <v>14</v>
      </c>
      <c r="M140" s="40" t="s">
        <v>14</v>
      </c>
      <c r="N140" s="40" t="s">
        <v>441</v>
      </c>
      <c r="O140" s="41" t="s">
        <v>1727</v>
      </c>
      <c r="P140" s="41" t="s">
        <v>1728</v>
      </c>
      <c r="Q140" s="41" t="s">
        <v>1729</v>
      </c>
      <c r="R140" s="40" t="s">
        <v>441</v>
      </c>
      <c r="S140" s="41" t="s">
        <v>1730</v>
      </c>
      <c r="T140" s="41" t="s">
        <v>1731</v>
      </c>
      <c r="U140" s="69" t="s">
        <v>1732</v>
      </c>
      <c r="V140" s="68"/>
      <c r="W140" s="68"/>
    </row>
    <row r="141" spans="1:23" ht="13" x14ac:dyDescent="0.3">
      <c r="A141" s="44">
        <v>46080.479108796295</v>
      </c>
      <c r="B141" s="45" t="s">
        <v>902</v>
      </c>
      <c r="C141" s="45" t="s">
        <v>215</v>
      </c>
      <c r="D141" s="45" t="s">
        <v>214</v>
      </c>
      <c r="E141" s="45" t="s">
        <v>17</v>
      </c>
      <c r="F141" s="67" t="s">
        <v>1550</v>
      </c>
      <c r="G141" s="68"/>
      <c r="H141" s="45" t="s">
        <v>7</v>
      </c>
      <c r="I141" s="46"/>
      <c r="J141" s="46"/>
      <c r="K141" s="46"/>
      <c r="L141" s="45" t="s">
        <v>7</v>
      </c>
      <c r="M141" s="45" t="s">
        <v>7</v>
      </c>
      <c r="N141" s="45" t="s">
        <v>1733</v>
      </c>
      <c r="O141" s="41" t="s">
        <v>1734</v>
      </c>
      <c r="P141" s="41" t="s">
        <v>1735</v>
      </c>
      <c r="Q141" s="41" t="s">
        <v>1736</v>
      </c>
      <c r="R141" s="45" t="s">
        <v>1733</v>
      </c>
      <c r="S141" s="41" t="s">
        <v>1737</v>
      </c>
      <c r="T141" s="41" t="s">
        <v>1738</v>
      </c>
      <c r="U141" s="41" t="s">
        <v>1739</v>
      </c>
      <c r="V141" s="69" t="s">
        <v>1740</v>
      </c>
      <c r="W141" s="68"/>
    </row>
    <row r="142" spans="1:23" ht="13" x14ac:dyDescent="0.3">
      <c r="A142" s="39">
        <v>46080.479444444441</v>
      </c>
      <c r="B142" s="40" t="s">
        <v>858</v>
      </c>
      <c r="C142" s="40" t="s">
        <v>541</v>
      </c>
      <c r="D142" s="40" t="s">
        <v>540</v>
      </c>
      <c r="E142" s="40" t="s">
        <v>526</v>
      </c>
      <c r="F142" s="70" t="s">
        <v>1550</v>
      </c>
      <c r="G142" s="68"/>
      <c r="H142" s="40" t="s">
        <v>7</v>
      </c>
      <c r="I142" s="42"/>
      <c r="J142" s="42"/>
      <c r="K142" s="42"/>
      <c r="L142" s="40" t="s">
        <v>7</v>
      </c>
      <c r="M142" s="40" t="s">
        <v>7</v>
      </c>
      <c r="N142" s="40" t="s">
        <v>542</v>
      </c>
      <c r="O142" s="41" t="s">
        <v>1741</v>
      </c>
      <c r="P142" s="41" t="s">
        <v>1742</v>
      </c>
      <c r="Q142" s="41" t="s">
        <v>1743</v>
      </c>
      <c r="R142" s="40" t="s">
        <v>542</v>
      </c>
      <c r="S142" s="41" t="s">
        <v>1744</v>
      </c>
      <c r="T142" s="41" t="s">
        <v>1745</v>
      </c>
      <c r="U142" s="41" t="s">
        <v>1746</v>
      </c>
      <c r="V142" s="69" t="s">
        <v>1747</v>
      </c>
      <c r="W142" s="68"/>
    </row>
    <row r="143" spans="1:23" ht="13" x14ac:dyDescent="0.3">
      <c r="A143" s="44">
        <v>46080.498645833337</v>
      </c>
      <c r="B143" s="45" t="s">
        <v>1748</v>
      </c>
      <c r="C143" s="45" t="s">
        <v>88</v>
      </c>
      <c r="D143" s="45" t="s">
        <v>87</v>
      </c>
      <c r="E143" s="45" t="s">
        <v>17</v>
      </c>
      <c r="F143" s="67" t="s">
        <v>1550</v>
      </c>
      <c r="G143" s="68"/>
      <c r="H143" s="45" t="s">
        <v>7</v>
      </c>
      <c r="I143" s="46"/>
      <c r="J143" s="46"/>
      <c r="K143" s="46"/>
      <c r="L143" s="45" t="s">
        <v>7</v>
      </c>
      <c r="M143" s="45" t="s">
        <v>14</v>
      </c>
      <c r="N143" s="45" t="s">
        <v>1749</v>
      </c>
      <c r="O143" s="41" t="s">
        <v>1750</v>
      </c>
      <c r="P143" s="41" t="s">
        <v>1751</v>
      </c>
      <c r="Q143" s="41" t="s">
        <v>1752</v>
      </c>
      <c r="R143" s="45" t="s">
        <v>1753</v>
      </c>
      <c r="S143" s="41" t="s">
        <v>1754</v>
      </c>
      <c r="T143" s="41" t="s">
        <v>1755</v>
      </c>
      <c r="U143" s="41" t="s">
        <v>1756</v>
      </c>
      <c r="V143" s="69" t="s">
        <v>1757</v>
      </c>
      <c r="W143" s="68"/>
    </row>
    <row r="144" spans="1:23" ht="13" x14ac:dyDescent="0.3">
      <c r="A144" s="39">
        <v>46080.502743055556</v>
      </c>
      <c r="B144" s="40" t="s">
        <v>876</v>
      </c>
      <c r="C144" s="40" t="s">
        <v>16</v>
      </c>
      <c r="D144" s="40" t="s">
        <v>15</v>
      </c>
      <c r="E144" s="40" t="s">
        <v>17</v>
      </c>
      <c r="F144" s="70" t="s">
        <v>1550</v>
      </c>
      <c r="G144" s="68"/>
      <c r="H144" s="40" t="s">
        <v>14</v>
      </c>
      <c r="I144" s="42"/>
      <c r="J144" s="42"/>
      <c r="K144" s="42"/>
      <c r="L144" s="40" t="s">
        <v>14</v>
      </c>
      <c r="M144" s="40" t="s">
        <v>14</v>
      </c>
      <c r="N144" s="40" t="s">
        <v>1758</v>
      </c>
      <c r="O144" s="41" t="s">
        <v>1759</v>
      </c>
      <c r="P144" s="41" t="s">
        <v>1760</v>
      </c>
      <c r="Q144" s="41" t="s">
        <v>1761</v>
      </c>
      <c r="R144" s="40" t="s">
        <v>18</v>
      </c>
      <c r="S144" s="41" t="s">
        <v>1762</v>
      </c>
      <c r="T144" s="41" t="s">
        <v>1763</v>
      </c>
      <c r="U144" s="41" t="s">
        <v>1764</v>
      </c>
      <c r="V144" s="69" t="s">
        <v>1765</v>
      </c>
      <c r="W144" s="68"/>
    </row>
    <row r="145" spans="1:23" ht="13" x14ac:dyDescent="0.3">
      <c r="A145" s="44">
        <v>46080.528298611112</v>
      </c>
      <c r="B145" s="45" t="s">
        <v>900</v>
      </c>
      <c r="C145" s="45" t="s">
        <v>55</v>
      </c>
      <c r="D145" s="45" t="s">
        <v>54</v>
      </c>
      <c r="E145" s="45" t="s">
        <v>17</v>
      </c>
      <c r="F145" s="67" t="s">
        <v>1550</v>
      </c>
      <c r="G145" s="68"/>
      <c r="H145" s="45" t="s">
        <v>14</v>
      </c>
      <c r="I145" s="46"/>
      <c r="J145" s="46"/>
      <c r="K145" s="46"/>
      <c r="L145" s="45" t="s">
        <v>14</v>
      </c>
      <c r="M145" s="45" t="s">
        <v>14</v>
      </c>
      <c r="N145" s="45" t="s">
        <v>1766</v>
      </c>
      <c r="O145" s="41" t="s">
        <v>1767</v>
      </c>
      <c r="P145" s="41" t="s">
        <v>1768</v>
      </c>
      <c r="Q145" s="41" t="s">
        <v>1769</v>
      </c>
      <c r="R145" s="45" t="s">
        <v>1766</v>
      </c>
      <c r="S145" s="41" t="s">
        <v>1770</v>
      </c>
      <c r="T145" s="41" t="s">
        <v>1771</v>
      </c>
      <c r="U145" s="41" t="s">
        <v>1772</v>
      </c>
      <c r="V145" s="69" t="s">
        <v>1773</v>
      </c>
      <c r="W145" s="68"/>
    </row>
    <row r="146" spans="1:23" ht="13" x14ac:dyDescent="0.3">
      <c r="A146" s="39">
        <v>46080.539837962962</v>
      </c>
      <c r="B146" s="40" t="s">
        <v>683</v>
      </c>
      <c r="C146" s="40" t="s">
        <v>520</v>
      </c>
      <c r="D146" s="40" t="s">
        <v>519</v>
      </c>
      <c r="E146" s="40" t="s">
        <v>127</v>
      </c>
      <c r="F146" s="70" t="s">
        <v>1550</v>
      </c>
      <c r="G146" s="68"/>
      <c r="H146" s="40" t="s">
        <v>14</v>
      </c>
      <c r="I146" s="42"/>
      <c r="J146" s="42"/>
      <c r="K146" s="42"/>
      <c r="L146" s="40" t="s">
        <v>14</v>
      </c>
      <c r="M146" s="40" t="s">
        <v>14</v>
      </c>
      <c r="N146" s="40" t="s">
        <v>521</v>
      </c>
      <c r="O146" s="41" t="s">
        <v>1774</v>
      </c>
      <c r="P146" s="41" t="s">
        <v>1775</v>
      </c>
      <c r="Q146" s="41" t="s">
        <v>1776</v>
      </c>
      <c r="R146" s="40" t="s">
        <v>521</v>
      </c>
      <c r="S146" s="41" t="s">
        <v>1777</v>
      </c>
      <c r="T146" s="41" t="s">
        <v>1778</v>
      </c>
      <c r="U146" s="69" t="s">
        <v>1779</v>
      </c>
      <c r="V146" s="68"/>
      <c r="W146" s="68"/>
    </row>
    <row r="147" spans="1:23" ht="13" x14ac:dyDescent="0.3">
      <c r="A147" s="44">
        <v>46080.547337962962</v>
      </c>
      <c r="B147" s="45" t="s">
        <v>886</v>
      </c>
      <c r="C147" s="45" t="s">
        <v>24</v>
      </c>
      <c r="D147" s="45" t="s">
        <v>23</v>
      </c>
      <c r="E147" s="45" t="s">
        <v>17</v>
      </c>
      <c r="F147" s="67" t="s">
        <v>1550</v>
      </c>
      <c r="G147" s="68"/>
      <c r="H147" s="45" t="s">
        <v>14</v>
      </c>
      <c r="I147" s="46"/>
      <c r="J147" s="46"/>
      <c r="K147" s="46"/>
      <c r="L147" s="45" t="s">
        <v>14</v>
      </c>
      <c r="M147" s="45" t="s">
        <v>14</v>
      </c>
      <c r="N147" s="45" t="s">
        <v>25</v>
      </c>
      <c r="O147" s="41" t="s">
        <v>1780</v>
      </c>
      <c r="P147" s="41" t="s">
        <v>1781</v>
      </c>
      <c r="Q147" s="41" t="s">
        <v>1782</v>
      </c>
      <c r="R147" s="45" t="s">
        <v>25</v>
      </c>
      <c r="S147" s="41" t="s">
        <v>1783</v>
      </c>
      <c r="T147" s="41" t="s">
        <v>1784</v>
      </c>
      <c r="U147" s="41" t="s">
        <v>1785</v>
      </c>
      <c r="V147" s="69" t="s">
        <v>1786</v>
      </c>
      <c r="W147" s="68"/>
    </row>
    <row r="148" spans="1:23" ht="13" x14ac:dyDescent="0.3">
      <c r="A148" s="39">
        <v>46080.547800925924</v>
      </c>
      <c r="B148" s="40" t="s">
        <v>932</v>
      </c>
      <c r="C148" s="40" t="s">
        <v>142</v>
      </c>
      <c r="D148" s="40" t="s">
        <v>141</v>
      </c>
      <c r="E148" s="40" t="s">
        <v>17</v>
      </c>
      <c r="F148" s="70" t="s">
        <v>1550</v>
      </c>
      <c r="G148" s="68"/>
      <c r="H148" s="40" t="s">
        <v>14</v>
      </c>
      <c r="I148" s="42"/>
      <c r="J148" s="42"/>
      <c r="K148" s="42"/>
      <c r="L148" s="40" t="s">
        <v>14</v>
      </c>
      <c r="M148" s="40" t="s">
        <v>14</v>
      </c>
      <c r="N148" s="40" t="s">
        <v>1787</v>
      </c>
      <c r="O148" s="41" t="s">
        <v>1788</v>
      </c>
      <c r="P148" s="41" t="s">
        <v>1789</v>
      </c>
      <c r="Q148" s="41" t="s">
        <v>1790</v>
      </c>
      <c r="R148" s="40" t="s">
        <v>1787</v>
      </c>
      <c r="S148" s="41" t="s">
        <v>1791</v>
      </c>
      <c r="T148" s="41" t="s">
        <v>1792</v>
      </c>
      <c r="U148" s="41" t="s">
        <v>1793</v>
      </c>
      <c r="V148" s="69" t="s">
        <v>1794</v>
      </c>
      <c r="W148" s="68"/>
    </row>
    <row r="149" spans="1:23" ht="13" x14ac:dyDescent="0.3">
      <c r="A149" s="44">
        <v>46080.550509259258</v>
      </c>
      <c r="B149" s="45" t="s">
        <v>1019</v>
      </c>
      <c r="C149" s="45" t="s">
        <v>68</v>
      </c>
      <c r="D149" s="45" t="s">
        <v>67</v>
      </c>
      <c r="E149" s="45" t="s">
        <v>975</v>
      </c>
      <c r="F149" s="67" t="s">
        <v>1550</v>
      </c>
      <c r="G149" s="68"/>
      <c r="H149" s="45" t="s">
        <v>7</v>
      </c>
      <c r="I149" s="46"/>
      <c r="J149" s="46"/>
      <c r="K149" s="46"/>
      <c r="L149" s="45" t="s">
        <v>7</v>
      </c>
      <c r="M149" s="45" t="s">
        <v>7</v>
      </c>
      <c r="N149" s="45" t="s">
        <v>69</v>
      </c>
      <c r="O149" s="41" t="s">
        <v>1795</v>
      </c>
      <c r="P149" s="41" t="s">
        <v>1796</v>
      </c>
      <c r="Q149" s="41" t="s">
        <v>1797</v>
      </c>
      <c r="R149" s="45" t="s">
        <v>69</v>
      </c>
      <c r="S149" s="41" t="s">
        <v>1798</v>
      </c>
      <c r="T149" s="41" t="s">
        <v>1799</v>
      </c>
      <c r="U149" s="69" t="s">
        <v>1800</v>
      </c>
      <c r="V149" s="68"/>
      <c r="W149" s="68"/>
    </row>
    <row r="150" spans="1:23" ht="13" x14ac:dyDescent="0.3">
      <c r="A150" s="39">
        <v>46080.552129629628</v>
      </c>
      <c r="B150" s="40" t="s">
        <v>796</v>
      </c>
      <c r="C150" s="40" t="s">
        <v>415</v>
      </c>
      <c r="D150" s="40" t="s">
        <v>414</v>
      </c>
      <c r="E150" s="40" t="s">
        <v>28</v>
      </c>
      <c r="F150" s="70" t="s">
        <v>1550</v>
      </c>
      <c r="G150" s="68"/>
      <c r="H150" s="40" t="s">
        <v>7</v>
      </c>
      <c r="I150" s="42"/>
      <c r="J150" s="42"/>
      <c r="K150" s="42"/>
      <c r="L150" s="40" t="s">
        <v>7</v>
      </c>
      <c r="M150" s="40" t="s">
        <v>7</v>
      </c>
      <c r="N150" s="40" t="s">
        <v>416</v>
      </c>
      <c r="O150" s="41" t="s">
        <v>1801</v>
      </c>
      <c r="P150" s="41" t="s">
        <v>1802</v>
      </c>
      <c r="Q150" s="41" t="s">
        <v>1803</v>
      </c>
      <c r="R150" s="40" t="s">
        <v>416</v>
      </c>
      <c r="S150" s="41" t="s">
        <v>1804</v>
      </c>
      <c r="T150" s="41" t="s">
        <v>1805</v>
      </c>
      <c r="U150" s="69" t="s">
        <v>1806</v>
      </c>
      <c r="V150" s="68"/>
      <c r="W150" s="68"/>
    </row>
    <row r="151" spans="1:23" ht="13" x14ac:dyDescent="0.3">
      <c r="A151" s="44">
        <v>46080.558668981481</v>
      </c>
      <c r="B151" s="45" t="s">
        <v>672</v>
      </c>
      <c r="C151" s="45" t="s">
        <v>517</v>
      </c>
      <c r="D151" s="45" t="s">
        <v>516</v>
      </c>
      <c r="E151" s="45" t="s">
        <v>127</v>
      </c>
      <c r="F151" s="67" t="s">
        <v>1550</v>
      </c>
      <c r="G151" s="68"/>
      <c r="H151" s="45" t="s">
        <v>7</v>
      </c>
      <c r="I151" s="46"/>
      <c r="J151" s="46"/>
      <c r="K151" s="46"/>
      <c r="L151" s="45" t="s">
        <v>7</v>
      </c>
      <c r="M151" s="45" t="s">
        <v>7</v>
      </c>
      <c r="N151" s="45" t="s">
        <v>1807</v>
      </c>
      <c r="O151" s="41" t="s">
        <v>1808</v>
      </c>
      <c r="P151" s="41" t="s">
        <v>1809</v>
      </c>
      <c r="Q151" s="41" t="s">
        <v>1810</v>
      </c>
      <c r="R151" s="45" t="s">
        <v>518</v>
      </c>
      <c r="S151" s="41" t="s">
        <v>1811</v>
      </c>
      <c r="T151" s="41" t="s">
        <v>1812</v>
      </c>
      <c r="U151" s="41" t="s">
        <v>1813</v>
      </c>
      <c r="V151" s="69" t="s">
        <v>1814</v>
      </c>
      <c r="W151" s="68"/>
    </row>
    <row r="152" spans="1:23" ht="13" x14ac:dyDescent="0.3">
      <c r="A152" s="39">
        <v>46080.619791666664</v>
      </c>
      <c r="B152" s="40" t="s">
        <v>856</v>
      </c>
      <c r="C152" s="40" t="s">
        <v>579</v>
      </c>
      <c r="D152" s="40" t="s">
        <v>578</v>
      </c>
      <c r="E152" s="40" t="s">
        <v>526</v>
      </c>
      <c r="F152" s="70" t="s">
        <v>1550</v>
      </c>
      <c r="G152" s="68"/>
      <c r="H152" s="40" t="s">
        <v>7</v>
      </c>
      <c r="I152" s="42"/>
      <c r="J152" s="42"/>
      <c r="K152" s="42"/>
      <c r="L152" s="40" t="s">
        <v>7</v>
      </c>
      <c r="M152" s="40" t="s">
        <v>7</v>
      </c>
      <c r="N152" s="40" t="s">
        <v>1815</v>
      </c>
      <c r="O152" s="41" t="s">
        <v>1816</v>
      </c>
      <c r="P152" s="41" t="s">
        <v>1817</v>
      </c>
      <c r="Q152" s="41" t="s">
        <v>1818</v>
      </c>
      <c r="R152" s="40" t="s">
        <v>1815</v>
      </c>
      <c r="S152" s="41" t="s">
        <v>1819</v>
      </c>
      <c r="T152" s="41" t="s">
        <v>1820</v>
      </c>
      <c r="U152" s="69" t="s">
        <v>1821</v>
      </c>
      <c r="V152" s="68"/>
      <c r="W152" s="68"/>
    </row>
    <row r="153" spans="1:23" ht="13" x14ac:dyDescent="0.3">
      <c r="A153" s="44">
        <v>46080.63009259259</v>
      </c>
      <c r="B153" s="45" t="s">
        <v>848</v>
      </c>
      <c r="C153" s="45" t="s">
        <v>488</v>
      </c>
      <c r="D153" s="45" t="s">
        <v>567</v>
      </c>
      <c r="E153" s="45" t="s">
        <v>526</v>
      </c>
      <c r="F153" s="67" t="s">
        <v>1550</v>
      </c>
      <c r="G153" s="68"/>
      <c r="H153" s="45" t="s">
        <v>7</v>
      </c>
      <c r="I153" s="46"/>
      <c r="J153" s="46"/>
      <c r="K153" s="46"/>
      <c r="L153" s="45" t="s">
        <v>7</v>
      </c>
      <c r="M153" s="45" t="s">
        <v>7</v>
      </c>
      <c r="N153" s="45" t="s">
        <v>1822</v>
      </c>
      <c r="O153" s="41" t="s">
        <v>1823</v>
      </c>
      <c r="P153" s="41" t="s">
        <v>1824</v>
      </c>
      <c r="Q153" s="41" t="s">
        <v>1825</v>
      </c>
      <c r="R153" s="45" t="s">
        <v>1822</v>
      </c>
      <c r="S153" s="41" t="s">
        <v>1826</v>
      </c>
      <c r="T153" s="41" t="s">
        <v>1827</v>
      </c>
      <c r="U153" s="41" t="s">
        <v>1828</v>
      </c>
      <c r="V153" s="69" t="s">
        <v>1829</v>
      </c>
      <c r="W153" s="68"/>
    </row>
    <row r="154" spans="1:23" ht="13" x14ac:dyDescent="0.3">
      <c r="A154" s="39">
        <v>46080.633634259262</v>
      </c>
      <c r="B154" s="40" t="s">
        <v>908</v>
      </c>
      <c r="C154" s="50" t="s">
        <v>121</v>
      </c>
      <c r="D154" s="40" t="s">
        <v>120</v>
      </c>
      <c r="E154" s="40" t="s">
        <v>17</v>
      </c>
      <c r="F154" s="70" t="s">
        <v>1550</v>
      </c>
      <c r="G154" s="68"/>
      <c r="H154" s="40" t="s">
        <v>14</v>
      </c>
      <c r="I154" s="42"/>
      <c r="J154" s="42"/>
      <c r="K154" s="42"/>
      <c r="L154" s="40" t="s">
        <v>14</v>
      </c>
      <c r="M154" s="40" t="s">
        <v>14</v>
      </c>
      <c r="N154" s="40" t="s">
        <v>122</v>
      </c>
      <c r="O154" s="41" t="s">
        <v>1830</v>
      </c>
      <c r="P154" s="41" t="s">
        <v>1831</v>
      </c>
      <c r="Q154" s="41" t="s">
        <v>1832</v>
      </c>
      <c r="R154" s="40" t="s">
        <v>122</v>
      </c>
      <c r="S154" s="41" t="s">
        <v>1833</v>
      </c>
      <c r="T154" s="41" t="s">
        <v>1834</v>
      </c>
      <c r="U154" s="41" t="s">
        <v>1835</v>
      </c>
      <c r="V154" s="69" t="s">
        <v>1836</v>
      </c>
      <c r="W154" s="68"/>
    </row>
    <row r="155" spans="1:23" ht="13" x14ac:dyDescent="0.3">
      <c r="A155" s="44">
        <v>46080.633946759262</v>
      </c>
      <c r="B155" s="45" t="s">
        <v>982</v>
      </c>
      <c r="C155" s="45" t="s">
        <v>119</v>
      </c>
      <c r="D155" s="45" t="s">
        <v>118</v>
      </c>
      <c r="E155" s="45" t="s">
        <v>6</v>
      </c>
      <c r="F155" s="67" t="s">
        <v>1550</v>
      </c>
      <c r="G155" s="68"/>
      <c r="H155" s="45" t="s">
        <v>14</v>
      </c>
      <c r="I155" s="46"/>
      <c r="J155" s="46"/>
      <c r="K155" s="46"/>
      <c r="L155" s="45" t="s">
        <v>14</v>
      </c>
      <c r="M155" s="45" t="s">
        <v>14</v>
      </c>
      <c r="N155" s="67" t="s">
        <v>1837</v>
      </c>
      <c r="O155" s="68"/>
      <c r="P155" s="68"/>
      <c r="Q155" s="68"/>
      <c r="R155" s="45" t="s">
        <v>1837</v>
      </c>
      <c r="S155" s="41" t="s">
        <v>1838</v>
      </c>
      <c r="T155" s="41" t="s">
        <v>1839</v>
      </c>
      <c r="U155" s="41" t="s">
        <v>1840</v>
      </c>
      <c r="V155" s="69" t="s">
        <v>1841</v>
      </c>
      <c r="W155" s="68"/>
    </row>
    <row r="156" spans="1:23" ht="13" x14ac:dyDescent="0.3">
      <c r="A156" s="39">
        <v>46080.636122685188</v>
      </c>
      <c r="B156" s="40" t="s">
        <v>969</v>
      </c>
      <c r="C156" s="40" t="s">
        <v>373</v>
      </c>
      <c r="D156" s="40" t="s">
        <v>372</v>
      </c>
      <c r="E156" s="40" t="s">
        <v>17</v>
      </c>
      <c r="F156" s="70" t="s">
        <v>1550</v>
      </c>
      <c r="G156" s="68"/>
      <c r="H156" s="40" t="s">
        <v>14</v>
      </c>
      <c r="I156" s="42"/>
      <c r="J156" s="42"/>
      <c r="K156" s="42"/>
      <c r="L156" s="40" t="s">
        <v>14</v>
      </c>
      <c r="M156" s="40" t="s">
        <v>14</v>
      </c>
      <c r="N156" s="40" t="s">
        <v>1842</v>
      </c>
      <c r="O156" s="41" t="s">
        <v>1843</v>
      </c>
      <c r="P156" s="41" t="s">
        <v>1844</v>
      </c>
      <c r="Q156" s="41" t="s">
        <v>1845</v>
      </c>
      <c r="R156" s="40" t="s">
        <v>1842</v>
      </c>
      <c r="S156" s="41" t="s">
        <v>1846</v>
      </c>
      <c r="T156" s="41" t="s">
        <v>1847</v>
      </c>
      <c r="U156" s="41" t="s">
        <v>1848</v>
      </c>
      <c r="V156" s="69" t="s">
        <v>1849</v>
      </c>
      <c r="W156" s="68"/>
    </row>
    <row r="157" spans="1:23" ht="13" x14ac:dyDescent="0.3">
      <c r="A157" s="44">
        <v>46080.642592592594</v>
      </c>
      <c r="B157" s="45" t="s">
        <v>843</v>
      </c>
      <c r="C157" s="45" t="s">
        <v>583</v>
      </c>
      <c r="D157" s="45" t="s">
        <v>1850</v>
      </c>
      <c r="E157" s="45" t="s">
        <v>526</v>
      </c>
      <c r="F157" s="67" t="s">
        <v>1550</v>
      </c>
      <c r="G157" s="68"/>
      <c r="H157" s="45" t="s">
        <v>7</v>
      </c>
      <c r="I157" s="46"/>
      <c r="J157" s="46"/>
      <c r="K157" s="46"/>
      <c r="L157" s="45" t="s">
        <v>7</v>
      </c>
      <c r="M157" s="45" t="s">
        <v>7</v>
      </c>
      <c r="N157" s="45" t="s">
        <v>1851</v>
      </c>
      <c r="O157" s="41" t="s">
        <v>1852</v>
      </c>
      <c r="P157" s="41" t="s">
        <v>1853</v>
      </c>
      <c r="Q157" s="41" t="s">
        <v>1854</v>
      </c>
      <c r="R157" s="45" t="s">
        <v>584</v>
      </c>
      <c r="S157" s="41" t="s">
        <v>1855</v>
      </c>
      <c r="T157" s="41" t="s">
        <v>1856</v>
      </c>
      <c r="U157" s="41" t="s">
        <v>1857</v>
      </c>
      <c r="V157" s="69" t="s">
        <v>1858</v>
      </c>
      <c r="W157" s="68"/>
    </row>
    <row r="158" spans="1:23" ht="13" x14ac:dyDescent="0.3">
      <c r="A158" s="39">
        <v>46080.648981481485</v>
      </c>
      <c r="B158" s="40" t="s">
        <v>835</v>
      </c>
      <c r="C158" s="40" t="s">
        <v>547</v>
      </c>
      <c r="D158" s="40" t="s">
        <v>546</v>
      </c>
      <c r="E158" s="40" t="s">
        <v>526</v>
      </c>
      <c r="F158" s="70" t="s">
        <v>1550</v>
      </c>
      <c r="G158" s="68"/>
      <c r="H158" s="40" t="s">
        <v>7</v>
      </c>
      <c r="I158" s="42"/>
      <c r="J158" s="42"/>
      <c r="K158" s="42"/>
      <c r="L158" s="40" t="s">
        <v>7</v>
      </c>
      <c r="M158" s="40" t="s">
        <v>7</v>
      </c>
      <c r="N158" s="40" t="s">
        <v>548</v>
      </c>
      <c r="O158" s="41" t="s">
        <v>1859</v>
      </c>
      <c r="P158" s="41" t="s">
        <v>1860</v>
      </c>
      <c r="Q158" s="41" t="s">
        <v>1861</v>
      </c>
      <c r="R158" s="40" t="s">
        <v>548</v>
      </c>
      <c r="S158" s="41" t="s">
        <v>1862</v>
      </c>
      <c r="T158" s="41" t="s">
        <v>1863</v>
      </c>
      <c r="U158" s="41" t="s">
        <v>1864</v>
      </c>
      <c r="V158" s="69" t="s">
        <v>1865</v>
      </c>
      <c r="W158" s="68"/>
    </row>
    <row r="159" spans="1:23" ht="13" x14ac:dyDescent="0.3">
      <c r="A159" s="44">
        <v>46080.649594907409</v>
      </c>
      <c r="B159" s="45" t="s">
        <v>857</v>
      </c>
      <c r="C159" s="45" t="s">
        <v>581</v>
      </c>
      <c r="D159" s="45" t="s">
        <v>580</v>
      </c>
      <c r="E159" s="45" t="s">
        <v>526</v>
      </c>
      <c r="F159" s="67" t="s">
        <v>1550</v>
      </c>
      <c r="G159" s="68"/>
      <c r="H159" s="45" t="s">
        <v>7</v>
      </c>
      <c r="I159" s="46"/>
      <c r="J159" s="46"/>
      <c r="K159" s="46"/>
      <c r="L159" s="45" t="s">
        <v>7</v>
      </c>
      <c r="M159" s="45" t="s">
        <v>7</v>
      </c>
      <c r="N159" s="45" t="s">
        <v>1866</v>
      </c>
      <c r="O159" s="41" t="s">
        <v>1867</v>
      </c>
      <c r="P159" s="41" t="s">
        <v>1868</v>
      </c>
      <c r="Q159" s="41" t="s">
        <v>1869</v>
      </c>
      <c r="R159" s="45" t="s">
        <v>1866</v>
      </c>
      <c r="S159" s="41" t="s">
        <v>1870</v>
      </c>
      <c r="T159" s="41" t="s">
        <v>1871</v>
      </c>
      <c r="U159" s="41" t="s">
        <v>1872</v>
      </c>
      <c r="V159" s="69" t="s">
        <v>1873</v>
      </c>
      <c r="W159" s="68"/>
    </row>
    <row r="160" spans="1:23" ht="13" x14ac:dyDescent="0.3">
      <c r="A160" s="39">
        <v>46080.66778935185</v>
      </c>
      <c r="B160" s="40" t="s">
        <v>667</v>
      </c>
      <c r="C160" s="40" t="s">
        <v>405</v>
      </c>
      <c r="D160" s="40" t="s">
        <v>404</v>
      </c>
      <c r="E160" s="40" t="s">
        <v>127</v>
      </c>
      <c r="F160" s="70" t="s">
        <v>1550</v>
      </c>
      <c r="G160" s="68"/>
      <c r="H160" s="40" t="s">
        <v>14</v>
      </c>
      <c r="I160" s="42"/>
      <c r="J160" s="42"/>
      <c r="K160" s="42"/>
      <c r="L160" s="40" t="s">
        <v>14</v>
      </c>
      <c r="M160" s="40" t="s">
        <v>14</v>
      </c>
      <c r="N160" s="40" t="s">
        <v>1874</v>
      </c>
      <c r="O160" s="41" t="s">
        <v>1875</v>
      </c>
      <c r="P160" s="41" t="s">
        <v>1876</v>
      </c>
      <c r="Q160" s="41" t="s">
        <v>1877</v>
      </c>
      <c r="R160" s="40" t="s">
        <v>406</v>
      </c>
      <c r="S160" s="41" t="s">
        <v>1878</v>
      </c>
      <c r="T160" s="41" t="s">
        <v>1879</v>
      </c>
      <c r="U160" s="69" t="s">
        <v>1880</v>
      </c>
      <c r="V160" s="68"/>
      <c r="W160" s="68"/>
    </row>
    <row r="161" spans="1:23" ht="13" x14ac:dyDescent="0.3">
      <c r="A161" s="44">
        <v>46080.670706018522</v>
      </c>
      <c r="B161" s="45" t="s">
        <v>784</v>
      </c>
      <c r="C161" s="45" t="s">
        <v>418</v>
      </c>
      <c r="D161" s="45" t="s">
        <v>417</v>
      </c>
      <c r="E161" s="45" t="s">
        <v>28</v>
      </c>
      <c r="F161" s="67" t="s">
        <v>1550</v>
      </c>
      <c r="G161" s="68"/>
      <c r="H161" s="45" t="s">
        <v>7</v>
      </c>
      <c r="I161" s="46"/>
      <c r="J161" s="46"/>
      <c r="K161" s="46"/>
      <c r="L161" s="45" t="s">
        <v>7</v>
      </c>
      <c r="M161" s="45" t="s">
        <v>7</v>
      </c>
      <c r="N161" s="45" t="s">
        <v>419</v>
      </c>
      <c r="O161" s="41" t="s">
        <v>1881</v>
      </c>
      <c r="P161" s="41" t="s">
        <v>1882</v>
      </c>
      <c r="Q161" s="41" t="s">
        <v>1883</v>
      </c>
      <c r="R161" s="45" t="s">
        <v>419</v>
      </c>
      <c r="S161" s="41" t="s">
        <v>1884</v>
      </c>
      <c r="T161" s="41" t="s">
        <v>1885</v>
      </c>
      <c r="U161" s="69" t="s">
        <v>1886</v>
      </c>
      <c r="V161" s="68"/>
      <c r="W161" s="68"/>
    </row>
    <row r="162" spans="1:23" ht="13" x14ac:dyDescent="0.3">
      <c r="A162" s="39">
        <v>46080.679155092592</v>
      </c>
      <c r="B162" s="40" t="s">
        <v>973</v>
      </c>
      <c r="C162" s="40" t="s">
        <v>117</v>
      </c>
      <c r="D162" s="40" t="s">
        <v>116</v>
      </c>
      <c r="E162" s="40" t="s">
        <v>17</v>
      </c>
      <c r="F162" s="70" t="s">
        <v>1550</v>
      </c>
      <c r="G162" s="68"/>
      <c r="H162" s="40" t="s">
        <v>14</v>
      </c>
      <c r="I162" s="42"/>
      <c r="J162" s="42"/>
      <c r="K162" s="42"/>
      <c r="L162" s="40" t="s">
        <v>14</v>
      </c>
      <c r="M162" s="40" t="s">
        <v>14</v>
      </c>
      <c r="N162" s="40" t="s">
        <v>1887</v>
      </c>
      <c r="O162" s="41" t="s">
        <v>1888</v>
      </c>
      <c r="P162" s="41" t="s">
        <v>1889</v>
      </c>
      <c r="Q162" s="41" t="s">
        <v>1890</v>
      </c>
      <c r="R162" s="40" t="s">
        <v>1891</v>
      </c>
      <c r="S162" s="41" t="s">
        <v>1892</v>
      </c>
      <c r="T162" s="41" t="s">
        <v>1893</v>
      </c>
      <c r="U162" s="69" t="s">
        <v>1894</v>
      </c>
      <c r="V162" s="68"/>
      <c r="W162" s="68"/>
    </row>
    <row r="163" spans="1:23" ht="13" x14ac:dyDescent="0.3">
      <c r="A163" s="44">
        <v>46080.681851851848</v>
      </c>
      <c r="B163" s="45" t="s">
        <v>859</v>
      </c>
      <c r="C163" s="45" t="s">
        <v>544</v>
      </c>
      <c r="D163" s="45" t="s">
        <v>543</v>
      </c>
      <c r="E163" s="45" t="s">
        <v>526</v>
      </c>
      <c r="F163" s="67" t="s">
        <v>1550</v>
      </c>
      <c r="G163" s="68"/>
      <c r="H163" s="45" t="s">
        <v>7</v>
      </c>
      <c r="I163" s="46"/>
      <c r="J163" s="46"/>
      <c r="K163" s="46"/>
      <c r="L163" s="45" t="s">
        <v>7</v>
      </c>
      <c r="M163" s="45" t="s">
        <v>7</v>
      </c>
      <c r="N163" s="45" t="s">
        <v>1895</v>
      </c>
      <c r="O163" s="41" t="s">
        <v>1896</v>
      </c>
      <c r="P163" s="41" t="s">
        <v>1897</v>
      </c>
      <c r="Q163" s="41" t="s">
        <v>1898</v>
      </c>
      <c r="R163" s="45" t="s">
        <v>545</v>
      </c>
      <c r="S163" s="41" t="s">
        <v>1899</v>
      </c>
      <c r="T163" s="41" t="s">
        <v>1900</v>
      </c>
      <c r="U163" s="69" t="s">
        <v>1901</v>
      </c>
      <c r="V163" s="68"/>
      <c r="W163" s="68"/>
    </row>
    <row r="164" spans="1:23" ht="13" x14ac:dyDescent="0.3">
      <c r="A164" s="39">
        <v>46080.682025462964</v>
      </c>
      <c r="B164" s="40" t="s">
        <v>777</v>
      </c>
      <c r="C164" s="40" t="s">
        <v>410</v>
      </c>
      <c r="D164" s="40" t="s">
        <v>409</v>
      </c>
      <c r="E164" s="40" t="s">
        <v>28</v>
      </c>
      <c r="F164" s="70" t="s">
        <v>1550</v>
      </c>
      <c r="G164" s="68"/>
      <c r="H164" s="40" t="s">
        <v>7</v>
      </c>
      <c r="I164" s="42"/>
      <c r="J164" s="42"/>
      <c r="K164" s="42"/>
      <c r="L164" s="40" t="s">
        <v>7</v>
      </c>
      <c r="M164" s="40" t="s">
        <v>7</v>
      </c>
      <c r="N164" s="40" t="s">
        <v>1902</v>
      </c>
      <c r="O164" s="41" t="s">
        <v>1903</v>
      </c>
      <c r="P164" s="41" t="s">
        <v>1904</v>
      </c>
      <c r="Q164" s="41" t="s">
        <v>1905</v>
      </c>
      <c r="R164" s="40" t="s">
        <v>1902</v>
      </c>
      <c r="S164" s="41" t="s">
        <v>1906</v>
      </c>
      <c r="T164" s="41" t="s">
        <v>1907</v>
      </c>
      <c r="U164" s="41" t="s">
        <v>1908</v>
      </c>
      <c r="V164" s="69" t="s">
        <v>1909</v>
      </c>
      <c r="W164" s="68"/>
    </row>
    <row r="165" spans="1:23" ht="13" x14ac:dyDescent="0.3">
      <c r="A165" s="44">
        <v>46080.689074074071</v>
      </c>
      <c r="B165" s="45" t="s">
        <v>968</v>
      </c>
      <c r="C165" s="45" t="s">
        <v>371</v>
      </c>
      <c r="D165" s="45" t="s">
        <v>370</v>
      </c>
      <c r="E165" s="45" t="s">
        <v>17</v>
      </c>
      <c r="F165" s="67" t="s">
        <v>1550</v>
      </c>
      <c r="G165" s="68"/>
      <c r="H165" s="45" t="s">
        <v>14</v>
      </c>
      <c r="I165" s="46"/>
      <c r="J165" s="46"/>
      <c r="K165" s="46"/>
      <c r="L165" s="45" t="s">
        <v>14</v>
      </c>
      <c r="M165" s="45" t="s">
        <v>14</v>
      </c>
      <c r="N165" s="45" t="s">
        <v>1910</v>
      </c>
      <c r="O165" s="41" t="s">
        <v>1911</v>
      </c>
      <c r="P165" s="41" t="s">
        <v>1912</v>
      </c>
      <c r="Q165" s="41" t="s">
        <v>1913</v>
      </c>
      <c r="R165" s="45" t="s">
        <v>1910</v>
      </c>
      <c r="S165" s="41" t="s">
        <v>1914</v>
      </c>
      <c r="T165" s="41" t="s">
        <v>1915</v>
      </c>
      <c r="U165" s="41" t="s">
        <v>1916</v>
      </c>
      <c r="V165" s="69" t="s">
        <v>1917</v>
      </c>
      <c r="W165" s="68"/>
    </row>
    <row r="166" spans="1:23" ht="13" x14ac:dyDescent="0.3">
      <c r="A166" s="39">
        <v>46080.701574074075</v>
      </c>
      <c r="B166" s="40" t="s">
        <v>823</v>
      </c>
      <c r="C166" s="40" t="s">
        <v>1918</v>
      </c>
      <c r="D166" s="40" t="s">
        <v>524</v>
      </c>
      <c r="E166" s="40" t="s">
        <v>526</v>
      </c>
      <c r="F166" s="70" t="s">
        <v>1550</v>
      </c>
      <c r="G166" s="68"/>
      <c r="H166" s="40" t="s">
        <v>7</v>
      </c>
      <c r="I166" s="42"/>
      <c r="J166" s="42"/>
      <c r="K166" s="42"/>
      <c r="L166" s="40" t="s">
        <v>7</v>
      </c>
      <c r="M166" s="40" t="s">
        <v>7</v>
      </c>
      <c r="N166" s="40" t="s">
        <v>527</v>
      </c>
      <c r="O166" s="41" t="s">
        <v>1919</v>
      </c>
      <c r="P166" s="41" t="s">
        <v>1920</v>
      </c>
      <c r="Q166" s="41" t="s">
        <v>1921</v>
      </c>
      <c r="R166" s="40" t="s">
        <v>527</v>
      </c>
      <c r="S166" s="41" t="s">
        <v>1922</v>
      </c>
      <c r="T166" s="41" t="s">
        <v>1923</v>
      </c>
      <c r="U166" s="41" t="s">
        <v>1924</v>
      </c>
      <c r="V166" s="69" t="s">
        <v>1925</v>
      </c>
      <c r="W166" s="68"/>
    </row>
    <row r="167" spans="1:23" ht="13" x14ac:dyDescent="0.3">
      <c r="A167" s="44">
        <v>46080.702870370369</v>
      </c>
      <c r="B167" s="45" t="s">
        <v>983</v>
      </c>
      <c r="C167" s="45" t="s">
        <v>64</v>
      </c>
      <c r="D167" s="45" t="s">
        <v>63</v>
      </c>
      <c r="E167" s="45" t="s">
        <v>6</v>
      </c>
      <c r="F167" s="67" t="s">
        <v>1550</v>
      </c>
      <c r="G167" s="68"/>
      <c r="H167" s="45" t="s">
        <v>14</v>
      </c>
      <c r="I167" s="46"/>
      <c r="J167" s="46"/>
      <c r="K167" s="46"/>
      <c r="L167" s="45" t="s">
        <v>14</v>
      </c>
      <c r="M167" s="45" t="s">
        <v>14</v>
      </c>
      <c r="N167" s="45" t="s">
        <v>65</v>
      </c>
      <c r="O167" s="41" t="s">
        <v>1926</v>
      </c>
      <c r="P167" s="41" t="s">
        <v>1927</v>
      </c>
      <c r="Q167" s="41" t="s">
        <v>1928</v>
      </c>
      <c r="R167" s="45" t="s">
        <v>65</v>
      </c>
      <c r="S167" s="41" t="s">
        <v>1929</v>
      </c>
      <c r="T167" s="41" t="s">
        <v>1930</v>
      </c>
      <c r="U167" s="41" t="s">
        <v>1931</v>
      </c>
      <c r="V167" s="69" t="s">
        <v>1932</v>
      </c>
      <c r="W167" s="68"/>
    </row>
    <row r="168" spans="1:23" ht="13" x14ac:dyDescent="0.3">
      <c r="A168" s="39">
        <v>46080.704965277779</v>
      </c>
      <c r="B168" s="40" t="s">
        <v>885</v>
      </c>
      <c r="C168" s="40" t="s">
        <v>62</v>
      </c>
      <c r="D168" s="40" t="s">
        <v>61</v>
      </c>
      <c r="E168" s="40" t="s">
        <v>17</v>
      </c>
      <c r="F168" s="70" t="s">
        <v>1550</v>
      </c>
      <c r="G168" s="68"/>
      <c r="H168" s="40" t="s">
        <v>14</v>
      </c>
      <c r="I168" s="42"/>
      <c r="J168" s="42"/>
      <c r="K168" s="42"/>
      <c r="L168" s="40" t="s">
        <v>14</v>
      </c>
      <c r="M168" s="40" t="s">
        <v>14</v>
      </c>
      <c r="N168" s="40" t="s">
        <v>1933</v>
      </c>
      <c r="O168" s="41" t="s">
        <v>1934</v>
      </c>
      <c r="P168" s="41" t="s">
        <v>1935</v>
      </c>
      <c r="Q168" s="41" t="s">
        <v>1936</v>
      </c>
      <c r="R168" s="40" t="s">
        <v>1933</v>
      </c>
      <c r="S168" s="41" t="s">
        <v>1937</v>
      </c>
      <c r="T168" s="41" t="s">
        <v>1938</v>
      </c>
      <c r="U168" s="41" t="s">
        <v>1939</v>
      </c>
      <c r="V168" s="69" t="s">
        <v>1940</v>
      </c>
      <c r="W168" s="68"/>
    </row>
    <row r="169" spans="1:23" ht="13" x14ac:dyDescent="0.3">
      <c r="A169" s="44">
        <v>46080.706574074073</v>
      </c>
      <c r="B169" s="45" t="s">
        <v>831</v>
      </c>
      <c r="C169" s="45" t="s">
        <v>569</v>
      </c>
      <c r="D169" s="45" t="s">
        <v>568</v>
      </c>
      <c r="E169" s="45" t="s">
        <v>526</v>
      </c>
      <c r="F169" s="67" t="s">
        <v>1550</v>
      </c>
      <c r="G169" s="68"/>
      <c r="H169" s="45" t="s">
        <v>7</v>
      </c>
      <c r="I169" s="46"/>
      <c r="J169" s="46"/>
      <c r="K169" s="46"/>
      <c r="L169" s="45" t="s">
        <v>7</v>
      </c>
      <c r="M169" s="45" t="s">
        <v>7</v>
      </c>
      <c r="N169" s="45" t="s">
        <v>570</v>
      </c>
      <c r="O169" s="41" t="s">
        <v>1941</v>
      </c>
      <c r="P169" s="41" t="s">
        <v>1942</v>
      </c>
      <c r="Q169" s="41" t="s">
        <v>1943</v>
      </c>
      <c r="R169" s="45" t="s">
        <v>570</v>
      </c>
      <c r="S169" s="41" t="s">
        <v>1944</v>
      </c>
      <c r="T169" s="41" t="s">
        <v>1945</v>
      </c>
      <c r="U169" s="41" t="s">
        <v>1946</v>
      </c>
      <c r="V169" s="69" t="s">
        <v>1947</v>
      </c>
      <c r="W169" s="68"/>
    </row>
    <row r="170" spans="1:23" ht="13" x14ac:dyDescent="0.3">
      <c r="A170" s="39">
        <v>46080.716724537036</v>
      </c>
      <c r="B170" s="40" t="s">
        <v>841</v>
      </c>
      <c r="C170" s="40" t="s">
        <v>559</v>
      </c>
      <c r="D170" s="40" t="s">
        <v>558</v>
      </c>
      <c r="E170" s="40" t="s">
        <v>824</v>
      </c>
      <c r="F170" s="70" t="s">
        <v>1550</v>
      </c>
      <c r="G170" s="68"/>
      <c r="H170" s="40" t="s">
        <v>7</v>
      </c>
      <c r="I170" s="42"/>
      <c r="J170" s="42"/>
      <c r="K170" s="42"/>
      <c r="L170" s="40" t="s">
        <v>7</v>
      </c>
      <c r="M170" s="40" t="s">
        <v>7</v>
      </c>
      <c r="N170" s="40" t="s">
        <v>560</v>
      </c>
      <c r="O170" s="41" t="s">
        <v>1948</v>
      </c>
      <c r="P170" s="41" t="s">
        <v>1949</v>
      </c>
      <c r="Q170" s="41" t="s">
        <v>1950</v>
      </c>
      <c r="R170" s="40" t="s">
        <v>560</v>
      </c>
      <c r="S170" s="41" t="s">
        <v>1951</v>
      </c>
      <c r="T170" s="41" t="s">
        <v>1952</v>
      </c>
      <c r="U170" s="41" t="s">
        <v>1953</v>
      </c>
      <c r="V170" s="69" t="s">
        <v>1954</v>
      </c>
      <c r="W170" s="68"/>
    </row>
    <row r="171" spans="1:23" ht="13" x14ac:dyDescent="0.3">
      <c r="A171" s="44">
        <v>46080.722013888888</v>
      </c>
      <c r="B171" s="45" t="s">
        <v>924</v>
      </c>
      <c r="C171" s="45" t="s">
        <v>361</v>
      </c>
      <c r="D171" s="45" t="s">
        <v>360</v>
      </c>
      <c r="E171" s="45" t="s">
        <v>17</v>
      </c>
      <c r="F171" s="67" t="s">
        <v>1550</v>
      </c>
      <c r="G171" s="68"/>
      <c r="H171" s="45" t="s">
        <v>7</v>
      </c>
      <c r="I171" s="46"/>
      <c r="J171" s="46"/>
      <c r="K171" s="46"/>
      <c r="L171" s="45" t="s">
        <v>7</v>
      </c>
      <c r="M171" s="45" t="s">
        <v>7</v>
      </c>
      <c r="N171" s="45" t="s">
        <v>1955</v>
      </c>
      <c r="O171" s="41" t="s">
        <v>1956</v>
      </c>
      <c r="P171" s="41" t="s">
        <v>1957</v>
      </c>
      <c r="Q171" s="41" t="s">
        <v>1958</v>
      </c>
      <c r="R171" s="45" t="s">
        <v>1955</v>
      </c>
      <c r="S171" s="41" t="s">
        <v>1959</v>
      </c>
      <c r="T171" s="41" t="s">
        <v>1960</v>
      </c>
      <c r="U171" s="41" t="s">
        <v>1961</v>
      </c>
      <c r="V171" s="69" t="s">
        <v>1962</v>
      </c>
      <c r="W171" s="68"/>
    </row>
    <row r="172" spans="1:23" ht="13" x14ac:dyDescent="0.3">
      <c r="A172" s="39">
        <v>46080.734236111108</v>
      </c>
      <c r="B172" s="40" t="s">
        <v>1004</v>
      </c>
      <c r="C172" s="40" t="s">
        <v>229</v>
      </c>
      <c r="D172" s="40" t="s">
        <v>228</v>
      </c>
      <c r="E172" s="40" t="s">
        <v>6</v>
      </c>
      <c r="F172" s="70" t="s">
        <v>1550</v>
      </c>
      <c r="G172" s="68"/>
      <c r="H172" s="40" t="s">
        <v>7</v>
      </c>
      <c r="I172" s="42"/>
      <c r="J172" s="42"/>
      <c r="K172" s="42"/>
      <c r="L172" s="40" t="s">
        <v>7</v>
      </c>
      <c r="M172" s="40" t="s">
        <v>14</v>
      </c>
      <c r="N172" s="40" t="s">
        <v>1963</v>
      </c>
      <c r="O172" s="41" t="s">
        <v>1964</v>
      </c>
      <c r="P172" s="41" t="s">
        <v>1965</v>
      </c>
      <c r="Q172" s="41" t="s">
        <v>1966</v>
      </c>
      <c r="R172" s="40" t="s">
        <v>230</v>
      </c>
      <c r="S172" s="41" t="s">
        <v>1967</v>
      </c>
      <c r="T172" s="41" t="s">
        <v>1968</v>
      </c>
      <c r="U172" s="41" t="s">
        <v>1969</v>
      </c>
      <c r="V172" s="69" t="s">
        <v>1970</v>
      </c>
      <c r="W172" s="68"/>
    </row>
    <row r="173" spans="1:23" ht="13" x14ac:dyDescent="0.3">
      <c r="A173" s="44">
        <v>46080.743101851855</v>
      </c>
      <c r="B173" s="45" t="s">
        <v>999</v>
      </c>
      <c r="C173" s="45" t="s">
        <v>998</v>
      </c>
      <c r="D173" s="45" t="s">
        <v>94</v>
      </c>
      <c r="E173" s="45" t="s">
        <v>6</v>
      </c>
      <c r="F173" s="67" t="s">
        <v>1550</v>
      </c>
      <c r="G173" s="68"/>
      <c r="H173" s="45" t="s">
        <v>7</v>
      </c>
      <c r="I173" s="46"/>
      <c r="J173" s="46"/>
      <c r="K173" s="46"/>
      <c r="L173" s="45" t="s">
        <v>7</v>
      </c>
      <c r="M173" s="45" t="s">
        <v>14</v>
      </c>
      <c r="N173" s="45" t="s">
        <v>1971</v>
      </c>
      <c r="O173" s="41" t="s">
        <v>1972</v>
      </c>
      <c r="P173" s="41" t="s">
        <v>1973</v>
      </c>
      <c r="Q173" s="41" t="s">
        <v>1974</v>
      </c>
      <c r="R173" s="45" t="s">
        <v>95</v>
      </c>
      <c r="S173" s="41" t="s">
        <v>1975</v>
      </c>
      <c r="T173" s="41" t="s">
        <v>1976</v>
      </c>
      <c r="U173" s="41" t="s">
        <v>1977</v>
      </c>
      <c r="V173" s="69" t="s">
        <v>1978</v>
      </c>
      <c r="W173" s="68"/>
    </row>
    <row r="174" spans="1:23" ht="13" x14ac:dyDescent="0.3">
      <c r="A174" s="39">
        <v>46080.751400462963</v>
      </c>
      <c r="B174" s="40" t="s">
        <v>1022</v>
      </c>
      <c r="C174" s="40" t="s">
        <v>147</v>
      </c>
      <c r="D174" s="40" t="s">
        <v>146</v>
      </c>
      <c r="E174" s="40" t="s">
        <v>6</v>
      </c>
      <c r="F174" s="70" t="s">
        <v>1550</v>
      </c>
      <c r="G174" s="68"/>
      <c r="H174" s="40" t="s">
        <v>7</v>
      </c>
      <c r="I174" s="42"/>
      <c r="J174" s="42"/>
      <c r="K174" s="42"/>
      <c r="L174" s="40" t="s">
        <v>7</v>
      </c>
      <c r="M174" s="40" t="s">
        <v>14</v>
      </c>
      <c r="N174" s="40" t="s">
        <v>1979</v>
      </c>
      <c r="O174" s="41" t="s">
        <v>1980</v>
      </c>
      <c r="P174" s="41" t="s">
        <v>1981</v>
      </c>
      <c r="Q174" s="41" t="s">
        <v>1982</v>
      </c>
      <c r="R174" s="40" t="s">
        <v>148</v>
      </c>
      <c r="S174" s="41" t="s">
        <v>1983</v>
      </c>
      <c r="T174" s="41" t="s">
        <v>1984</v>
      </c>
      <c r="U174" s="41" t="s">
        <v>1985</v>
      </c>
      <c r="V174" s="69" t="s">
        <v>1986</v>
      </c>
      <c r="W174" s="68"/>
    </row>
    <row r="175" spans="1:23" ht="13" x14ac:dyDescent="0.3">
      <c r="A175" s="44">
        <v>46080.756388888891</v>
      </c>
      <c r="B175" s="45" t="s">
        <v>797</v>
      </c>
      <c r="C175" s="45" t="s">
        <v>397</v>
      </c>
      <c r="D175" s="45" t="s">
        <v>396</v>
      </c>
      <c r="E175" s="45" t="s">
        <v>28</v>
      </c>
      <c r="F175" s="67" t="s">
        <v>1550</v>
      </c>
      <c r="G175" s="68"/>
      <c r="H175" s="45" t="s">
        <v>14</v>
      </c>
      <c r="I175" s="46"/>
      <c r="J175" s="46"/>
      <c r="K175" s="46"/>
      <c r="L175" s="45" t="s">
        <v>14</v>
      </c>
      <c r="M175" s="45" t="s">
        <v>14</v>
      </c>
      <c r="N175" s="45" t="s">
        <v>1987</v>
      </c>
      <c r="O175" s="41" t="s">
        <v>1988</v>
      </c>
      <c r="P175" s="41" t="s">
        <v>1989</v>
      </c>
      <c r="Q175" s="41" t="s">
        <v>1990</v>
      </c>
      <c r="R175" s="45" t="s">
        <v>398</v>
      </c>
      <c r="S175" s="41" t="s">
        <v>1991</v>
      </c>
      <c r="T175" s="41" t="s">
        <v>1992</v>
      </c>
      <c r="U175" s="69" t="s">
        <v>1993</v>
      </c>
      <c r="V175" s="68"/>
      <c r="W175" s="68"/>
    </row>
    <row r="176" spans="1:23" ht="13" x14ac:dyDescent="0.3">
      <c r="A176" s="39">
        <v>46080.757094907407</v>
      </c>
      <c r="B176" s="40" t="s">
        <v>1000</v>
      </c>
      <c r="C176" s="40" t="s">
        <v>223</v>
      </c>
      <c r="D176" s="40" t="s">
        <v>222</v>
      </c>
      <c r="E176" s="40" t="s">
        <v>6</v>
      </c>
      <c r="F176" s="70" t="s">
        <v>1550</v>
      </c>
      <c r="G176" s="68"/>
      <c r="H176" s="40" t="s">
        <v>14</v>
      </c>
      <c r="I176" s="42"/>
      <c r="J176" s="42"/>
      <c r="K176" s="42"/>
      <c r="L176" s="40" t="s">
        <v>14</v>
      </c>
      <c r="M176" s="40" t="s">
        <v>14</v>
      </c>
      <c r="N176" s="40" t="s">
        <v>224</v>
      </c>
      <c r="O176" s="41" t="s">
        <v>1994</v>
      </c>
      <c r="P176" s="41" t="s">
        <v>1995</v>
      </c>
      <c r="Q176" s="41" t="s">
        <v>1996</v>
      </c>
      <c r="R176" s="40" t="s">
        <v>224</v>
      </c>
      <c r="S176" s="41" t="s">
        <v>1997</v>
      </c>
      <c r="T176" s="41" t="s">
        <v>1998</v>
      </c>
      <c r="U176" s="41" t="s">
        <v>1999</v>
      </c>
      <c r="V176" s="69" t="s">
        <v>2000</v>
      </c>
      <c r="W176" s="68"/>
    </row>
    <row r="177" spans="1:23" ht="13" x14ac:dyDescent="0.3">
      <c r="A177" s="44">
        <v>46080.757557870369</v>
      </c>
      <c r="B177" s="45" t="s">
        <v>991</v>
      </c>
      <c r="C177" s="45" t="s">
        <v>203</v>
      </c>
      <c r="D177" s="45" t="s">
        <v>202</v>
      </c>
      <c r="E177" s="45" t="s">
        <v>6</v>
      </c>
      <c r="F177" s="67" t="s">
        <v>1550</v>
      </c>
      <c r="G177" s="68"/>
      <c r="H177" s="45" t="s">
        <v>14</v>
      </c>
      <c r="I177" s="46"/>
      <c r="J177" s="46"/>
      <c r="K177" s="46"/>
      <c r="L177" s="45" t="s">
        <v>14</v>
      </c>
      <c r="M177" s="45" t="s">
        <v>14</v>
      </c>
      <c r="N177" s="45" t="s">
        <v>2001</v>
      </c>
      <c r="O177" s="41" t="s">
        <v>2002</v>
      </c>
      <c r="P177" s="41" t="s">
        <v>2003</v>
      </c>
      <c r="Q177" s="41" t="s">
        <v>2004</v>
      </c>
      <c r="R177" s="45" t="s">
        <v>2001</v>
      </c>
      <c r="S177" s="41" t="s">
        <v>2005</v>
      </c>
      <c r="T177" s="41" t="s">
        <v>2006</v>
      </c>
      <c r="U177" s="41" t="s">
        <v>2007</v>
      </c>
      <c r="V177" s="69" t="s">
        <v>2008</v>
      </c>
      <c r="W177" s="68"/>
    </row>
    <row r="178" spans="1:23" ht="13" x14ac:dyDescent="0.3">
      <c r="A178" s="39">
        <v>46080.762280092589</v>
      </c>
      <c r="B178" s="40" t="s">
        <v>974</v>
      </c>
      <c r="C178" s="40" t="s">
        <v>48</v>
      </c>
      <c r="D178" s="40" t="s">
        <v>47</v>
      </c>
      <c r="E178" s="40" t="s">
        <v>47</v>
      </c>
      <c r="F178" s="70" t="s">
        <v>1550</v>
      </c>
      <c r="G178" s="68"/>
      <c r="H178" s="40" t="s">
        <v>14</v>
      </c>
      <c r="I178" s="42"/>
      <c r="J178" s="42"/>
      <c r="K178" s="42"/>
      <c r="L178" s="40" t="s">
        <v>14</v>
      </c>
      <c r="M178" s="40" t="s">
        <v>14</v>
      </c>
      <c r="N178" s="40" t="s">
        <v>2009</v>
      </c>
      <c r="O178" s="41" t="s">
        <v>2010</v>
      </c>
      <c r="P178" s="41" t="s">
        <v>2011</v>
      </c>
      <c r="Q178" s="41" t="s">
        <v>2012</v>
      </c>
      <c r="R178" s="40" t="s">
        <v>49</v>
      </c>
      <c r="S178" s="41" t="s">
        <v>2013</v>
      </c>
      <c r="T178" s="41" t="s">
        <v>2014</v>
      </c>
      <c r="U178" s="41" t="s">
        <v>2015</v>
      </c>
      <c r="V178" s="69" t="s">
        <v>2016</v>
      </c>
      <c r="W178" s="68"/>
    </row>
    <row r="179" spans="1:23" ht="13" x14ac:dyDescent="0.3">
      <c r="A179" s="44">
        <v>46080.76326388889</v>
      </c>
      <c r="B179" s="45" t="s">
        <v>957</v>
      </c>
      <c r="C179" s="45" t="s">
        <v>387</v>
      </c>
      <c r="D179" s="45" t="s">
        <v>386</v>
      </c>
      <c r="E179" s="45" t="s">
        <v>17</v>
      </c>
      <c r="F179" s="67" t="s">
        <v>1550</v>
      </c>
      <c r="G179" s="68"/>
      <c r="H179" s="45" t="s">
        <v>14</v>
      </c>
      <c r="I179" s="46"/>
      <c r="J179" s="46"/>
      <c r="K179" s="46"/>
      <c r="L179" s="45" t="s">
        <v>14</v>
      </c>
      <c r="M179" s="45" t="s">
        <v>14</v>
      </c>
      <c r="N179" s="45" t="s">
        <v>2017</v>
      </c>
      <c r="O179" s="41" t="s">
        <v>2018</v>
      </c>
      <c r="P179" s="41" t="s">
        <v>2019</v>
      </c>
      <c r="Q179" s="41" t="s">
        <v>2020</v>
      </c>
      <c r="R179" s="45" t="s">
        <v>2021</v>
      </c>
      <c r="S179" s="41" t="s">
        <v>2022</v>
      </c>
      <c r="T179" s="41" t="s">
        <v>2023</v>
      </c>
      <c r="U179" s="41" t="s">
        <v>2024</v>
      </c>
      <c r="V179" s="69" t="s">
        <v>2025</v>
      </c>
      <c r="W179" s="68"/>
    </row>
    <row r="180" spans="1:23" ht="13" x14ac:dyDescent="0.3">
      <c r="A180" s="39">
        <v>46080.793877314813</v>
      </c>
      <c r="B180" s="40" t="s">
        <v>1008</v>
      </c>
      <c r="C180" s="40" t="s">
        <v>232</v>
      </c>
      <c r="D180" s="40" t="s">
        <v>231</v>
      </c>
      <c r="E180" s="40" t="s">
        <v>6</v>
      </c>
      <c r="F180" s="70" t="s">
        <v>1550</v>
      </c>
      <c r="G180" s="68"/>
      <c r="H180" s="40" t="s">
        <v>7</v>
      </c>
      <c r="I180" s="42"/>
      <c r="J180" s="42"/>
      <c r="K180" s="42"/>
      <c r="L180" s="40" t="s">
        <v>7</v>
      </c>
      <c r="M180" s="40" t="s">
        <v>14</v>
      </c>
      <c r="N180" s="40" t="s">
        <v>2026</v>
      </c>
      <c r="O180" s="41" t="s">
        <v>2027</v>
      </c>
      <c r="P180" s="41" t="s">
        <v>2028</v>
      </c>
      <c r="Q180" s="41" t="s">
        <v>2029</v>
      </c>
      <c r="R180" s="40" t="s">
        <v>233</v>
      </c>
      <c r="S180" s="41" t="s">
        <v>2030</v>
      </c>
      <c r="T180" s="41" t="s">
        <v>2031</v>
      </c>
      <c r="U180" s="41" t="s">
        <v>2032</v>
      </c>
      <c r="V180" s="69" t="s">
        <v>2033</v>
      </c>
      <c r="W180" s="68"/>
    </row>
    <row r="181" spans="1:23" ht="13" x14ac:dyDescent="0.3">
      <c r="A181" s="44">
        <v>46080.795034722221</v>
      </c>
      <c r="B181" s="45" t="s">
        <v>879</v>
      </c>
      <c r="C181" s="45" t="s">
        <v>21</v>
      </c>
      <c r="D181" s="45" t="s">
        <v>20</v>
      </c>
      <c r="E181" s="45" t="s">
        <v>17</v>
      </c>
      <c r="F181" s="67" t="s">
        <v>1550</v>
      </c>
      <c r="G181" s="68"/>
      <c r="H181" s="45" t="s">
        <v>7</v>
      </c>
      <c r="I181" s="46"/>
      <c r="J181" s="46"/>
      <c r="K181" s="46"/>
      <c r="L181" s="45" t="s">
        <v>7</v>
      </c>
      <c r="M181" s="45" t="s">
        <v>14</v>
      </c>
      <c r="N181" s="45" t="s">
        <v>2034</v>
      </c>
      <c r="O181" s="41" t="s">
        <v>2035</v>
      </c>
      <c r="P181" s="41" t="s">
        <v>2036</v>
      </c>
      <c r="Q181" s="41" t="s">
        <v>2037</v>
      </c>
      <c r="R181" s="45" t="s">
        <v>22</v>
      </c>
      <c r="S181" s="41" t="s">
        <v>2038</v>
      </c>
      <c r="T181" s="41" t="s">
        <v>2039</v>
      </c>
      <c r="U181" s="41" t="s">
        <v>2040</v>
      </c>
      <c r="V181" s="69" t="s">
        <v>2041</v>
      </c>
      <c r="W181" s="68"/>
    </row>
    <row r="182" spans="1:23" ht="13" x14ac:dyDescent="0.3">
      <c r="A182" s="39">
        <v>46080.799872685187</v>
      </c>
      <c r="B182" s="40" t="s">
        <v>1003</v>
      </c>
      <c r="C182" s="40" t="s">
        <v>226</v>
      </c>
      <c r="D182" s="40" t="s">
        <v>225</v>
      </c>
      <c r="E182" s="40" t="s">
        <v>6</v>
      </c>
      <c r="F182" s="70" t="s">
        <v>1550</v>
      </c>
      <c r="G182" s="68"/>
      <c r="H182" s="40" t="s">
        <v>14</v>
      </c>
      <c r="I182" s="42"/>
      <c r="J182" s="42"/>
      <c r="K182" s="42"/>
      <c r="L182" s="40" t="s">
        <v>14</v>
      </c>
      <c r="M182" s="40" t="s">
        <v>14</v>
      </c>
      <c r="N182" s="70" t="s">
        <v>227</v>
      </c>
      <c r="O182" s="68"/>
      <c r="P182" s="68"/>
      <c r="Q182" s="68"/>
      <c r="R182" s="40" t="s">
        <v>227</v>
      </c>
      <c r="S182" s="41" t="s">
        <v>2042</v>
      </c>
      <c r="T182" s="41" t="s">
        <v>2043</v>
      </c>
      <c r="U182" s="41" t="s">
        <v>2044</v>
      </c>
      <c r="V182" s="69" t="s">
        <v>2045</v>
      </c>
      <c r="W182" s="68"/>
    </row>
    <row r="183" spans="1:23" ht="13" x14ac:dyDescent="0.3">
      <c r="A183" s="44">
        <v>46080.809479166666</v>
      </c>
      <c r="B183" s="45" t="s">
        <v>731</v>
      </c>
      <c r="C183" s="45" t="s">
        <v>488</v>
      </c>
      <c r="D183" s="45" t="s">
        <v>487</v>
      </c>
      <c r="E183" s="45" t="s">
        <v>127</v>
      </c>
      <c r="F183" s="67" t="s">
        <v>1550</v>
      </c>
      <c r="G183" s="68"/>
      <c r="H183" s="45" t="s">
        <v>14</v>
      </c>
      <c r="I183" s="46"/>
      <c r="J183" s="46"/>
      <c r="K183" s="46"/>
      <c r="L183" s="45" t="s">
        <v>14</v>
      </c>
      <c r="M183" s="45" t="s">
        <v>14</v>
      </c>
      <c r="N183" s="45" t="s">
        <v>2046</v>
      </c>
      <c r="O183" s="41" t="s">
        <v>2047</v>
      </c>
      <c r="P183" s="41" t="s">
        <v>2048</v>
      </c>
      <c r="Q183" s="41" t="s">
        <v>2049</v>
      </c>
      <c r="R183" s="45" t="s">
        <v>489</v>
      </c>
      <c r="S183" s="41" t="s">
        <v>2050</v>
      </c>
      <c r="T183" s="41" t="s">
        <v>2051</v>
      </c>
      <c r="U183" s="41" t="s">
        <v>2052</v>
      </c>
      <c r="V183" s="69" t="s">
        <v>2053</v>
      </c>
      <c r="W183" s="68"/>
    </row>
    <row r="184" spans="1:23" ht="13" x14ac:dyDescent="0.3">
      <c r="A184" s="39">
        <v>46080.811064814814</v>
      </c>
      <c r="B184" s="40" t="s">
        <v>904</v>
      </c>
      <c r="C184" s="40" t="s">
        <v>195</v>
      </c>
      <c r="D184" s="40" t="s">
        <v>194</v>
      </c>
      <c r="E184" s="40" t="s">
        <v>17</v>
      </c>
      <c r="F184" s="70" t="s">
        <v>1550</v>
      </c>
      <c r="G184" s="68"/>
      <c r="H184" s="40" t="s">
        <v>14</v>
      </c>
      <c r="I184" s="42"/>
      <c r="J184" s="42"/>
      <c r="K184" s="42"/>
      <c r="L184" s="40" t="s">
        <v>14</v>
      </c>
      <c r="M184" s="40" t="s">
        <v>14</v>
      </c>
      <c r="N184" s="40" t="s">
        <v>2054</v>
      </c>
      <c r="O184" s="41" t="s">
        <v>2055</v>
      </c>
      <c r="P184" s="41" t="s">
        <v>2056</v>
      </c>
      <c r="Q184" s="41" t="s">
        <v>2057</v>
      </c>
      <c r="R184" s="40" t="s">
        <v>196</v>
      </c>
      <c r="S184" s="41" t="s">
        <v>2058</v>
      </c>
      <c r="T184" s="41" t="s">
        <v>2059</v>
      </c>
      <c r="U184" s="41" t="s">
        <v>2060</v>
      </c>
      <c r="V184" s="69" t="s">
        <v>2061</v>
      </c>
      <c r="W184" s="68"/>
    </row>
    <row r="185" spans="1:23" ht="13" x14ac:dyDescent="0.3">
      <c r="A185" s="44">
        <v>46080.823611111111</v>
      </c>
      <c r="B185" s="45" t="s">
        <v>854</v>
      </c>
      <c r="C185" s="45" t="s">
        <v>577</v>
      </c>
      <c r="D185" s="45" t="s">
        <v>576</v>
      </c>
      <c r="E185" s="45" t="s">
        <v>526</v>
      </c>
      <c r="F185" s="67" t="s">
        <v>1550</v>
      </c>
      <c r="G185" s="68"/>
      <c r="H185" s="45" t="s">
        <v>7</v>
      </c>
      <c r="I185" s="46"/>
      <c r="J185" s="46"/>
      <c r="K185" s="46"/>
      <c r="L185" s="45" t="s">
        <v>7</v>
      </c>
      <c r="M185" s="45" t="s">
        <v>7</v>
      </c>
      <c r="N185" s="45" t="s">
        <v>2062</v>
      </c>
      <c r="O185" s="41" t="s">
        <v>2063</v>
      </c>
      <c r="P185" s="41" t="s">
        <v>2064</v>
      </c>
      <c r="Q185" s="41" t="s">
        <v>2065</v>
      </c>
      <c r="R185" s="45" t="s">
        <v>2062</v>
      </c>
      <c r="S185" s="41" t="s">
        <v>2066</v>
      </c>
      <c r="T185" s="41" t="s">
        <v>2067</v>
      </c>
      <c r="U185" s="69" t="s">
        <v>2068</v>
      </c>
      <c r="V185" s="68"/>
      <c r="W185" s="68"/>
    </row>
    <row r="186" spans="1:23" ht="13" x14ac:dyDescent="0.3">
      <c r="A186" s="39">
        <v>46080.82471064815</v>
      </c>
      <c r="B186" s="40" t="s">
        <v>986</v>
      </c>
      <c r="C186" s="40" t="s">
        <v>237</v>
      </c>
      <c r="D186" s="40" t="s">
        <v>236</v>
      </c>
      <c r="E186" s="40" t="s">
        <v>6</v>
      </c>
      <c r="F186" s="70" t="s">
        <v>1550</v>
      </c>
      <c r="G186" s="68"/>
      <c r="H186" s="40" t="s">
        <v>7</v>
      </c>
      <c r="I186" s="42"/>
      <c r="J186" s="42"/>
      <c r="K186" s="42"/>
      <c r="L186" s="40" t="s">
        <v>7</v>
      </c>
      <c r="M186" s="40" t="s">
        <v>14</v>
      </c>
      <c r="N186" s="40" t="s">
        <v>2069</v>
      </c>
      <c r="O186" s="41" t="s">
        <v>2070</v>
      </c>
      <c r="P186" s="41" t="s">
        <v>2071</v>
      </c>
      <c r="Q186" s="41" t="s">
        <v>2072</v>
      </c>
      <c r="R186" s="40" t="s">
        <v>238</v>
      </c>
      <c r="S186" s="41" t="s">
        <v>2073</v>
      </c>
      <c r="T186" s="41" t="s">
        <v>2074</v>
      </c>
      <c r="U186" s="41" t="s">
        <v>2075</v>
      </c>
      <c r="V186" s="69" t="s">
        <v>2076</v>
      </c>
      <c r="W186" s="68"/>
    </row>
    <row r="187" spans="1:23" ht="13" x14ac:dyDescent="0.3">
      <c r="A187" s="44">
        <v>46080.825138888889</v>
      </c>
      <c r="B187" s="45" t="s">
        <v>782</v>
      </c>
      <c r="C187" s="45" t="s">
        <v>412</v>
      </c>
      <c r="D187" s="45" t="s">
        <v>411</v>
      </c>
      <c r="E187" s="45" t="s">
        <v>28</v>
      </c>
      <c r="F187" s="67" t="s">
        <v>1550</v>
      </c>
      <c r="G187" s="68"/>
      <c r="H187" s="45" t="s">
        <v>14</v>
      </c>
      <c r="I187" s="46"/>
      <c r="J187" s="46"/>
      <c r="K187" s="46"/>
      <c r="L187" s="45" t="s">
        <v>14</v>
      </c>
      <c r="M187" s="45" t="s">
        <v>7</v>
      </c>
      <c r="N187" s="45" t="s">
        <v>2077</v>
      </c>
      <c r="O187" s="41" t="s">
        <v>2078</v>
      </c>
      <c r="P187" s="41" t="s">
        <v>2079</v>
      </c>
      <c r="Q187" s="41" t="s">
        <v>2080</v>
      </c>
      <c r="R187" s="45" t="s">
        <v>2081</v>
      </c>
      <c r="S187" s="41" t="s">
        <v>2082</v>
      </c>
      <c r="T187" s="41" t="s">
        <v>2083</v>
      </c>
      <c r="U187" s="69" t="s">
        <v>2084</v>
      </c>
      <c r="V187" s="68"/>
      <c r="W187" s="68"/>
    </row>
    <row r="188" spans="1:23" ht="13" x14ac:dyDescent="0.3">
      <c r="A188" s="39">
        <v>46080.827326388891</v>
      </c>
      <c r="B188" s="40" t="s">
        <v>938</v>
      </c>
      <c r="C188" s="40" t="s">
        <v>300</v>
      </c>
      <c r="D188" s="40" t="s">
        <v>299</v>
      </c>
      <c r="E188" s="40" t="s">
        <v>17</v>
      </c>
      <c r="F188" s="70" t="s">
        <v>1550</v>
      </c>
      <c r="G188" s="68"/>
      <c r="H188" s="40" t="s">
        <v>14</v>
      </c>
      <c r="I188" s="42"/>
      <c r="J188" s="42"/>
      <c r="K188" s="42"/>
      <c r="L188" s="40" t="s">
        <v>14</v>
      </c>
      <c r="M188" s="40" t="s">
        <v>14</v>
      </c>
      <c r="N188" s="40" t="s">
        <v>2085</v>
      </c>
      <c r="O188" s="41" t="s">
        <v>2086</v>
      </c>
      <c r="P188" s="41" t="s">
        <v>2087</v>
      </c>
      <c r="Q188" s="41" t="s">
        <v>2088</v>
      </c>
      <c r="R188" s="40" t="s">
        <v>2085</v>
      </c>
      <c r="S188" s="41" t="s">
        <v>2089</v>
      </c>
      <c r="T188" s="41" t="s">
        <v>2090</v>
      </c>
      <c r="U188" s="41" t="s">
        <v>2091</v>
      </c>
      <c r="V188" s="69" t="s">
        <v>2092</v>
      </c>
      <c r="W188" s="68"/>
    </row>
    <row r="189" spans="1:23" ht="13" x14ac:dyDescent="0.3">
      <c r="A189" s="44">
        <v>46080.842349537037</v>
      </c>
      <c r="B189" s="45" t="s">
        <v>1016</v>
      </c>
      <c r="C189" s="45" t="s">
        <v>219</v>
      </c>
      <c r="D189" s="45" t="s">
        <v>218</v>
      </c>
      <c r="E189" s="45" t="s">
        <v>975</v>
      </c>
      <c r="F189" s="67" t="s">
        <v>1550</v>
      </c>
      <c r="G189" s="68"/>
      <c r="H189" s="45" t="s">
        <v>7</v>
      </c>
      <c r="I189" s="46"/>
      <c r="J189" s="46"/>
      <c r="K189" s="46"/>
      <c r="L189" s="45" t="s">
        <v>7</v>
      </c>
      <c r="M189" s="45" t="s">
        <v>7</v>
      </c>
      <c r="N189" s="45" t="s">
        <v>2093</v>
      </c>
      <c r="O189" s="41" t="s">
        <v>2094</v>
      </c>
      <c r="P189" s="41" t="s">
        <v>2095</v>
      </c>
      <c r="Q189" s="41" t="s">
        <v>2096</v>
      </c>
      <c r="R189" s="45" t="s">
        <v>2097</v>
      </c>
      <c r="S189" s="41" t="s">
        <v>2098</v>
      </c>
      <c r="T189" s="41" t="s">
        <v>2099</v>
      </c>
      <c r="U189" s="41" t="s">
        <v>2100</v>
      </c>
      <c r="V189" s="69" t="s">
        <v>2101</v>
      </c>
      <c r="W189" s="68"/>
    </row>
    <row r="190" spans="1:23" ht="13" x14ac:dyDescent="0.3">
      <c r="A190" s="39">
        <v>46080.853414351855</v>
      </c>
      <c r="B190" s="40" t="s">
        <v>978</v>
      </c>
      <c r="C190" s="40" t="s">
        <v>97</v>
      </c>
      <c r="D190" s="40" t="s">
        <v>96</v>
      </c>
      <c r="E190" s="40" t="s">
        <v>6</v>
      </c>
      <c r="F190" s="70" t="s">
        <v>1550</v>
      </c>
      <c r="G190" s="68"/>
      <c r="H190" s="40" t="s">
        <v>7</v>
      </c>
      <c r="I190" s="42"/>
      <c r="J190" s="42"/>
      <c r="K190" s="42"/>
      <c r="L190" s="40" t="s">
        <v>7</v>
      </c>
      <c r="M190" s="40" t="s">
        <v>7</v>
      </c>
      <c r="N190" s="40" t="s">
        <v>2102</v>
      </c>
      <c r="O190" s="41" t="s">
        <v>2103</v>
      </c>
      <c r="P190" s="41" t="s">
        <v>2104</v>
      </c>
      <c r="Q190" s="41" t="s">
        <v>2105</v>
      </c>
      <c r="R190" s="40" t="s">
        <v>2106</v>
      </c>
      <c r="S190" s="41" t="s">
        <v>2107</v>
      </c>
      <c r="T190" s="41" t="s">
        <v>2108</v>
      </c>
      <c r="U190" s="41" t="s">
        <v>2109</v>
      </c>
      <c r="V190" s="69" t="s">
        <v>2110</v>
      </c>
      <c r="W190" s="68"/>
    </row>
    <row r="191" spans="1:23" ht="13" x14ac:dyDescent="0.3">
      <c r="A191" s="44">
        <v>46080.855092592596</v>
      </c>
      <c r="B191" s="45" t="s">
        <v>2111</v>
      </c>
      <c r="C191" s="45" t="s">
        <v>78</v>
      </c>
      <c r="D191" s="45" t="s">
        <v>77</v>
      </c>
      <c r="E191" s="45" t="s">
        <v>17</v>
      </c>
      <c r="F191" s="67" t="s">
        <v>1550</v>
      </c>
      <c r="G191" s="68"/>
      <c r="H191" s="45" t="s">
        <v>7</v>
      </c>
      <c r="I191" s="46"/>
      <c r="J191" s="46"/>
      <c r="K191" s="46"/>
      <c r="L191" s="45" t="s">
        <v>7</v>
      </c>
      <c r="M191" s="45" t="s">
        <v>7</v>
      </c>
      <c r="N191" s="45" t="s">
        <v>2112</v>
      </c>
      <c r="O191" s="41" t="s">
        <v>2113</v>
      </c>
      <c r="P191" s="41" t="s">
        <v>2114</v>
      </c>
      <c r="Q191" s="41" t="s">
        <v>2115</v>
      </c>
      <c r="R191" s="45" t="s">
        <v>79</v>
      </c>
      <c r="S191" s="41" t="s">
        <v>2116</v>
      </c>
      <c r="T191" s="41" t="s">
        <v>2117</v>
      </c>
      <c r="U191" s="41" t="s">
        <v>2118</v>
      </c>
      <c r="V191" s="69" t="s">
        <v>2119</v>
      </c>
      <c r="W191" s="68"/>
    </row>
    <row r="192" spans="1:23" ht="13" x14ac:dyDescent="0.3">
      <c r="A192" s="39">
        <v>46080.862696759257</v>
      </c>
      <c r="B192" s="40" t="s">
        <v>897</v>
      </c>
      <c r="C192" s="40" t="s">
        <v>193</v>
      </c>
      <c r="D192" s="40" t="s">
        <v>192</v>
      </c>
      <c r="E192" s="40" t="s">
        <v>17</v>
      </c>
      <c r="F192" s="70" t="s">
        <v>1550</v>
      </c>
      <c r="G192" s="68"/>
      <c r="H192" s="40" t="s">
        <v>14</v>
      </c>
      <c r="I192" s="42"/>
      <c r="J192" s="42"/>
      <c r="K192" s="42"/>
      <c r="L192" s="40" t="s">
        <v>14</v>
      </c>
      <c r="M192" s="40" t="s">
        <v>14</v>
      </c>
      <c r="N192" s="40" t="s">
        <v>2120</v>
      </c>
      <c r="O192" s="41" t="s">
        <v>2121</v>
      </c>
      <c r="P192" s="41" t="s">
        <v>2122</v>
      </c>
      <c r="Q192" s="41" t="s">
        <v>2123</v>
      </c>
      <c r="R192" s="40" t="s">
        <v>2120</v>
      </c>
      <c r="S192" s="41" t="s">
        <v>2124</v>
      </c>
      <c r="T192" s="41" t="s">
        <v>2125</v>
      </c>
      <c r="U192" s="41" t="s">
        <v>2126</v>
      </c>
      <c r="V192" s="69" t="s">
        <v>2127</v>
      </c>
      <c r="W192" s="68"/>
    </row>
    <row r="193" spans="1:23" ht="13" x14ac:dyDescent="0.3">
      <c r="A193" s="44">
        <v>46080.863576388889</v>
      </c>
      <c r="B193" s="45" t="s">
        <v>852</v>
      </c>
      <c r="C193" s="45" t="s">
        <v>572</v>
      </c>
      <c r="D193" s="45" t="s">
        <v>571</v>
      </c>
      <c r="E193" s="45" t="s">
        <v>526</v>
      </c>
      <c r="F193" s="67" t="s">
        <v>1550</v>
      </c>
      <c r="G193" s="68"/>
      <c r="H193" s="45" t="s">
        <v>7</v>
      </c>
      <c r="I193" s="46"/>
      <c r="J193" s="46"/>
      <c r="K193" s="46"/>
      <c r="L193" s="45" t="s">
        <v>7</v>
      </c>
      <c r="M193" s="45" t="s">
        <v>7</v>
      </c>
      <c r="N193" s="45" t="s">
        <v>2128</v>
      </c>
      <c r="O193" s="41" t="s">
        <v>2129</v>
      </c>
      <c r="P193" s="41" t="s">
        <v>2130</v>
      </c>
      <c r="Q193" s="41" t="s">
        <v>2131</v>
      </c>
      <c r="R193" s="45" t="s">
        <v>2132</v>
      </c>
      <c r="S193" s="41" t="s">
        <v>2133</v>
      </c>
      <c r="T193" s="41" t="s">
        <v>2134</v>
      </c>
      <c r="U193" s="69" t="s">
        <v>2135</v>
      </c>
      <c r="V193" s="68"/>
      <c r="W193" s="68"/>
    </row>
    <row r="194" spans="1:23" ht="13" x14ac:dyDescent="0.3">
      <c r="A194" s="39">
        <v>46080.864398148151</v>
      </c>
      <c r="B194" s="40" t="s">
        <v>993</v>
      </c>
      <c r="C194" s="40" t="s">
        <v>90</v>
      </c>
      <c r="D194" s="40" t="s">
        <v>89</v>
      </c>
      <c r="E194" s="40" t="s">
        <v>2136</v>
      </c>
      <c r="F194" s="70" t="s">
        <v>1550</v>
      </c>
      <c r="G194" s="68"/>
      <c r="H194" s="40" t="s">
        <v>14</v>
      </c>
      <c r="I194" s="42"/>
      <c r="J194" s="42"/>
      <c r="K194" s="42"/>
      <c r="L194" s="40" t="s">
        <v>14</v>
      </c>
      <c r="M194" s="40" t="s">
        <v>14</v>
      </c>
      <c r="N194" s="40" t="s">
        <v>2137</v>
      </c>
      <c r="O194" s="41" t="s">
        <v>2138</v>
      </c>
      <c r="P194" s="41" t="s">
        <v>2139</v>
      </c>
      <c r="Q194" s="41" t="s">
        <v>2140</v>
      </c>
      <c r="R194" s="40" t="s">
        <v>2137</v>
      </c>
      <c r="S194" s="41" t="s">
        <v>2141</v>
      </c>
      <c r="T194" s="41" t="s">
        <v>2142</v>
      </c>
      <c r="U194" s="41" t="s">
        <v>2143</v>
      </c>
      <c r="V194" s="69" t="s">
        <v>2144</v>
      </c>
      <c r="W194" s="68"/>
    </row>
    <row r="195" spans="1:23" ht="13" x14ac:dyDescent="0.3">
      <c r="A195" s="44">
        <v>46080.865254629629</v>
      </c>
      <c r="B195" s="45" t="s">
        <v>736</v>
      </c>
      <c r="C195" s="45" t="s">
        <v>491</v>
      </c>
      <c r="D195" s="45" t="s">
        <v>490</v>
      </c>
      <c r="E195" s="45" t="s">
        <v>127</v>
      </c>
      <c r="F195" s="67" t="s">
        <v>1550</v>
      </c>
      <c r="G195" s="68"/>
      <c r="H195" s="45" t="s">
        <v>7</v>
      </c>
      <c r="I195" s="46"/>
      <c r="J195" s="46"/>
      <c r="K195" s="46"/>
      <c r="L195" s="45" t="s">
        <v>7</v>
      </c>
      <c r="M195" s="45" t="s">
        <v>7</v>
      </c>
      <c r="N195" s="45" t="s">
        <v>2145</v>
      </c>
      <c r="O195" s="41" t="s">
        <v>2146</v>
      </c>
      <c r="P195" s="41" t="s">
        <v>2147</v>
      </c>
      <c r="Q195" s="41" t="s">
        <v>2148</v>
      </c>
      <c r="R195" s="45" t="s">
        <v>2149</v>
      </c>
      <c r="S195" s="41" t="s">
        <v>2150</v>
      </c>
      <c r="T195" s="41" t="s">
        <v>2151</v>
      </c>
      <c r="U195" s="41" t="s">
        <v>2152</v>
      </c>
      <c r="V195" s="69" t="s">
        <v>2153</v>
      </c>
      <c r="W195" s="68"/>
    </row>
    <row r="196" spans="1:23" ht="13" x14ac:dyDescent="0.3">
      <c r="A196" s="39">
        <v>46080.870138888888</v>
      </c>
      <c r="B196" s="40" t="s">
        <v>1010</v>
      </c>
      <c r="C196" s="40" t="s">
        <v>235</v>
      </c>
      <c r="D196" s="40" t="s">
        <v>234</v>
      </c>
      <c r="E196" s="40" t="s">
        <v>6</v>
      </c>
      <c r="F196" s="70" t="s">
        <v>1550</v>
      </c>
      <c r="G196" s="68"/>
      <c r="H196" s="40" t="s">
        <v>14</v>
      </c>
      <c r="I196" s="42"/>
      <c r="J196" s="42"/>
      <c r="K196" s="42"/>
      <c r="L196" s="40" t="s">
        <v>14</v>
      </c>
      <c r="M196" s="40" t="s">
        <v>14</v>
      </c>
      <c r="N196" s="40" t="s">
        <v>2154</v>
      </c>
      <c r="O196" s="41" t="s">
        <v>2155</v>
      </c>
      <c r="P196" s="41" t="s">
        <v>2156</v>
      </c>
      <c r="Q196" s="41" t="s">
        <v>2157</v>
      </c>
      <c r="R196" s="40" t="s">
        <v>2158</v>
      </c>
      <c r="S196" s="41" t="s">
        <v>2159</v>
      </c>
      <c r="T196" s="41" t="s">
        <v>2160</v>
      </c>
      <c r="U196" s="41" t="s">
        <v>2161</v>
      </c>
      <c r="V196" s="69" t="s">
        <v>2162</v>
      </c>
      <c r="W196" s="68"/>
    </row>
    <row r="197" spans="1:23" ht="13" x14ac:dyDescent="0.3">
      <c r="A197" s="44">
        <v>46080.870648148149</v>
      </c>
      <c r="B197" s="45" t="s">
        <v>898</v>
      </c>
      <c r="C197" s="45" t="s">
        <v>211</v>
      </c>
      <c r="D197" s="45" t="s">
        <v>210</v>
      </c>
      <c r="E197" s="45" t="s">
        <v>17</v>
      </c>
      <c r="F197" s="67" t="s">
        <v>1550</v>
      </c>
      <c r="G197" s="68"/>
      <c r="H197" s="45" t="s">
        <v>14</v>
      </c>
      <c r="I197" s="46"/>
      <c r="J197" s="46"/>
      <c r="K197" s="46"/>
      <c r="L197" s="45" t="s">
        <v>14</v>
      </c>
      <c r="M197" s="45" t="s">
        <v>14</v>
      </c>
      <c r="N197" s="45" t="s">
        <v>2163</v>
      </c>
      <c r="O197" s="41" t="s">
        <v>2164</v>
      </c>
      <c r="P197" s="41" t="s">
        <v>2165</v>
      </c>
      <c r="Q197" s="41" t="s">
        <v>2166</v>
      </c>
      <c r="R197" s="45" t="s">
        <v>2167</v>
      </c>
      <c r="S197" s="41" t="s">
        <v>2168</v>
      </c>
      <c r="T197" s="41" t="s">
        <v>2169</v>
      </c>
      <c r="U197" s="41" t="s">
        <v>2170</v>
      </c>
      <c r="V197" s="69" t="s">
        <v>2171</v>
      </c>
      <c r="W197" s="68"/>
    </row>
    <row r="198" spans="1:23" ht="13" x14ac:dyDescent="0.3">
      <c r="A198" s="39">
        <v>46080.875509259262</v>
      </c>
      <c r="B198" s="40" t="s">
        <v>940</v>
      </c>
      <c r="C198" s="40" t="s">
        <v>379</v>
      </c>
      <c r="D198" s="40" t="s">
        <v>378</v>
      </c>
      <c r="E198" s="40" t="s">
        <v>17</v>
      </c>
      <c r="F198" s="70" t="s">
        <v>1550</v>
      </c>
      <c r="G198" s="68"/>
      <c r="H198" s="40" t="s">
        <v>7</v>
      </c>
      <c r="I198" s="42"/>
      <c r="J198" s="42"/>
      <c r="K198" s="42"/>
      <c r="L198" s="40" t="s">
        <v>7</v>
      </c>
      <c r="M198" s="40" t="s">
        <v>7</v>
      </c>
      <c r="N198" s="40" t="s">
        <v>2172</v>
      </c>
      <c r="O198" s="41" t="s">
        <v>2173</v>
      </c>
      <c r="P198" s="41" t="s">
        <v>2174</v>
      </c>
      <c r="Q198" s="41" t="s">
        <v>2175</v>
      </c>
      <c r="R198" s="40" t="s">
        <v>380</v>
      </c>
      <c r="S198" s="41" t="s">
        <v>2176</v>
      </c>
      <c r="T198" s="41" t="s">
        <v>2177</v>
      </c>
      <c r="U198" s="41" t="s">
        <v>2178</v>
      </c>
      <c r="V198" s="69" t="s">
        <v>2179</v>
      </c>
      <c r="W198" s="68"/>
    </row>
    <row r="199" spans="1:23" ht="13" x14ac:dyDescent="0.3">
      <c r="A199" s="44">
        <v>46080.887789351851</v>
      </c>
      <c r="B199" s="45" t="s">
        <v>997</v>
      </c>
      <c r="C199" s="45" t="s">
        <v>2180</v>
      </c>
      <c r="D199" s="45" t="s">
        <v>111</v>
      </c>
      <c r="E199" s="45" t="s">
        <v>6</v>
      </c>
      <c r="F199" s="67" t="s">
        <v>1550</v>
      </c>
      <c r="G199" s="68"/>
      <c r="H199" s="45" t="s">
        <v>7</v>
      </c>
      <c r="I199" s="46"/>
      <c r="J199" s="46"/>
      <c r="K199" s="46"/>
      <c r="L199" s="45" t="s">
        <v>7</v>
      </c>
      <c r="M199" s="45" t="s">
        <v>7</v>
      </c>
      <c r="N199" s="45" t="s">
        <v>112</v>
      </c>
      <c r="O199" s="41" t="s">
        <v>2181</v>
      </c>
      <c r="P199" s="41" t="s">
        <v>2182</v>
      </c>
      <c r="Q199" s="41" t="s">
        <v>2183</v>
      </c>
      <c r="R199" s="45" t="s">
        <v>112</v>
      </c>
      <c r="S199" s="41" t="s">
        <v>2184</v>
      </c>
      <c r="T199" s="41" t="s">
        <v>2185</v>
      </c>
      <c r="U199" s="41" t="s">
        <v>2186</v>
      </c>
      <c r="V199" s="69" t="s">
        <v>2187</v>
      </c>
      <c r="W199" s="68"/>
    </row>
    <row r="200" spans="1:23" ht="13" x14ac:dyDescent="0.3">
      <c r="A200" s="39">
        <v>46080.890462962961</v>
      </c>
      <c r="B200" s="40" t="s">
        <v>962</v>
      </c>
      <c r="C200" s="40" t="s">
        <v>57</v>
      </c>
      <c r="D200" s="40" t="s">
        <v>56</v>
      </c>
      <c r="E200" s="40" t="s">
        <v>17</v>
      </c>
      <c r="F200" s="70" t="s">
        <v>1550</v>
      </c>
      <c r="G200" s="68"/>
      <c r="H200" s="40" t="s">
        <v>14</v>
      </c>
      <c r="I200" s="42"/>
      <c r="J200" s="42"/>
      <c r="K200" s="42"/>
      <c r="L200" s="40" t="s">
        <v>14</v>
      </c>
      <c r="M200" s="40" t="s">
        <v>14</v>
      </c>
      <c r="N200" s="40" t="s">
        <v>58</v>
      </c>
      <c r="O200" s="41" t="s">
        <v>2188</v>
      </c>
      <c r="P200" s="41" t="s">
        <v>2189</v>
      </c>
      <c r="Q200" s="41" t="s">
        <v>2190</v>
      </c>
      <c r="R200" s="40" t="s">
        <v>58</v>
      </c>
      <c r="S200" s="41" t="s">
        <v>2191</v>
      </c>
      <c r="T200" s="41" t="s">
        <v>2192</v>
      </c>
      <c r="U200" s="41" t="s">
        <v>2193</v>
      </c>
      <c r="V200" s="69" t="s">
        <v>2194</v>
      </c>
      <c r="W200" s="68"/>
    </row>
    <row r="201" spans="1:23" ht="13" x14ac:dyDescent="0.3">
      <c r="A201" s="44">
        <v>46080.892951388887</v>
      </c>
      <c r="B201" s="45" t="s">
        <v>744</v>
      </c>
      <c r="C201" s="50" t="s">
        <v>523</v>
      </c>
      <c r="D201" s="45" t="s">
        <v>522</v>
      </c>
      <c r="E201" s="45" t="s">
        <v>127</v>
      </c>
      <c r="F201" s="67" t="s">
        <v>1550</v>
      </c>
      <c r="G201" s="68"/>
      <c r="H201" s="45" t="s">
        <v>14</v>
      </c>
      <c r="I201" s="46"/>
      <c r="J201" s="46"/>
      <c r="K201" s="46"/>
      <c r="L201" s="45" t="s">
        <v>14</v>
      </c>
      <c r="M201" s="45" t="s">
        <v>14</v>
      </c>
      <c r="N201" s="45" t="s">
        <v>2195</v>
      </c>
      <c r="O201" s="41" t="s">
        <v>2196</v>
      </c>
      <c r="P201" s="41" t="s">
        <v>2197</v>
      </c>
      <c r="Q201" s="41" t="s">
        <v>2198</v>
      </c>
      <c r="R201" s="45" t="s">
        <v>2195</v>
      </c>
      <c r="S201" s="41" t="s">
        <v>2199</v>
      </c>
      <c r="T201" s="41" t="s">
        <v>2200</v>
      </c>
      <c r="U201" s="69" t="s">
        <v>2201</v>
      </c>
      <c r="V201" s="68"/>
      <c r="W201" s="68"/>
    </row>
    <row r="202" spans="1:23" ht="13" x14ac:dyDescent="0.3">
      <c r="A202" s="39">
        <v>46080.902650462966</v>
      </c>
      <c r="B202" s="40" t="s">
        <v>739</v>
      </c>
      <c r="C202" s="40" t="s">
        <v>513</v>
      </c>
      <c r="D202" s="40" t="s">
        <v>512</v>
      </c>
      <c r="E202" s="40" t="s">
        <v>1241</v>
      </c>
      <c r="F202" s="70" t="s">
        <v>1550</v>
      </c>
      <c r="G202" s="68"/>
      <c r="H202" s="40" t="s">
        <v>14</v>
      </c>
      <c r="I202" s="42"/>
      <c r="J202" s="42"/>
      <c r="K202" s="42"/>
      <c r="L202" s="40" t="s">
        <v>14</v>
      </c>
      <c r="M202" s="40" t="s">
        <v>14</v>
      </c>
      <c r="N202" s="40" t="s">
        <v>2202</v>
      </c>
      <c r="O202" s="41" t="s">
        <v>2203</v>
      </c>
      <c r="P202" s="41" t="s">
        <v>2204</v>
      </c>
      <c r="Q202" s="41" t="s">
        <v>2205</v>
      </c>
      <c r="R202" s="40" t="s">
        <v>2202</v>
      </c>
      <c r="S202" s="41" t="s">
        <v>2206</v>
      </c>
      <c r="T202" s="41" t="s">
        <v>2207</v>
      </c>
      <c r="U202" s="41" t="s">
        <v>2208</v>
      </c>
      <c r="V202" s="69" t="s">
        <v>2209</v>
      </c>
      <c r="W202" s="68"/>
    </row>
    <row r="203" spans="1:23" ht="13" x14ac:dyDescent="0.3">
      <c r="A203" s="44">
        <v>46080.906145833331</v>
      </c>
      <c r="B203" s="45" t="s">
        <v>912</v>
      </c>
      <c r="C203" s="45" t="s">
        <v>201</v>
      </c>
      <c r="D203" s="45" t="s">
        <v>200</v>
      </c>
      <c r="E203" s="45" t="s">
        <v>17</v>
      </c>
      <c r="F203" s="67" t="s">
        <v>1550</v>
      </c>
      <c r="G203" s="68"/>
      <c r="H203" s="45" t="s">
        <v>14</v>
      </c>
      <c r="I203" s="46"/>
      <c r="J203" s="46"/>
      <c r="K203" s="46"/>
      <c r="L203" s="45" t="s">
        <v>14</v>
      </c>
      <c r="M203" s="45" t="s">
        <v>14</v>
      </c>
      <c r="N203" s="67" t="s">
        <v>2210</v>
      </c>
      <c r="O203" s="68"/>
      <c r="P203" s="68"/>
      <c r="Q203" s="41" t="s">
        <v>2211</v>
      </c>
      <c r="R203" s="45" t="s">
        <v>2210</v>
      </c>
      <c r="S203" s="41" t="s">
        <v>2212</v>
      </c>
      <c r="T203" s="41" t="s">
        <v>2213</v>
      </c>
      <c r="U203" s="41" t="s">
        <v>2214</v>
      </c>
      <c r="V203" s="69" t="s">
        <v>2215</v>
      </c>
      <c r="W203" s="68"/>
    </row>
    <row r="204" spans="1:23" ht="13" x14ac:dyDescent="0.3">
      <c r="A204" s="39">
        <v>46080.910902777781</v>
      </c>
      <c r="B204" s="40" t="s">
        <v>933</v>
      </c>
      <c r="C204" s="40" t="s">
        <v>249</v>
      </c>
      <c r="D204" s="40" t="s">
        <v>248</v>
      </c>
      <c r="E204" s="40" t="s">
        <v>17</v>
      </c>
      <c r="F204" s="70" t="s">
        <v>1550</v>
      </c>
      <c r="G204" s="68"/>
      <c r="H204" s="40" t="s">
        <v>14</v>
      </c>
      <c r="I204" s="42"/>
      <c r="J204" s="42"/>
      <c r="K204" s="42"/>
      <c r="L204" s="40" t="s">
        <v>14</v>
      </c>
      <c r="M204" s="40" t="s">
        <v>14</v>
      </c>
      <c r="N204" s="40" t="s">
        <v>2216</v>
      </c>
      <c r="O204" s="41" t="s">
        <v>2217</v>
      </c>
      <c r="P204" s="41" t="s">
        <v>2218</v>
      </c>
      <c r="Q204" s="41" t="s">
        <v>2219</v>
      </c>
      <c r="R204" s="40" t="s">
        <v>2220</v>
      </c>
      <c r="S204" s="41" t="s">
        <v>2221</v>
      </c>
      <c r="T204" s="41" t="s">
        <v>2222</v>
      </c>
      <c r="U204" s="41" t="s">
        <v>2223</v>
      </c>
      <c r="V204" s="69" t="s">
        <v>2224</v>
      </c>
      <c r="W204" s="68"/>
    </row>
    <row r="205" spans="1:23" ht="13" x14ac:dyDescent="0.3">
      <c r="A205" s="44">
        <v>46080.915914351855</v>
      </c>
      <c r="B205" s="45" t="s">
        <v>877</v>
      </c>
      <c r="C205" s="45" t="s">
        <v>81</v>
      </c>
      <c r="D205" s="45" t="s">
        <v>80</v>
      </c>
      <c r="E205" s="45" t="s">
        <v>17</v>
      </c>
      <c r="F205" s="67" t="s">
        <v>1550</v>
      </c>
      <c r="G205" s="68"/>
      <c r="H205" s="45" t="s">
        <v>14</v>
      </c>
      <c r="I205" s="46"/>
      <c r="J205" s="46"/>
      <c r="K205" s="46"/>
      <c r="L205" s="45" t="s">
        <v>14</v>
      </c>
      <c r="M205" s="45" t="s">
        <v>14</v>
      </c>
      <c r="N205" s="67" t="s">
        <v>2225</v>
      </c>
      <c r="O205" s="68"/>
      <c r="P205" s="68"/>
      <c r="Q205" s="41" t="s">
        <v>2226</v>
      </c>
      <c r="R205" s="45" t="s">
        <v>2225</v>
      </c>
      <c r="S205" s="41" t="s">
        <v>2227</v>
      </c>
      <c r="T205" s="41" t="s">
        <v>2228</v>
      </c>
      <c r="U205" s="41" t="s">
        <v>2229</v>
      </c>
      <c r="V205" s="69" t="s">
        <v>2230</v>
      </c>
      <c r="W205" s="68"/>
    </row>
    <row r="206" spans="1:23" ht="13" x14ac:dyDescent="0.3">
      <c r="A206" s="39">
        <v>46080.937835648147</v>
      </c>
      <c r="B206" s="40" t="s">
        <v>1013</v>
      </c>
      <c r="C206" s="40" t="s">
        <v>144</v>
      </c>
      <c r="D206" s="40" t="s">
        <v>143</v>
      </c>
      <c r="E206" s="40" t="s">
        <v>6</v>
      </c>
      <c r="F206" s="70" t="s">
        <v>1550</v>
      </c>
      <c r="G206" s="68"/>
      <c r="H206" s="40" t="s">
        <v>7</v>
      </c>
      <c r="I206" s="42"/>
      <c r="J206" s="42"/>
      <c r="K206" s="42"/>
      <c r="L206" s="40" t="s">
        <v>7</v>
      </c>
      <c r="M206" s="40" t="s">
        <v>14</v>
      </c>
      <c r="N206" s="40" t="s">
        <v>2231</v>
      </c>
      <c r="O206" s="41" t="s">
        <v>2232</v>
      </c>
      <c r="P206" s="41" t="s">
        <v>2233</v>
      </c>
      <c r="Q206" s="41" t="s">
        <v>2234</v>
      </c>
      <c r="R206" s="40" t="s">
        <v>145</v>
      </c>
      <c r="S206" s="41" t="s">
        <v>2235</v>
      </c>
      <c r="T206" s="41" t="s">
        <v>2236</v>
      </c>
      <c r="U206" s="41" t="s">
        <v>2237</v>
      </c>
      <c r="V206" s="69" t="s">
        <v>2238</v>
      </c>
      <c r="W206" s="68"/>
    </row>
    <row r="207" spans="1:23" ht="13" x14ac:dyDescent="0.3">
      <c r="A207" s="44">
        <v>46080.940312500003</v>
      </c>
      <c r="B207" s="45" t="s">
        <v>1017</v>
      </c>
      <c r="C207" s="45" t="s">
        <v>168</v>
      </c>
      <c r="D207" s="45" t="s">
        <v>167</v>
      </c>
      <c r="E207" s="45" t="s">
        <v>6</v>
      </c>
      <c r="F207" s="67" t="s">
        <v>1550</v>
      </c>
      <c r="G207" s="68"/>
      <c r="H207" s="45" t="s">
        <v>14</v>
      </c>
      <c r="I207" s="46"/>
      <c r="J207" s="46"/>
      <c r="K207" s="46"/>
      <c r="L207" s="45" t="s">
        <v>14</v>
      </c>
      <c r="M207" s="45" t="s">
        <v>14</v>
      </c>
      <c r="N207" s="45" t="s">
        <v>2239</v>
      </c>
      <c r="O207" s="41" t="s">
        <v>2240</v>
      </c>
      <c r="P207" s="41" t="s">
        <v>2241</v>
      </c>
      <c r="Q207" s="41" t="s">
        <v>2242</v>
      </c>
      <c r="R207" s="45" t="s">
        <v>2243</v>
      </c>
      <c r="S207" s="41" t="s">
        <v>2244</v>
      </c>
      <c r="T207" s="41" t="s">
        <v>2245</v>
      </c>
      <c r="U207" s="69" t="s">
        <v>2246</v>
      </c>
      <c r="V207" s="68"/>
      <c r="W207" s="68"/>
    </row>
    <row r="208" spans="1:23" ht="13" x14ac:dyDescent="0.3">
      <c r="A208" s="39">
        <v>46080.944328703707</v>
      </c>
      <c r="B208" s="40" t="s">
        <v>980</v>
      </c>
      <c r="C208" s="40" t="s">
        <v>41</v>
      </c>
      <c r="D208" s="40" t="s">
        <v>40</v>
      </c>
      <c r="E208" s="40" t="s">
        <v>2247</v>
      </c>
      <c r="F208" s="70" t="s">
        <v>1550</v>
      </c>
      <c r="G208" s="68"/>
      <c r="H208" s="40" t="s">
        <v>14</v>
      </c>
      <c r="I208" s="42"/>
      <c r="J208" s="42"/>
      <c r="K208" s="42"/>
      <c r="L208" s="40" t="s">
        <v>14</v>
      </c>
      <c r="M208" s="40" t="s">
        <v>14</v>
      </c>
      <c r="N208" s="40" t="s">
        <v>2248</v>
      </c>
      <c r="O208" s="41" t="s">
        <v>2249</v>
      </c>
      <c r="P208" s="41" t="s">
        <v>2250</v>
      </c>
      <c r="Q208" s="41" t="s">
        <v>2251</v>
      </c>
      <c r="R208" s="40" t="s">
        <v>2252</v>
      </c>
      <c r="S208" s="41" t="s">
        <v>2253</v>
      </c>
      <c r="T208" s="41" t="s">
        <v>2254</v>
      </c>
      <c r="U208" s="41" t="s">
        <v>2255</v>
      </c>
      <c r="V208" s="69" t="s">
        <v>2256</v>
      </c>
      <c r="W208" s="68"/>
    </row>
    <row r="209" spans="1:23" ht="13" x14ac:dyDescent="0.3">
      <c r="A209" s="44">
        <v>46080.944490740738</v>
      </c>
      <c r="B209" s="45" t="s">
        <v>883</v>
      </c>
      <c r="C209" s="45" t="s">
        <v>83</v>
      </c>
      <c r="D209" s="45" t="s">
        <v>82</v>
      </c>
      <c r="E209" s="45" t="s">
        <v>17</v>
      </c>
      <c r="F209" s="67" t="s">
        <v>1550</v>
      </c>
      <c r="G209" s="68"/>
      <c r="H209" s="45" t="s">
        <v>7</v>
      </c>
      <c r="I209" s="46"/>
      <c r="J209" s="46"/>
      <c r="K209" s="46"/>
      <c r="L209" s="45" t="s">
        <v>7</v>
      </c>
      <c r="M209" s="45" t="s">
        <v>14</v>
      </c>
      <c r="N209" s="45" t="s">
        <v>2257</v>
      </c>
      <c r="O209" s="41" t="s">
        <v>2258</v>
      </c>
      <c r="P209" s="41" t="s">
        <v>2259</v>
      </c>
      <c r="Q209" s="41" t="s">
        <v>2260</v>
      </c>
      <c r="R209" s="45" t="s">
        <v>2261</v>
      </c>
      <c r="S209" s="41" t="s">
        <v>2262</v>
      </c>
      <c r="T209" s="41" t="s">
        <v>2263</v>
      </c>
      <c r="U209" s="41" t="s">
        <v>2264</v>
      </c>
      <c r="V209" s="69" t="s">
        <v>2265</v>
      </c>
      <c r="W209" s="68"/>
    </row>
    <row r="210" spans="1:23" ht="13" x14ac:dyDescent="0.3">
      <c r="A210" s="39">
        <v>46080.945462962962</v>
      </c>
      <c r="B210" s="40" t="s">
        <v>1021</v>
      </c>
      <c r="C210" s="40" t="s">
        <v>365</v>
      </c>
      <c r="D210" s="40" t="s">
        <v>364</v>
      </c>
      <c r="E210" s="40" t="s">
        <v>6</v>
      </c>
      <c r="F210" s="70" t="s">
        <v>1550</v>
      </c>
      <c r="G210" s="68"/>
      <c r="H210" s="40" t="s">
        <v>14</v>
      </c>
      <c r="I210" s="42"/>
      <c r="J210" s="42"/>
      <c r="K210" s="42"/>
      <c r="L210" s="40" t="s">
        <v>14</v>
      </c>
      <c r="M210" s="40" t="s">
        <v>14</v>
      </c>
      <c r="N210" s="40" t="s">
        <v>366</v>
      </c>
      <c r="O210" s="41" t="s">
        <v>2266</v>
      </c>
      <c r="P210" s="41" t="s">
        <v>2267</v>
      </c>
      <c r="Q210" s="41" t="s">
        <v>2268</v>
      </c>
      <c r="R210" s="40" t="s">
        <v>2269</v>
      </c>
      <c r="S210" s="41" t="s">
        <v>2270</v>
      </c>
      <c r="T210" s="41" t="s">
        <v>2271</v>
      </c>
      <c r="U210" s="41" t="s">
        <v>2272</v>
      </c>
      <c r="V210" s="69" t="s">
        <v>2273</v>
      </c>
      <c r="W210" s="68"/>
    </row>
    <row r="211" spans="1:23" ht="13" x14ac:dyDescent="0.3">
      <c r="A211" s="44">
        <v>46080.945787037039</v>
      </c>
      <c r="B211" s="45" t="s">
        <v>2274</v>
      </c>
      <c r="C211" s="45" t="s">
        <v>71</v>
      </c>
      <c r="D211" s="45" t="s">
        <v>70</v>
      </c>
      <c r="E211" s="45" t="s">
        <v>72</v>
      </c>
      <c r="F211" s="67" t="s">
        <v>1550</v>
      </c>
      <c r="G211" s="68"/>
      <c r="H211" s="45" t="s">
        <v>7</v>
      </c>
      <c r="I211" s="46"/>
      <c r="J211" s="46"/>
      <c r="K211" s="46"/>
      <c r="L211" s="45" t="s">
        <v>7</v>
      </c>
      <c r="M211" s="45" t="s">
        <v>7</v>
      </c>
      <c r="N211" s="45" t="s">
        <v>2275</v>
      </c>
      <c r="O211" s="41" t="s">
        <v>2276</v>
      </c>
      <c r="P211" s="41" t="s">
        <v>2277</v>
      </c>
      <c r="Q211" s="41" t="s">
        <v>2278</v>
      </c>
      <c r="R211" s="45" t="s">
        <v>73</v>
      </c>
      <c r="S211" s="41" t="s">
        <v>2279</v>
      </c>
      <c r="T211" s="41" t="s">
        <v>2280</v>
      </c>
      <c r="U211" s="41" t="s">
        <v>2281</v>
      </c>
      <c r="V211" s="69" t="s">
        <v>2282</v>
      </c>
      <c r="W211" s="68"/>
    </row>
    <row r="212" spans="1:23" ht="13" x14ac:dyDescent="0.3">
      <c r="A212" s="39">
        <v>46080.953773148147</v>
      </c>
      <c r="B212" s="40" t="s">
        <v>928</v>
      </c>
      <c r="C212" s="40" t="s">
        <v>247</v>
      </c>
      <c r="D212" s="40" t="s">
        <v>246</v>
      </c>
      <c r="E212" s="40" t="s">
        <v>17</v>
      </c>
      <c r="F212" s="70" t="s">
        <v>1550</v>
      </c>
      <c r="G212" s="68"/>
      <c r="H212" s="40" t="s">
        <v>14</v>
      </c>
      <c r="I212" s="42"/>
      <c r="J212" s="42"/>
      <c r="K212" s="42"/>
      <c r="L212" s="40" t="s">
        <v>14</v>
      </c>
      <c r="M212" s="40" t="s">
        <v>14</v>
      </c>
      <c r="N212" s="40" t="s">
        <v>2283</v>
      </c>
      <c r="O212" s="41" t="s">
        <v>2284</v>
      </c>
      <c r="P212" s="41" t="s">
        <v>2285</v>
      </c>
      <c r="Q212" s="41" t="s">
        <v>2286</v>
      </c>
      <c r="R212" s="40" t="s">
        <v>2287</v>
      </c>
      <c r="S212" s="41" t="s">
        <v>2288</v>
      </c>
      <c r="T212" s="41" t="s">
        <v>2289</v>
      </c>
      <c r="U212" s="41" t="s">
        <v>2290</v>
      </c>
      <c r="V212" s="69" t="s">
        <v>2291</v>
      </c>
      <c r="W212" s="68"/>
    </row>
    <row r="213" spans="1:23" ht="13" x14ac:dyDescent="0.3">
      <c r="A213" s="44">
        <v>46080.956354166665</v>
      </c>
      <c r="B213" s="45" t="s">
        <v>990</v>
      </c>
      <c r="C213" s="45" t="s">
        <v>163</v>
      </c>
      <c r="D213" s="45" t="s">
        <v>162</v>
      </c>
      <c r="E213" s="45" t="s">
        <v>6</v>
      </c>
      <c r="F213" s="67" t="s">
        <v>1550</v>
      </c>
      <c r="G213" s="68"/>
      <c r="H213" s="45" t="s">
        <v>7</v>
      </c>
      <c r="I213" s="46"/>
      <c r="J213" s="46"/>
      <c r="K213" s="46"/>
      <c r="L213" s="45" t="s">
        <v>7</v>
      </c>
      <c r="M213" s="45" t="s">
        <v>14</v>
      </c>
      <c r="N213" s="45" t="s">
        <v>2292</v>
      </c>
      <c r="O213" s="41" t="s">
        <v>2293</v>
      </c>
      <c r="P213" s="41" t="s">
        <v>2294</v>
      </c>
      <c r="Q213" s="41" t="s">
        <v>2295</v>
      </c>
      <c r="R213" s="45" t="s">
        <v>164</v>
      </c>
      <c r="S213" s="41" t="s">
        <v>2296</v>
      </c>
      <c r="T213" s="41" t="s">
        <v>2297</v>
      </c>
      <c r="U213" s="41" t="s">
        <v>2298</v>
      </c>
      <c r="V213" s="69" t="s">
        <v>2299</v>
      </c>
      <c r="W213" s="68"/>
    </row>
    <row r="214" spans="1:23" ht="13" x14ac:dyDescent="0.3">
      <c r="A214" s="39">
        <v>46080.970057870371</v>
      </c>
      <c r="B214" s="40" t="s">
        <v>966</v>
      </c>
      <c r="C214" s="40" t="s">
        <v>389</v>
      </c>
      <c r="D214" s="40" t="s">
        <v>388</v>
      </c>
      <c r="E214" s="51">
        <v>414</v>
      </c>
      <c r="F214" s="70" t="s">
        <v>1550</v>
      </c>
      <c r="G214" s="68"/>
      <c r="H214" s="40" t="s">
        <v>7</v>
      </c>
      <c r="I214" s="42"/>
      <c r="J214" s="42"/>
      <c r="K214" s="42"/>
      <c r="L214" s="40" t="s">
        <v>7</v>
      </c>
      <c r="M214" s="40" t="s">
        <v>7</v>
      </c>
      <c r="N214" s="40" t="s">
        <v>2300</v>
      </c>
      <c r="O214" s="41" t="s">
        <v>2301</v>
      </c>
      <c r="P214" s="41" t="s">
        <v>2302</v>
      </c>
      <c r="Q214" s="41" t="s">
        <v>2303</v>
      </c>
      <c r="R214" s="40" t="s">
        <v>2300</v>
      </c>
      <c r="S214" s="41" t="s">
        <v>2304</v>
      </c>
      <c r="T214" s="41" t="s">
        <v>2305</v>
      </c>
      <c r="U214" s="41" t="s">
        <v>2306</v>
      </c>
      <c r="V214" s="69" t="s">
        <v>2307</v>
      </c>
      <c r="W214" s="68"/>
    </row>
    <row r="215" spans="1:23" ht="13" x14ac:dyDescent="0.3">
      <c r="A215" s="44">
        <v>46080.971689814818</v>
      </c>
      <c r="B215" s="45" t="s">
        <v>899</v>
      </c>
      <c r="C215" s="45" t="s">
        <v>39</v>
      </c>
      <c r="D215" s="45" t="s">
        <v>38</v>
      </c>
      <c r="E215" s="45" t="s">
        <v>17</v>
      </c>
      <c r="F215" s="67" t="s">
        <v>1550</v>
      </c>
      <c r="G215" s="68"/>
      <c r="H215" s="45" t="s">
        <v>14</v>
      </c>
      <c r="I215" s="46"/>
      <c r="J215" s="46"/>
      <c r="K215" s="46"/>
      <c r="L215" s="45" t="s">
        <v>14</v>
      </c>
      <c r="M215" s="45" t="s">
        <v>14</v>
      </c>
      <c r="N215" s="45" t="s">
        <v>2308</v>
      </c>
      <c r="O215" s="41" t="s">
        <v>2309</v>
      </c>
      <c r="P215" s="41" t="s">
        <v>2310</v>
      </c>
      <c r="Q215" s="41" t="s">
        <v>2311</v>
      </c>
      <c r="R215" s="45" t="s">
        <v>2312</v>
      </c>
      <c r="S215" s="41" t="s">
        <v>2313</v>
      </c>
      <c r="T215" s="41" t="s">
        <v>2314</v>
      </c>
      <c r="U215" s="41" t="s">
        <v>2315</v>
      </c>
      <c r="V215" s="69" t="s">
        <v>2316</v>
      </c>
      <c r="W215" s="68"/>
    </row>
    <row r="216" spans="1:23" ht="13" x14ac:dyDescent="0.3">
      <c r="A216" s="39">
        <v>46080.974710648145</v>
      </c>
      <c r="B216" s="40" t="s">
        <v>901</v>
      </c>
      <c r="C216" s="40" t="s">
        <v>213</v>
      </c>
      <c r="D216" s="40" t="s">
        <v>212</v>
      </c>
      <c r="E216" s="40" t="s">
        <v>17</v>
      </c>
      <c r="F216" s="70" t="s">
        <v>1550</v>
      </c>
      <c r="G216" s="68"/>
      <c r="H216" s="40" t="s">
        <v>7</v>
      </c>
      <c r="I216" s="42"/>
      <c r="J216" s="42"/>
      <c r="K216" s="42"/>
      <c r="L216" s="40" t="s">
        <v>7</v>
      </c>
      <c r="M216" s="40" t="s">
        <v>7</v>
      </c>
      <c r="N216" s="40" t="s">
        <v>2317</v>
      </c>
      <c r="O216" s="41" t="s">
        <v>2318</v>
      </c>
      <c r="P216" s="41" t="s">
        <v>2319</v>
      </c>
      <c r="Q216" s="41" t="s">
        <v>2320</v>
      </c>
      <c r="R216" s="40" t="s">
        <v>2317</v>
      </c>
      <c r="S216" s="41" t="s">
        <v>2321</v>
      </c>
      <c r="T216" s="41" t="s">
        <v>2322</v>
      </c>
      <c r="U216" s="41" t="s">
        <v>2323</v>
      </c>
      <c r="V216" s="69" t="s">
        <v>2324</v>
      </c>
      <c r="W216" s="68"/>
    </row>
    <row r="217" spans="1:23" ht="13" x14ac:dyDescent="0.3">
      <c r="A217" s="44">
        <v>46080.975347222222</v>
      </c>
      <c r="B217" s="45" t="s">
        <v>951</v>
      </c>
      <c r="C217" s="45" t="s">
        <v>298</v>
      </c>
      <c r="D217" s="45" t="s">
        <v>297</v>
      </c>
      <c r="E217" s="45" t="s">
        <v>17</v>
      </c>
      <c r="F217" s="67" t="s">
        <v>1550</v>
      </c>
      <c r="G217" s="68"/>
      <c r="H217" s="45" t="s">
        <v>14</v>
      </c>
      <c r="I217" s="46"/>
      <c r="J217" s="46"/>
      <c r="K217" s="46"/>
      <c r="L217" s="45" t="s">
        <v>14</v>
      </c>
      <c r="M217" s="45" t="s">
        <v>14</v>
      </c>
      <c r="N217" s="45" t="s">
        <v>2325</v>
      </c>
      <c r="O217" s="41" t="s">
        <v>2326</v>
      </c>
      <c r="P217" s="41" t="s">
        <v>2327</v>
      </c>
      <c r="Q217" s="41" t="s">
        <v>2328</v>
      </c>
      <c r="R217" s="45" t="s">
        <v>2329</v>
      </c>
      <c r="S217" s="41" t="s">
        <v>2330</v>
      </c>
      <c r="T217" s="41" t="s">
        <v>2331</v>
      </c>
      <c r="U217" s="41" t="s">
        <v>2332</v>
      </c>
      <c r="V217" s="69" t="s">
        <v>2333</v>
      </c>
      <c r="W217" s="68"/>
    </row>
    <row r="218" spans="1:23" ht="13" x14ac:dyDescent="0.3">
      <c r="A218" s="39">
        <v>46080.97556712963</v>
      </c>
      <c r="B218" s="40" t="s">
        <v>794</v>
      </c>
      <c r="C218" s="40" t="s">
        <v>422</v>
      </c>
      <c r="D218" s="40" t="s">
        <v>421</v>
      </c>
      <c r="E218" s="40" t="s">
        <v>28</v>
      </c>
      <c r="F218" s="70" t="s">
        <v>1550</v>
      </c>
      <c r="G218" s="68"/>
      <c r="H218" s="40" t="s">
        <v>14</v>
      </c>
      <c r="I218" s="42"/>
      <c r="J218" s="42"/>
      <c r="K218" s="42"/>
      <c r="L218" s="40" t="s">
        <v>14</v>
      </c>
      <c r="M218" s="40" t="s">
        <v>14</v>
      </c>
      <c r="N218" s="40" t="s">
        <v>2334</v>
      </c>
      <c r="O218" s="41" t="s">
        <v>2335</v>
      </c>
      <c r="P218" s="41" t="s">
        <v>2336</v>
      </c>
      <c r="Q218" s="41" t="s">
        <v>2337</v>
      </c>
      <c r="R218" s="40" t="s">
        <v>423</v>
      </c>
      <c r="S218" s="41" t="s">
        <v>2338</v>
      </c>
      <c r="T218" s="41" t="s">
        <v>2339</v>
      </c>
      <c r="U218" s="69" t="s">
        <v>2340</v>
      </c>
      <c r="V218" s="68"/>
      <c r="W218" s="68"/>
    </row>
    <row r="219" spans="1:23" ht="13" x14ac:dyDescent="0.3">
      <c r="A219" s="44">
        <v>46080.975868055553</v>
      </c>
      <c r="B219" s="45" t="s">
        <v>773</v>
      </c>
      <c r="C219" s="45" t="s">
        <v>400</v>
      </c>
      <c r="D219" s="45" t="s">
        <v>399</v>
      </c>
      <c r="E219" s="45" t="s">
        <v>28</v>
      </c>
      <c r="F219" s="67" t="s">
        <v>1550</v>
      </c>
      <c r="G219" s="68"/>
      <c r="H219" s="45" t="s">
        <v>7</v>
      </c>
      <c r="I219" s="46"/>
      <c r="J219" s="46"/>
      <c r="K219" s="46"/>
      <c r="L219" s="45" t="s">
        <v>7</v>
      </c>
      <c r="M219" s="45" t="s">
        <v>7</v>
      </c>
      <c r="N219" s="45" t="s">
        <v>2341</v>
      </c>
      <c r="O219" s="41" t="s">
        <v>2342</v>
      </c>
      <c r="P219" s="41" t="s">
        <v>2343</v>
      </c>
      <c r="Q219" s="41" t="s">
        <v>2344</v>
      </c>
      <c r="R219" s="45" t="s">
        <v>2341</v>
      </c>
      <c r="S219" s="41" t="s">
        <v>2345</v>
      </c>
      <c r="T219" s="41" t="s">
        <v>2346</v>
      </c>
      <c r="U219" s="69" t="s">
        <v>2347</v>
      </c>
      <c r="V219" s="68"/>
      <c r="W219" s="68"/>
    </row>
    <row r="220" spans="1:23" ht="13" x14ac:dyDescent="0.3">
      <c r="A220" s="39">
        <v>46080.976157407407</v>
      </c>
      <c r="B220" s="40" t="s">
        <v>860</v>
      </c>
      <c r="C220" s="40" t="s">
        <v>552</v>
      </c>
      <c r="D220" s="40" t="s">
        <v>551</v>
      </c>
      <c r="E220" s="40" t="s">
        <v>526</v>
      </c>
      <c r="F220" s="70" t="s">
        <v>1550</v>
      </c>
      <c r="G220" s="68"/>
      <c r="H220" s="40" t="s">
        <v>7</v>
      </c>
      <c r="I220" s="42"/>
      <c r="J220" s="42"/>
      <c r="K220" s="42"/>
      <c r="L220" s="40" t="s">
        <v>7</v>
      </c>
      <c r="M220" s="40" t="s">
        <v>7</v>
      </c>
      <c r="N220" s="40" t="s">
        <v>2348</v>
      </c>
      <c r="O220" s="41" t="s">
        <v>2349</v>
      </c>
      <c r="P220" s="41" t="s">
        <v>2350</v>
      </c>
      <c r="Q220" s="41" t="s">
        <v>2351</v>
      </c>
      <c r="R220" s="40" t="s">
        <v>553</v>
      </c>
      <c r="S220" s="41" t="s">
        <v>2352</v>
      </c>
      <c r="T220" s="41" t="s">
        <v>2353</v>
      </c>
      <c r="U220" s="69" t="s">
        <v>2354</v>
      </c>
      <c r="V220" s="68"/>
      <c r="W220" s="68"/>
    </row>
    <row r="221" spans="1:23" ht="13" x14ac:dyDescent="0.3">
      <c r="A221" s="44">
        <v>46080.976342592592</v>
      </c>
      <c r="B221" s="45" t="s">
        <v>840</v>
      </c>
      <c r="C221" s="45" t="s">
        <v>550</v>
      </c>
      <c r="D221" s="45" t="s">
        <v>549</v>
      </c>
      <c r="E221" s="45" t="s">
        <v>526</v>
      </c>
      <c r="F221" s="67" t="s">
        <v>1550</v>
      </c>
      <c r="G221" s="68"/>
      <c r="H221" s="45" t="s">
        <v>7</v>
      </c>
      <c r="I221" s="46"/>
      <c r="J221" s="46"/>
      <c r="K221" s="46"/>
      <c r="L221" s="45" t="s">
        <v>7</v>
      </c>
      <c r="M221" s="45" t="s">
        <v>7</v>
      </c>
      <c r="N221" s="45" t="s">
        <v>2355</v>
      </c>
      <c r="O221" s="41" t="s">
        <v>2356</v>
      </c>
      <c r="P221" s="41" t="s">
        <v>2357</v>
      </c>
      <c r="Q221" s="41" t="s">
        <v>2358</v>
      </c>
      <c r="R221" s="45" t="s">
        <v>2359</v>
      </c>
      <c r="S221" s="41" t="s">
        <v>2360</v>
      </c>
      <c r="T221" s="41" t="s">
        <v>2361</v>
      </c>
      <c r="U221" s="69" t="s">
        <v>2362</v>
      </c>
      <c r="V221" s="68"/>
      <c r="W221" s="68"/>
    </row>
    <row r="222" spans="1:23" ht="13" x14ac:dyDescent="0.3">
      <c r="A222" s="39">
        <v>46080.976875</v>
      </c>
      <c r="B222" s="40" t="s">
        <v>726</v>
      </c>
      <c r="C222" s="40" t="s">
        <v>485</v>
      </c>
      <c r="D222" s="40" t="s">
        <v>484</v>
      </c>
      <c r="E222" s="40" t="s">
        <v>259</v>
      </c>
      <c r="F222" s="70" t="s">
        <v>1550</v>
      </c>
      <c r="G222" s="68"/>
      <c r="H222" s="40" t="s">
        <v>14</v>
      </c>
      <c r="I222" s="42"/>
      <c r="J222" s="42"/>
      <c r="K222" s="42"/>
      <c r="L222" s="40" t="s">
        <v>14</v>
      </c>
      <c r="M222" s="40" t="s">
        <v>14</v>
      </c>
      <c r="N222" s="40" t="s">
        <v>486</v>
      </c>
      <c r="O222" s="41" t="s">
        <v>2363</v>
      </c>
      <c r="P222" s="41" t="s">
        <v>2364</v>
      </c>
      <c r="Q222" s="41" t="s">
        <v>2365</v>
      </c>
      <c r="R222" s="40" t="s">
        <v>486</v>
      </c>
      <c r="S222" s="41" t="s">
        <v>2366</v>
      </c>
      <c r="T222" s="41" t="s">
        <v>2367</v>
      </c>
      <c r="U222" s="41" t="s">
        <v>2368</v>
      </c>
      <c r="V222" s="69" t="s">
        <v>2369</v>
      </c>
      <c r="W222" s="68"/>
    </row>
    <row r="223" spans="1:23" ht="13" x14ac:dyDescent="0.3">
      <c r="A223" s="44">
        <v>46080.978368055556</v>
      </c>
      <c r="B223" s="45" t="s">
        <v>849</v>
      </c>
      <c r="C223" s="45" t="s">
        <v>532</v>
      </c>
      <c r="D223" s="45" t="s">
        <v>531</v>
      </c>
      <c r="E223" s="45" t="s">
        <v>526</v>
      </c>
      <c r="F223" s="67" t="s">
        <v>1550</v>
      </c>
      <c r="G223" s="68"/>
      <c r="H223" s="45" t="s">
        <v>7</v>
      </c>
      <c r="I223" s="46"/>
      <c r="J223" s="46"/>
      <c r="K223" s="46"/>
      <c r="L223" s="45" t="s">
        <v>7</v>
      </c>
      <c r="M223" s="45" t="s">
        <v>7</v>
      </c>
      <c r="N223" s="45" t="s">
        <v>533</v>
      </c>
      <c r="O223" s="41" t="s">
        <v>2370</v>
      </c>
      <c r="P223" s="41" t="s">
        <v>2371</v>
      </c>
      <c r="Q223" s="41" t="s">
        <v>2372</v>
      </c>
      <c r="R223" s="45" t="s">
        <v>533</v>
      </c>
      <c r="S223" s="41" t="s">
        <v>2373</v>
      </c>
      <c r="T223" s="41" t="s">
        <v>2374</v>
      </c>
      <c r="U223" s="69" t="s">
        <v>2375</v>
      </c>
      <c r="V223" s="68"/>
      <c r="W223" s="68"/>
    </row>
    <row r="224" spans="1:23" ht="13" x14ac:dyDescent="0.3">
      <c r="A224" s="39">
        <v>46080.979618055557</v>
      </c>
      <c r="B224" s="40" t="s">
        <v>874</v>
      </c>
      <c r="C224" s="40" t="s">
        <v>76</v>
      </c>
      <c r="D224" s="40" t="s">
        <v>75</v>
      </c>
      <c r="E224" s="40" t="s">
        <v>17</v>
      </c>
      <c r="F224" s="70" t="s">
        <v>1550</v>
      </c>
      <c r="G224" s="68"/>
      <c r="H224" s="40" t="s">
        <v>7</v>
      </c>
      <c r="I224" s="42"/>
      <c r="J224" s="42"/>
      <c r="K224" s="42"/>
      <c r="L224" s="40" t="s">
        <v>7</v>
      </c>
      <c r="M224" s="40" t="s">
        <v>7</v>
      </c>
      <c r="N224" s="40" t="s">
        <v>2376</v>
      </c>
      <c r="O224" s="41" t="s">
        <v>2377</v>
      </c>
      <c r="P224" s="41" t="s">
        <v>2378</v>
      </c>
      <c r="Q224" s="41" t="s">
        <v>2379</v>
      </c>
      <c r="R224" s="40" t="s">
        <v>2376</v>
      </c>
      <c r="S224" s="41" t="s">
        <v>2380</v>
      </c>
      <c r="T224" s="41" t="s">
        <v>2381</v>
      </c>
      <c r="U224" s="41" t="s">
        <v>2382</v>
      </c>
      <c r="V224" s="69" t="s">
        <v>2383</v>
      </c>
      <c r="W224" s="68"/>
    </row>
    <row r="225" spans="1:23" ht="13" x14ac:dyDescent="0.3">
      <c r="A225" s="44">
        <v>46080.980925925927</v>
      </c>
      <c r="B225" s="45" t="s">
        <v>738</v>
      </c>
      <c r="C225" s="45" t="s">
        <v>408</v>
      </c>
      <c r="D225" s="45" t="s">
        <v>407</v>
      </c>
      <c r="E225" s="45" t="s">
        <v>127</v>
      </c>
      <c r="F225" s="67" t="s">
        <v>1550</v>
      </c>
      <c r="G225" s="68"/>
      <c r="H225" s="45" t="s">
        <v>14</v>
      </c>
      <c r="I225" s="46"/>
      <c r="J225" s="46"/>
      <c r="K225" s="46"/>
      <c r="L225" s="45" t="s">
        <v>14</v>
      </c>
      <c r="M225" s="45" t="s">
        <v>7</v>
      </c>
      <c r="N225" s="45" t="s">
        <v>2384</v>
      </c>
      <c r="O225" s="41" t="s">
        <v>2385</v>
      </c>
      <c r="P225" s="41" t="s">
        <v>2386</v>
      </c>
      <c r="Q225" s="41" t="s">
        <v>2387</v>
      </c>
      <c r="R225" s="45" t="s">
        <v>2388</v>
      </c>
      <c r="S225" s="41" t="s">
        <v>2389</v>
      </c>
      <c r="T225" s="41" t="s">
        <v>2390</v>
      </c>
      <c r="U225" s="69" t="s">
        <v>2391</v>
      </c>
      <c r="V225" s="68"/>
      <c r="W225" s="68"/>
    </row>
    <row r="226" spans="1:23" ht="13" x14ac:dyDescent="0.3">
      <c r="A226" s="39">
        <v>46080.984618055554</v>
      </c>
      <c r="B226" s="40" t="s">
        <v>891</v>
      </c>
      <c r="C226" s="40" t="s">
        <v>208</v>
      </c>
      <c r="D226" s="40" t="s">
        <v>207</v>
      </c>
      <c r="E226" s="40" t="s">
        <v>17</v>
      </c>
      <c r="F226" s="70" t="s">
        <v>1550</v>
      </c>
      <c r="G226" s="68"/>
      <c r="H226" s="40" t="s">
        <v>14</v>
      </c>
      <c r="I226" s="42"/>
      <c r="J226" s="42"/>
      <c r="K226" s="42"/>
      <c r="L226" s="40" t="s">
        <v>14</v>
      </c>
      <c r="M226" s="40" t="s">
        <v>14</v>
      </c>
      <c r="N226" s="40" t="s">
        <v>2392</v>
      </c>
      <c r="O226" s="41" t="s">
        <v>2393</v>
      </c>
      <c r="P226" s="41" t="s">
        <v>2394</v>
      </c>
      <c r="Q226" s="41" t="s">
        <v>2395</v>
      </c>
      <c r="R226" s="40" t="s">
        <v>209</v>
      </c>
      <c r="S226" s="41" t="s">
        <v>2396</v>
      </c>
      <c r="T226" s="41" t="s">
        <v>2397</v>
      </c>
      <c r="U226" s="41" t="s">
        <v>2398</v>
      </c>
      <c r="V226" s="69" t="s">
        <v>2399</v>
      </c>
      <c r="W226" s="68"/>
    </row>
    <row r="227" spans="1:23" ht="13" x14ac:dyDescent="0.3">
      <c r="A227" s="44">
        <v>46080.985034722224</v>
      </c>
      <c r="B227" s="45" t="s">
        <v>2400</v>
      </c>
      <c r="C227" s="50" t="s">
        <v>121</v>
      </c>
      <c r="D227" s="45" t="s">
        <v>120</v>
      </c>
      <c r="E227" s="45" t="s">
        <v>17</v>
      </c>
      <c r="F227" s="67" t="s">
        <v>1550</v>
      </c>
      <c r="G227" s="68"/>
      <c r="H227" s="45" t="s">
        <v>14</v>
      </c>
      <c r="I227" s="46"/>
      <c r="J227" s="46"/>
      <c r="K227" s="46"/>
      <c r="L227" s="45" t="s">
        <v>14</v>
      </c>
      <c r="M227" s="45" t="s">
        <v>14</v>
      </c>
      <c r="N227" s="45" t="s">
        <v>122</v>
      </c>
      <c r="O227" s="41" t="s">
        <v>2401</v>
      </c>
      <c r="P227" s="41" t="s">
        <v>2402</v>
      </c>
      <c r="Q227" s="41" t="s">
        <v>2403</v>
      </c>
      <c r="R227" s="45" t="s">
        <v>122</v>
      </c>
      <c r="S227" s="41" t="s">
        <v>2404</v>
      </c>
      <c r="T227" s="41" t="s">
        <v>2405</v>
      </c>
      <c r="U227" s="41" t="s">
        <v>2406</v>
      </c>
      <c r="V227" s="69" t="s">
        <v>2407</v>
      </c>
      <c r="W227" s="68"/>
    </row>
    <row r="228" spans="1:23" ht="13" x14ac:dyDescent="0.3">
      <c r="A228" s="39">
        <v>46080.985543981478</v>
      </c>
      <c r="B228" s="40" t="s">
        <v>981</v>
      </c>
      <c r="C228" s="40" t="s">
        <v>5</v>
      </c>
      <c r="D228" s="40" t="s">
        <v>4</v>
      </c>
      <c r="E228" s="40" t="s">
        <v>6</v>
      </c>
      <c r="F228" s="70" t="s">
        <v>1550</v>
      </c>
      <c r="G228" s="68"/>
      <c r="H228" s="40" t="s">
        <v>7</v>
      </c>
      <c r="I228" s="42"/>
      <c r="J228" s="42"/>
      <c r="K228" s="42"/>
      <c r="L228" s="40" t="s">
        <v>7</v>
      </c>
      <c r="M228" s="40" t="s">
        <v>7</v>
      </c>
      <c r="N228" s="40" t="s">
        <v>2408</v>
      </c>
      <c r="O228" s="41" t="s">
        <v>2409</v>
      </c>
      <c r="P228" s="41" t="s">
        <v>2410</v>
      </c>
      <c r="Q228" s="41" t="s">
        <v>2411</v>
      </c>
      <c r="R228" s="40" t="s">
        <v>2408</v>
      </c>
      <c r="S228" s="41" t="s">
        <v>2412</v>
      </c>
      <c r="T228" s="41" t="s">
        <v>2413</v>
      </c>
      <c r="U228" s="41" t="s">
        <v>2414</v>
      </c>
      <c r="V228" s="69" t="s">
        <v>2415</v>
      </c>
      <c r="W228" s="68"/>
    </row>
    <row r="229" spans="1:23" ht="13" x14ac:dyDescent="0.3">
      <c r="A229" s="44">
        <v>46080.985659722224</v>
      </c>
      <c r="B229" s="45" t="s">
        <v>628</v>
      </c>
      <c r="C229" s="45" t="s">
        <v>482</v>
      </c>
      <c r="D229" s="45" t="s">
        <v>481</v>
      </c>
      <c r="E229" s="45" t="s">
        <v>127</v>
      </c>
      <c r="F229" s="67" t="s">
        <v>1550</v>
      </c>
      <c r="G229" s="68"/>
      <c r="H229" s="45" t="s">
        <v>7</v>
      </c>
      <c r="I229" s="46"/>
      <c r="J229" s="46"/>
      <c r="K229" s="46"/>
      <c r="L229" s="45" t="s">
        <v>7</v>
      </c>
      <c r="M229" s="45" t="s">
        <v>7</v>
      </c>
      <c r="N229" s="45" t="s">
        <v>483</v>
      </c>
      <c r="O229" s="41" t="s">
        <v>2416</v>
      </c>
      <c r="P229" s="41" t="s">
        <v>2417</v>
      </c>
      <c r="Q229" s="41" t="s">
        <v>2418</v>
      </c>
      <c r="R229" s="45" t="s">
        <v>483</v>
      </c>
      <c r="S229" s="41" t="s">
        <v>2419</v>
      </c>
      <c r="T229" s="41" t="s">
        <v>2420</v>
      </c>
      <c r="U229" s="41" t="s">
        <v>2421</v>
      </c>
      <c r="V229" s="69" t="s">
        <v>2422</v>
      </c>
      <c r="W229" s="68"/>
    </row>
    <row r="230" spans="1:23" ht="13" x14ac:dyDescent="0.3">
      <c r="A230" s="39">
        <v>46080.985960648148</v>
      </c>
      <c r="B230" s="40" t="s">
        <v>910</v>
      </c>
      <c r="C230" s="40" t="s">
        <v>198</v>
      </c>
      <c r="D230" s="40" t="s">
        <v>197</v>
      </c>
      <c r="E230" s="40" t="s">
        <v>17</v>
      </c>
      <c r="F230" s="70" t="s">
        <v>1550</v>
      </c>
      <c r="G230" s="68"/>
      <c r="H230" s="40" t="s">
        <v>14</v>
      </c>
      <c r="I230" s="42"/>
      <c r="J230" s="42"/>
      <c r="K230" s="42"/>
      <c r="L230" s="40" t="s">
        <v>14</v>
      </c>
      <c r="M230" s="40" t="s">
        <v>14</v>
      </c>
      <c r="N230" s="40" t="s">
        <v>199</v>
      </c>
      <c r="O230" s="41" t="s">
        <v>2423</v>
      </c>
      <c r="P230" s="41" t="s">
        <v>2424</v>
      </c>
      <c r="Q230" s="41" t="s">
        <v>2425</v>
      </c>
      <c r="R230" s="40" t="s">
        <v>199</v>
      </c>
      <c r="S230" s="41" t="s">
        <v>2426</v>
      </c>
      <c r="T230" s="41" t="s">
        <v>2427</v>
      </c>
      <c r="U230" s="41" t="s">
        <v>2428</v>
      </c>
      <c r="V230" s="69" t="s">
        <v>2429</v>
      </c>
      <c r="W230" s="68"/>
    </row>
    <row r="231" spans="1:23" ht="13" x14ac:dyDescent="0.3">
      <c r="A231" s="44">
        <v>46080.990439814814</v>
      </c>
      <c r="B231" s="45" t="s">
        <v>1025</v>
      </c>
      <c r="C231" s="45" t="s">
        <v>221</v>
      </c>
      <c r="D231" s="45" t="s">
        <v>220</v>
      </c>
      <c r="E231" s="45" t="s">
        <v>6</v>
      </c>
      <c r="F231" s="67" t="s">
        <v>1550</v>
      </c>
      <c r="G231" s="68"/>
      <c r="H231" s="45" t="s">
        <v>7</v>
      </c>
      <c r="I231" s="46"/>
      <c r="J231" s="46"/>
      <c r="K231" s="46"/>
      <c r="L231" s="45" t="s">
        <v>7</v>
      </c>
      <c r="M231" s="45" t="s">
        <v>7</v>
      </c>
      <c r="N231" s="45" t="s">
        <v>2430</v>
      </c>
      <c r="O231" s="41" t="s">
        <v>2431</v>
      </c>
      <c r="P231" s="41" t="s">
        <v>2432</v>
      </c>
      <c r="Q231" s="41" t="s">
        <v>2433</v>
      </c>
      <c r="R231" s="45" t="s">
        <v>2434</v>
      </c>
      <c r="S231" s="41" t="s">
        <v>2435</v>
      </c>
      <c r="T231" s="41" t="s">
        <v>2436</v>
      </c>
      <c r="U231" s="69" t="s">
        <v>2437</v>
      </c>
      <c r="V231" s="68"/>
      <c r="W231" s="68"/>
    </row>
    <row r="232" spans="1:23" ht="13" x14ac:dyDescent="0.3">
      <c r="A232" s="39">
        <v>46080.990567129629</v>
      </c>
      <c r="B232" s="40" t="s">
        <v>887</v>
      </c>
      <c r="C232" s="40" t="s">
        <v>36</v>
      </c>
      <c r="D232" s="40" t="s">
        <v>35</v>
      </c>
      <c r="E232" s="40" t="s">
        <v>35</v>
      </c>
      <c r="F232" s="70" t="s">
        <v>1550</v>
      </c>
      <c r="G232" s="68"/>
      <c r="H232" s="40" t="s">
        <v>14</v>
      </c>
      <c r="I232" s="42"/>
      <c r="J232" s="42"/>
      <c r="K232" s="42"/>
      <c r="L232" s="40" t="s">
        <v>14</v>
      </c>
      <c r="M232" s="40" t="s">
        <v>14</v>
      </c>
      <c r="N232" s="40" t="s">
        <v>37</v>
      </c>
      <c r="O232" s="41" t="s">
        <v>2438</v>
      </c>
      <c r="P232" s="41" t="s">
        <v>2439</v>
      </c>
      <c r="Q232" s="41" t="s">
        <v>2440</v>
      </c>
      <c r="R232" s="40" t="s">
        <v>37</v>
      </c>
      <c r="S232" s="41" t="s">
        <v>2441</v>
      </c>
      <c r="T232" s="41" t="s">
        <v>2442</v>
      </c>
      <c r="U232" s="41" t="s">
        <v>2443</v>
      </c>
      <c r="V232" s="69" t="s">
        <v>2444</v>
      </c>
      <c r="W232" s="68"/>
    </row>
    <row r="233" spans="1:23" ht="13" x14ac:dyDescent="0.3">
      <c r="A233" s="44">
        <v>46080.992256944446</v>
      </c>
      <c r="B233" s="45" t="s">
        <v>847</v>
      </c>
      <c r="C233" s="45" t="s">
        <v>586</v>
      </c>
      <c r="D233" s="45" t="s">
        <v>585</v>
      </c>
      <c r="E233" s="45" t="s">
        <v>526</v>
      </c>
      <c r="F233" s="67" t="s">
        <v>1550</v>
      </c>
      <c r="G233" s="68"/>
      <c r="H233" s="45" t="s">
        <v>7</v>
      </c>
      <c r="I233" s="46"/>
      <c r="J233" s="46"/>
      <c r="K233" s="46"/>
      <c r="L233" s="45" t="s">
        <v>7</v>
      </c>
      <c r="M233" s="45" t="s">
        <v>7</v>
      </c>
      <c r="N233" s="45" t="s">
        <v>2445</v>
      </c>
      <c r="O233" s="41" t="s">
        <v>2446</v>
      </c>
      <c r="P233" s="41" t="s">
        <v>2447</v>
      </c>
      <c r="Q233" s="41" t="s">
        <v>2448</v>
      </c>
      <c r="R233" s="45" t="s">
        <v>587</v>
      </c>
      <c r="S233" s="41" t="s">
        <v>2449</v>
      </c>
      <c r="T233" s="41" t="s">
        <v>2450</v>
      </c>
      <c r="U233" s="69" t="s">
        <v>2451</v>
      </c>
      <c r="V233" s="68"/>
      <c r="W233" s="68"/>
    </row>
    <row r="234" spans="1:23" ht="13" x14ac:dyDescent="0.3">
      <c r="A234" s="39">
        <v>46080.992372685185</v>
      </c>
      <c r="B234" s="40" t="s">
        <v>1001</v>
      </c>
      <c r="C234" s="40" t="s">
        <v>166</v>
      </c>
      <c r="D234" s="40" t="s">
        <v>165</v>
      </c>
      <c r="E234" s="40" t="s">
        <v>6</v>
      </c>
      <c r="F234" s="70" t="s">
        <v>1550</v>
      </c>
      <c r="G234" s="68"/>
      <c r="H234" s="40" t="s">
        <v>14</v>
      </c>
      <c r="I234" s="42"/>
      <c r="J234" s="42"/>
      <c r="K234" s="42"/>
      <c r="L234" s="40" t="s">
        <v>14</v>
      </c>
      <c r="M234" s="40" t="s">
        <v>14</v>
      </c>
      <c r="N234" s="40" t="s">
        <v>2452</v>
      </c>
      <c r="O234" s="41" t="s">
        <v>2453</v>
      </c>
      <c r="P234" s="41" t="s">
        <v>2454</v>
      </c>
      <c r="Q234" s="41" t="s">
        <v>2455</v>
      </c>
      <c r="R234" s="40" t="s">
        <v>2456</v>
      </c>
      <c r="S234" s="41" t="s">
        <v>2457</v>
      </c>
      <c r="T234" s="41" t="s">
        <v>2458</v>
      </c>
      <c r="U234" s="41" t="s">
        <v>2459</v>
      </c>
      <c r="V234" s="69" t="s">
        <v>2460</v>
      </c>
      <c r="W234" s="68"/>
    </row>
    <row r="235" spans="1:23" ht="13" x14ac:dyDescent="0.3">
      <c r="A235" s="44">
        <v>46080.992534722223</v>
      </c>
      <c r="B235" s="45" t="s">
        <v>914</v>
      </c>
      <c r="C235" s="45" t="s">
        <v>137</v>
      </c>
      <c r="D235" s="45" t="s">
        <v>136</v>
      </c>
      <c r="E235" s="45" t="s">
        <v>214</v>
      </c>
      <c r="F235" s="67" t="s">
        <v>1550</v>
      </c>
      <c r="G235" s="68"/>
      <c r="H235" s="45" t="s">
        <v>7</v>
      </c>
      <c r="I235" s="46"/>
      <c r="J235" s="46"/>
      <c r="K235" s="46"/>
      <c r="L235" s="45" t="s">
        <v>7</v>
      </c>
      <c r="M235" s="45" t="s">
        <v>14</v>
      </c>
      <c r="N235" s="45" t="s">
        <v>2461</v>
      </c>
      <c r="O235" s="41" t="s">
        <v>2462</v>
      </c>
      <c r="P235" s="41" t="s">
        <v>2463</v>
      </c>
      <c r="Q235" s="41" t="s">
        <v>2464</v>
      </c>
      <c r="R235" s="45" t="s">
        <v>138</v>
      </c>
      <c r="S235" s="41" t="s">
        <v>2465</v>
      </c>
      <c r="T235" s="41" t="s">
        <v>2466</v>
      </c>
      <c r="U235" s="41" t="s">
        <v>2467</v>
      </c>
      <c r="V235" s="69" t="s">
        <v>2468</v>
      </c>
      <c r="W235" s="68"/>
    </row>
    <row r="236" spans="1:23" ht="13" x14ac:dyDescent="0.3">
      <c r="A236" s="39">
        <v>46080.993460648147</v>
      </c>
      <c r="B236" s="40" t="s">
        <v>871</v>
      </c>
      <c r="C236" s="40" t="s">
        <v>60</v>
      </c>
      <c r="D236" s="40" t="s">
        <v>59</v>
      </c>
      <c r="E236" s="40" t="s">
        <v>17</v>
      </c>
      <c r="F236" s="70" t="s">
        <v>1550</v>
      </c>
      <c r="G236" s="68"/>
      <c r="H236" s="40" t="s">
        <v>14</v>
      </c>
      <c r="I236" s="42"/>
      <c r="J236" s="42"/>
      <c r="K236" s="42"/>
      <c r="L236" s="40" t="s">
        <v>14</v>
      </c>
      <c r="M236" s="40" t="s">
        <v>14</v>
      </c>
      <c r="N236" s="40" t="s">
        <v>2469</v>
      </c>
      <c r="O236" s="41" t="s">
        <v>2470</v>
      </c>
      <c r="P236" s="41" t="s">
        <v>2471</v>
      </c>
      <c r="Q236" s="41" t="s">
        <v>2472</v>
      </c>
      <c r="R236" s="40" t="s">
        <v>2473</v>
      </c>
      <c r="S236" s="41" t="s">
        <v>2474</v>
      </c>
      <c r="T236" s="41" t="s">
        <v>2475</v>
      </c>
      <c r="U236" s="41" t="s">
        <v>2476</v>
      </c>
      <c r="V236" s="69" t="s">
        <v>2477</v>
      </c>
      <c r="W236" s="68"/>
    </row>
    <row r="237" spans="1:23" ht="13" x14ac:dyDescent="0.3">
      <c r="A237" s="44">
        <v>46080.994016203702</v>
      </c>
      <c r="B237" s="45" t="s">
        <v>1024</v>
      </c>
      <c r="C237" s="45" t="s">
        <v>114</v>
      </c>
      <c r="D237" s="45" t="s">
        <v>113</v>
      </c>
      <c r="E237" s="45" t="s">
        <v>6</v>
      </c>
      <c r="F237" s="67" t="s">
        <v>1550</v>
      </c>
      <c r="G237" s="68"/>
      <c r="H237" s="45" t="s">
        <v>7</v>
      </c>
      <c r="I237" s="46"/>
      <c r="J237" s="46"/>
      <c r="K237" s="46"/>
      <c r="L237" s="45" t="s">
        <v>7</v>
      </c>
      <c r="M237" s="45" t="s">
        <v>7</v>
      </c>
      <c r="N237" s="45" t="s">
        <v>115</v>
      </c>
      <c r="O237" s="41" t="s">
        <v>2478</v>
      </c>
      <c r="P237" s="41" t="s">
        <v>2479</v>
      </c>
      <c r="Q237" s="41" t="s">
        <v>2480</v>
      </c>
      <c r="R237" s="45" t="s">
        <v>115</v>
      </c>
      <c r="S237" s="41" t="s">
        <v>2481</v>
      </c>
      <c r="T237" s="41" t="s">
        <v>2482</v>
      </c>
      <c r="U237" s="41" t="s">
        <v>2483</v>
      </c>
      <c r="V237" s="69" t="s">
        <v>2484</v>
      </c>
      <c r="W237" s="68"/>
    </row>
    <row r="238" spans="1:23" ht="13" x14ac:dyDescent="0.3">
      <c r="A238" s="39">
        <v>46080.994629629633</v>
      </c>
      <c r="B238" s="40" t="s">
        <v>1002</v>
      </c>
      <c r="C238" s="40" t="s">
        <v>44</v>
      </c>
      <c r="D238" s="40" t="s">
        <v>43</v>
      </c>
      <c r="E238" s="40" t="s">
        <v>6</v>
      </c>
      <c r="F238" s="70" t="s">
        <v>1550</v>
      </c>
      <c r="G238" s="68"/>
      <c r="H238" s="40" t="s">
        <v>14</v>
      </c>
      <c r="I238" s="42"/>
      <c r="J238" s="42"/>
      <c r="K238" s="42"/>
      <c r="L238" s="40" t="s">
        <v>14</v>
      </c>
      <c r="M238" s="40" t="s">
        <v>7</v>
      </c>
      <c r="N238" s="40" t="s">
        <v>2485</v>
      </c>
      <c r="O238" s="41" t="s">
        <v>2486</v>
      </c>
      <c r="P238" s="41" t="s">
        <v>2487</v>
      </c>
      <c r="Q238" s="41" t="s">
        <v>2488</v>
      </c>
      <c r="R238" s="40" t="s">
        <v>2489</v>
      </c>
      <c r="S238" s="41" t="s">
        <v>2490</v>
      </c>
      <c r="T238" s="41" t="s">
        <v>2491</v>
      </c>
      <c r="U238" s="41" t="s">
        <v>2492</v>
      </c>
      <c r="V238" s="69" t="s">
        <v>2493</v>
      </c>
      <c r="W238" s="68"/>
    </row>
    <row r="239" spans="1:23" ht="13" x14ac:dyDescent="0.3">
      <c r="A239" s="44">
        <v>46080.996724537035</v>
      </c>
      <c r="B239" s="45" t="s">
        <v>832</v>
      </c>
      <c r="C239" s="45" t="s">
        <v>557</v>
      </c>
      <c r="D239" s="45" t="s">
        <v>556</v>
      </c>
      <c r="E239" s="45" t="s">
        <v>526</v>
      </c>
      <c r="F239" s="67" t="s">
        <v>1550</v>
      </c>
      <c r="G239" s="68"/>
      <c r="H239" s="45" t="s">
        <v>7</v>
      </c>
      <c r="I239" s="46"/>
      <c r="J239" s="46"/>
      <c r="K239" s="46"/>
      <c r="L239" s="45" t="s">
        <v>7</v>
      </c>
      <c r="M239" s="45" t="s">
        <v>7</v>
      </c>
      <c r="N239" s="45" t="s">
        <v>2494</v>
      </c>
      <c r="O239" s="41" t="s">
        <v>2495</v>
      </c>
      <c r="P239" s="41" t="s">
        <v>2496</v>
      </c>
      <c r="Q239" s="41" t="s">
        <v>2497</v>
      </c>
      <c r="R239" s="45" t="s">
        <v>2494</v>
      </c>
      <c r="S239" s="41" t="s">
        <v>2498</v>
      </c>
      <c r="T239" s="41" t="s">
        <v>2499</v>
      </c>
      <c r="U239" s="69" t="s">
        <v>2500</v>
      </c>
      <c r="V239" s="68"/>
      <c r="W239" s="68"/>
    </row>
    <row r="240" spans="1:23" ht="13" x14ac:dyDescent="0.3">
      <c r="A240" s="39">
        <v>46080.99732638889</v>
      </c>
      <c r="B240" s="40" t="s">
        <v>2501</v>
      </c>
      <c r="C240" s="40" t="s">
        <v>52</v>
      </c>
      <c r="D240" s="40" t="s">
        <v>51</v>
      </c>
      <c r="E240" s="40" t="s">
        <v>17</v>
      </c>
      <c r="F240" s="70" t="s">
        <v>1550</v>
      </c>
      <c r="G240" s="68"/>
      <c r="H240" s="40" t="s">
        <v>14</v>
      </c>
      <c r="I240" s="42"/>
      <c r="J240" s="42"/>
      <c r="K240" s="42"/>
      <c r="L240" s="40" t="s">
        <v>14</v>
      </c>
      <c r="M240" s="40" t="s">
        <v>14</v>
      </c>
      <c r="N240" s="40" t="s">
        <v>1529</v>
      </c>
      <c r="O240" s="41" t="s">
        <v>2502</v>
      </c>
      <c r="P240" s="41" t="s">
        <v>2503</v>
      </c>
      <c r="Q240" s="41" t="s">
        <v>2504</v>
      </c>
      <c r="R240" s="40" t="s">
        <v>1529</v>
      </c>
      <c r="S240" s="41" t="s">
        <v>2505</v>
      </c>
      <c r="T240" s="41" t="s">
        <v>2506</v>
      </c>
      <c r="U240" s="69" t="s">
        <v>2507</v>
      </c>
      <c r="V240" s="68"/>
      <c r="W240" s="68"/>
    </row>
    <row r="241" spans="1:23" ht="13" x14ac:dyDescent="0.3">
      <c r="A241" s="44">
        <v>46080.997488425928</v>
      </c>
      <c r="B241" s="45" t="s">
        <v>889</v>
      </c>
      <c r="C241" s="45" t="s">
        <v>191</v>
      </c>
      <c r="D241" s="45" t="s">
        <v>190</v>
      </c>
      <c r="E241" s="45" t="s">
        <v>17</v>
      </c>
      <c r="F241" s="67" t="s">
        <v>1550</v>
      </c>
      <c r="G241" s="68"/>
      <c r="H241" s="45" t="s">
        <v>14</v>
      </c>
      <c r="I241" s="46"/>
      <c r="J241" s="46"/>
      <c r="K241" s="46"/>
      <c r="L241" s="45" t="s">
        <v>14</v>
      </c>
      <c r="M241" s="45" t="s">
        <v>14</v>
      </c>
      <c r="N241" s="45" t="s">
        <v>2508</v>
      </c>
      <c r="O241" s="41" t="s">
        <v>2509</v>
      </c>
      <c r="P241" s="41" t="s">
        <v>2510</v>
      </c>
      <c r="Q241" s="41" t="s">
        <v>2511</v>
      </c>
      <c r="R241" s="45" t="s">
        <v>2508</v>
      </c>
      <c r="S241" s="41" t="s">
        <v>2512</v>
      </c>
      <c r="T241" s="41" t="s">
        <v>2513</v>
      </c>
      <c r="U241" s="41" t="s">
        <v>2514</v>
      </c>
      <c r="V241" s="69" t="s">
        <v>2515</v>
      </c>
      <c r="W241" s="68"/>
    </row>
    <row r="242" spans="1:23" ht="13" x14ac:dyDescent="0.3">
      <c r="A242" s="39">
        <v>46080.998622685183</v>
      </c>
      <c r="B242" s="40" t="s">
        <v>2516</v>
      </c>
      <c r="C242" s="40" t="s">
        <v>385</v>
      </c>
      <c r="D242" s="40" t="s">
        <v>384</v>
      </c>
      <c r="E242" s="40" t="s">
        <v>17</v>
      </c>
      <c r="F242" s="70" t="s">
        <v>1550</v>
      </c>
      <c r="G242" s="68"/>
      <c r="H242" s="40" t="s">
        <v>14</v>
      </c>
      <c r="I242" s="42"/>
      <c r="J242" s="42"/>
      <c r="K242" s="42"/>
      <c r="L242" s="40" t="s">
        <v>14</v>
      </c>
      <c r="M242" s="40" t="s">
        <v>7</v>
      </c>
      <c r="N242" s="40" t="s">
        <v>2517</v>
      </c>
      <c r="O242" s="41" t="s">
        <v>2518</v>
      </c>
      <c r="P242" s="41" t="s">
        <v>2519</v>
      </c>
      <c r="Q242" s="41" t="s">
        <v>2520</v>
      </c>
      <c r="R242" s="40" t="s">
        <v>2521</v>
      </c>
      <c r="S242" s="41" t="s">
        <v>2522</v>
      </c>
      <c r="T242" s="41" t="s">
        <v>2523</v>
      </c>
      <c r="U242" s="41" t="s">
        <v>2524</v>
      </c>
      <c r="V242" s="69" t="s">
        <v>2525</v>
      </c>
      <c r="W242" s="68"/>
    </row>
    <row r="243" spans="1:23" ht="13" x14ac:dyDescent="0.3">
      <c r="A243" s="44">
        <v>46080.998912037037</v>
      </c>
      <c r="B243" s="45" t="s">
        <v>888</v>
      </c>
      <c r="C243" s="45" t="s">
        <v>205</v>
      </c>
      <c r="D243" s="45" t="s">
        <v>204</v>
      </c>
      <c r="E243" s="45" t="s">
        <v>17</v>
      </c>
      <c r="F243" s="67" t="s">
        <v>1550</v>
      </c>
      <c r="G243" s="68"/>
      <c r="H243" s="45" t="s">
        <v>7</v>
      </c>
      <c r="I243" s="46"/>
      <c r="J243" s="46"/>
      <c r="K243" s="46"/>
      <c r="L243" s="45" t="s">
        <v>7</v>
      </c>
      <c r="M243" s="45" t="s">
        <v>14</v>
      </c>
      <c r="N243" s="45" t="s">
        <v>2526</v>
      </c>
      <c r="O243" s="41" t="s">
        <v>2527</v>
      </c>
      <c r="P243" s="41" t="s">
        <v>2528</v>
      </c>
      <c r="Q243" s="41" t="s">
        <v>2529</v>
      </c>
      <c r="R243" s="45" t="s">
        <v>206</v>
      </c>
      <c r="S243" s="41" t="s">
        <v>2530</v>
      </c>
      <c r="T243" s="41" t="s">
        <v>2531</v>
      </c>
      <c r="U243" s="41" t="s">
        <v>2532</v>
      </c>
      <c r="V243" s="69" t="s">
        <v>2533</v>
      </c>
      <c r="W243" s="68"/>
    </row>
    <row r="244" spans="1:23" ht="13" x14ac:dyDescent="0.3">
      <c r="A244" s="39">
        <v>46080.99962962963</v>
      </c>
      <c r="B244" s="40" t="s">
        <v>930</v>
      </c>
      <c r="C244" s="40" t="s">
        <v>363</v>
      </c>
      <c r="D244" s="40" t="s">
        <v>362</v>
      </c>
      <c r="E244" s="40" t="s">
        <v>17</v>
      </c>
      <c r="F244" s="70" t="s">
        <v>1550</v>
      </c>
      <c r="G244" s="68"/>
      <c r="H244" s="40" t="s">
        <v>14</v>
      </c>
      <c r="I244" s="42"/>
      <c r="J244" s="42"/>
      <c r="K244" s="42"/>
      <c r="L244" s="40" t="s">
        <v>14</v>
      </c>
      <c r="M244" s="40" t="s">
        <v>14</v>
      </c>
      <c r="N244" s="40" t="s">
        <v>2534</v>
      </c>
      <c r="O244" s="41" t="s">
        <v>2535</v>
      </c>
      <c r="P244" s="41" t="s">
        <v>2536</v>
      </c>
      <c r="Q244" s="41" t="s">
        <v>2537</v>
      </c>
      <c r="R244" s="40" t="s">
        <v>2534</v>
      </c>
      <c r="S244" s="41" t="s">
        <v>2538</v>
      </c>
      <c r="T244" s="41" t="s">
        <v>2539</v>
      </c>
      <c r="U244" s="41" t="s">
        <v>2540</v>
      </c>
      <c r="V244" s="69" t="s">
        <v>2541</v>
      </c>
      <c r="W244" s="68"/>
    </row>
    <row r="245" spans="1:23" ht="13" x14ac:dyDescent="0.3">
      <c r="A245" s="44">
        <v>46081.001087962963</v>
      </c>
      <c r="B245" s="45" t="s">
        <v>1006</v>
      </c>
      <c r="C245" s="50" t="s">
        <v>46</v>
      </c>
      <c r="D245" s="45" t="s">
        <v>45</v>
      </c>
      <c r="E245" s="45" t="s">
        <v>6</v>
      </c>
      <c r="F245" s="67" t="s">
        <v>1550</v>
      </c>
      <c r="G245" s="68"/>
      <c r="H245" s="45" t="s">
        <v>7</v>
      </c>
      <c r="I245" s="46"/>
      <c r="J245" s="46"/>
      <c r="K245" s="46"/>
      <c r="L245" s="45" t="s">
        <v>7</v>
      </c>
      <c r="M245" s="45" t="s">
        <v>14</v>
      </c>
      <c r="N245" s="45" t="s">
        <v>2542</v>
      </c>
      <c r="O245" s="41" t="s">
        <v>2543</v>
      </c>
      <c r="P245" s="41" t="s">
        <v>2544</v>
      </c>
      <c r="Q245" s="41" t="s">
        <v>2545</v>
      </c>
      <c r="R245" s="45" t="s">
        <v>2546</v>
      </c>
      <c r="S245" s="41" t="s">
        <v>2547</v>
      </c>
      <c r="T245" s="41" t="s">
        <v>2548</v>
      </c>
      <c r="U245" s="41" t="s">
        <v>2549</v>
      </c>
      <c r="V245" s="69" t="s">
        <v>2550</v>
      </c>
      <c r="W245" s="68"/>
    </row>
    <row r="246" spans="1:23" ht="13" x14ac:dyDescent="0.3">
      <c r="A246" s="39">
        <v>46081.002245370371</v>
      </c>
      <c r="B246" s="40" t="s">
        <v>2551</v>
      </c>
      <c r="C246" s="40" t="s">
        <v>217</v>
      </c>
      <c r="D246" s="40" t="s">
        <v>216</v>
      </c>
      <c r="E246" s="40" t="s">
        <v>2552</v>
      </c>
      <c r="F246" s="70" t="s">
        <v>1550</v>
      </c>
      <c r="G246" s="68"/>
      <c r="H246" s="40" t="s">
        <v>14</v>
      </c>
      <c r="I246" s="42"/>
      <c r="J246" s="42"/>
      <c r="K246" s="42"/>
      <c r="L246" s="40" t="s">
        <v>14</v>
      </c>
      <c r="M246" s="40" t="s">
        <v>14</v>
      </c>
      <c r="N246" s="40" t="s">
        <v>2553</v>
      </c>
      <c r="O246" s="41" t="s">
        <v>2554</v>
      </c>
      <c r="P246" s="41" t="s">
        <v>2555</v>
      </c>
      <c r="Q246" s="41" t="s">
        <v>2556</v>
      </c>
      <c r="R246" s="40" t="s">
        <v>2553</v>
      </c>
      <c r="S246" s="41" t="s">
        <v>2557</v>
      </c>
      <c r="T246" s="41" t="s">
        <v>2558</v>
      </c>
      <c r="U246" s="41" t="s">
        <v>2559</v>
      </c>
      <c r="V246" s="69" t="s">
        <v>2560</v>
      </c>
      <c r="W246" s="68"/>
    </row>
    <row r="247" spans="1:23" ht="13" x14ac:dyDescent="0.3">
      <c r="A247" s="44">
        <v>46081.007986111108</v>
      </c>
      <c r="B247" s="45" t="s">
        <v>2561</v>
      </c>
      <c r="C247" s="45" t="s">
        <v>515</v>
      </c>
      <c r="D247" s="45" t="s">
        <v>514</v>
      </c>
      <c r="E247" s="45" t="s">
        <v>127</v>
      </c>
      <c r="F247" s="67" t="s">
        <v>1550</v>
      </c>
      <c r="G247" s="68"/>
      <c r="H247" s="45" t="s">
        <v>14</v>
      </c>
      <c r="I247" s="46"/>
      <c r="J247" s="46"/>
      <c r="K247" s="46"/>
      <c r="L247" s="45" t="s">
        <v>14</v>
      </c>
      <c r="M247" s="45" t="s">
        <v>14</v>
      </c>
      <c r="N247" s="45" t="s">
        <v>2562</v>
      </c>
      <c r="O247" s="41" t="s">
        <v>2563</v>
      </c>
      <c r="P247" s="41" t="s">
        <v>2564</v>
      </c>
      <c r="Q247" s="41" t="s">
        <v>2565</v>
      </c>
      <c r="R247" s="45" t="s">
        <v>2562</v>
      </c>
      <c r="S247" s="41" t="s">
        <v>2566</v>
      </c>
      <c r="T247" s="41" t="s">
        <v>2567</v>
      </c>
      <c r="U247" s="69" t="s">
        <v>2568</v>
      </c>
      <c r="V247" s="68"/>
      <c r="W247" s="68"/>
    </row>
    <row r="248" spans="1:23" ht="13" x14ac:dyDescent="0.3">
      <c r="A248" s="39">
        <v>46081.009375000001</v>
      </c>
      <c r="B248" s="40" t="s">
        <v>934</v>
      </c>
      <c r="C248" s="40" t="s">
        <v>85</v>
      </c>
      <c r="D248" s="40" t="s">
        <v>84</v>
      </c>
      <c r="E248" s="40" t="s">
        <v>17</v>
      </c>
      <c r="F248" s="70" t="s">
        <v>1550</v>
      </c>
      <c r="G248" s="68"/>
      <c r="H248" s="40" t="s">
        <v>14</v>
      </c>
      <c r="I248" s="42"/>
      <c r="J248" s="42"/>
      <c r="K248" s="42"/>
      <c r="L248" s="40" t="s">
        <v>14</v>
      </c>
      <c r="M248" s="40" t="s">
        <v>14</v>
      </c>
      <c r="N248" s="40" t="s">
        <v>2569</v>
      </c>
      <c r="O248" s="41" t="s">
        <v>2570</v>
      </c>
      <c r="P248" s="41" t="s">
        <v>2571</v>
      </c>
      <c r="Q248" s="41" t="s">
        <v>2572</v>
      </c>
      <c r="R248" s="40" t="s">
        <v>86</v>
      </c>
      <c r="S248" s="41" t="s">
        <v>2573</v>
      </c>
      <c r="T248" s="41" t="s">
        <v>2574</v>
      </c>
      <c r="U248" s="41" t="s">
        <v>2575</v>
      </c>
      <c r="V248" s="69" t="s">
        <v>2576</v>
      </c>
      <c r="W248" s="68"/>
    </row>
    <row r="249" spans="1:23" ht="13" x14ac:dyDescent="0.3">
      <c r="A249" s="44">
        <v>46081.013912037037</v>
      </c>
      <c r="B249" s="45" t="s">
        <v>2577</v>
      </c>
      <c r="C249" s="50" t="s">
        <v>46</v>
      </c>
      <c r="D249" s="45" t="s">
        <v>45</v>
      </c>
      <c r="E249" s="45" t="s">
        <v>6</v>
      </c>
      <c r="F249" s="67" t="s">
        <v>1550</v>
      </c>
      <c r="G249" s="68"/>
      <c r="H249" s="45" t="s">
        <v>7</v>
      </c>
      <c r="I249" s="46"/>
      <c r="J249" s="46"/>
      <c r="K249" s="46"/>
      <c r="L249" s="45" t="s">
        <v>7</v>
      </c>
      <c r="M249" s="45" t="s">
        <v>14</v>
      </c>
      <c r="N249" s="45" t="s">
        <v>2542</v>
      </c>
      <c r="O249" s="41" t="s">
        <v>2578</v>
      </c>
      <c r="P249" s="41" t="s">
        <v>2579</v>
      </c>
      <c r="Q249" s="41" t="s">
        <v>2580</v>
      </c>
      <c r="R249" s="45" t="s">
        <v>2546</v>
      </c>
      <c r="S249" s="41" t="s">
        <v>2581</v>
      </c>
      <c r="T249" s="41" t="s">
        <v>2582</v>
      </c>
      <c r="U249" s="41" t="s">
        <v>2583</v>
      </c>
      <c r="V249" s="69" t="s">
        <v>2584</v>
      </c>
      <c r="W249" s="68"/>
    </row>
    <row r="250" spans="1:23" ht="13" x14ac:dyDescent="0.3">
      <c r="A250" s="39">
        <v>46081.024305555555</v>
      </c>
      <c r="B250" s="40" t="s">
        <v>821</v>
      </c>
      <c r="C250" s="40" t="s">
        <v>425</v>
      </c>
      <c r="D250" s="40" t="s">
        <v>424</v>
      </c>
      <c r="E250" s="40" t="s">
        <v>28</v>
      </c>
      <c r="F250" s="70" t="s">
        <v>1550</v>
      </c>
      <c r="G250" s="68"/>
      <c r="H250" s="40" t="s">
        <v>7</v>
      </c>
      <c r="I250" s="42"/>
      <c r="J250" s="42"/>
      <c r="K250" s="42"/>
      <c r="L250" s="40" t="s">
        <v>7</v>
      </c>
      <c r="M250" s="40" t="s">
        <v>14</v>
      </c>
      <c r="N250" s="40" t="s">
        <v>2585</v>
      </c>
      <c r="O250" s="41" t="s">
        <v>2586</v>
      </c>
      <c r="P250" s="41" t="s">
        <v>2587</v>
      </c>
      <c r="Q250" s="41" t="s">
        <v>2588</v>
      </c>
      <c r="R250" s="40" t="s">
        <v>426</v>
      </c>
      <c r="S250" s="41" t="s">
        <v>2589</v>
      </c>
      <c r="T250" s="41" t="s">
        <v>2590</v>
      </c>
      <c r="U250" s="41" t="s">
        <v>2591</v>
      </c>
      <c r="V250" s="69" t="s">
        <v>2592</v>
      </c>
      <c r="W250" s="68"/>
    </row>
    <row r="251" spans="1:23" ht="13" x14ac:dyDescent="0.3">
      <c r="A251" s="44">
        <v>46081.027731481481</v>
      </c>
      <c r="B251" s="45" t="s">
        <v>844</v>
      </c>
      <c r="C251" s="45" t="s">
        <v>565</v>
      </c>
      <c r="D251" s="45" t="s">
        <v>564</v>
      </c>
      <c r="E251" s="45" t="s">
        <v>824</v>
      </c>
      <c r="F251" s="67" t="s">
        <v>1550</v>
      </c>
      <c r="G251" s="68"/>
      <c r="H251" s="45" t="s">
        <v>7</v>
      </c>
      <c r="I251" s="46"/>
      <c r="J251" s="46"/>
      <c r="K251" s="46"/>
      <c r="L251" s="45" t="s">
        <v>7</v>
      </c>
      <c r="M251" s="45" t="s">
        <v>7</v>
      </c>
      <c r="N251" s="45" t="s">
        <v>566</v>
      </c>
      <c r="O251" s="41" t="s">
        <v>2593</v>
      </c>
      <c r="P251" s="41" t="s">
        <v>2594</v>
      </c>
      <c r="Q251" s="41" t="s">
        <v>2595</v>
      </c>
      <c r="R251" s="45" t="s">
        <v>566</v>
      </c>
      <c r="S251" s="41" t="s">
        <v>2596</v>
      </c>
      <c r="T251" s="41" t="s">
        <v>2597</v>
      </c>
      <c r="U251" s="69" t="s">
        <v>2598</v>
      </c>
      <c r="V251" s="68"/>
      <c r="W251" s="68"/>
    </row>
    <row r="252" spans="1:23" ht="13" x14ac:dyDescent="0.3">
      <c r="A252" s="39">
        <v>46081.037118055552</v>
      </c>
      <c r="B252" s="40" t="s">
        <v>2599</v>
      </c>
      <c r="C252" s="40" t="s">
        <v>425</v>
      </c>
      <c r="D252" s="40" t="s">
        <v>424</v>
      </c>
      <c r="E252" s="40" t="s">
        <v>28</v>
      </c>
      <c r="F252" s="70" t="s">
        <v>1550</v>
      </c>
      <c r="G252" s="68"/>
      <c r="H252" s="40" t="s">
        <v>7</v>
      </c>
      <c r="I252" s="42"/>
      <c r="J252" s="42"/>
      <c r="K252" s="42"/>
      <c r="L252" s="40" t="s">
        <v>7</v>
      </c>
      <c r="M252" s="40" t="s">
        <v>14</v>
      </c>
      <c r="N252" s="40" t="s">
        <v>2600</v>
      </c>
      <c r="O252" s="41" t="s">
        <v>2601</v>
      </c>
      <c r="P252" s="41" t="s">
        <v>2602</v>
      </c>
      <c r="Q252" s="41" t="s">
        <v>2603</v>
      </c>
      <c r="R252" s="40" t="s">
        <v>426</v>
      </c>
      <c r="S252" s="41" t="s">
        <v>2604</v>
      </c>
      <c r="T252" s="41" t="s">
        <v>2605</v>
      </c>
      <c r="U252" s="41" t="s">
        <v>2606</v>
      </c>
      <c r="V252" s="69" t="s">
        <v>2607</v>
      </c>
      <c r="W252" s="68"/>
    </row>
    <row r="253" spans="1:23" ht="13" x14ac:dyDescent="0.3">
      <c r="A253" s="52">
        <v>46081.05636574074</v>
      </c>
      <c r="B253" s="53" t="s">
        <v>1027</v>
      </c>
      <c r="C253" s="53" t="s">
        <v>391</v>
      </c>
      <c r="D253" s="53" t="s">
        <v>390</v>
      </c>
      <c r="E253" s="53" t="s">
        <v>6</v>
      </c>
      <c r="F253" s="71" t="s">
        <v>1550</v>
      </c>
      <c r="G253" s="72"/>
      <c r="H253" s="53" t="s">
        <v>14</v>
      </c>
      <c r="I253" s="54"/>
      <c r="J253" s="54"/>
      <c r="K253" s="54"/>
      <c r="L253" s="53" t="s">
        <v>14</v>
      </c>
      <c r="M253" s="53" t="s">
        <v>14</v>
      </c>
      <c r="N253" s="71" t="s">
        <v>2608</v>
      </c>
      <c r="O253" s="72"/>
      <c r="P253" s="72"/>
      <c r="Q253" s="55" t="s">
        <v>2609</v>
      </c>
      <c r="R253" s="53" t="s">
        <v>2608</v>
      </c>
      <c r="S253" s="55" t="s">
        <v>2610</v>
      </c>
      <c r="T253" s="55" t="s">
        <v>2611</v>
      </c>
      <c r="U253" s="55" t="s">
        <v>2612</v>
      </c>
      <c r="V253" s="73" t="s">
        <v>2613</v>
      </c>
      <c r="W253" s="72"/>
    </row>
  </sheetData>
  <mergeCells count="391">
    <mergeCell ref="F153:G153"/>
    <mergeCell ref="V153:W153"/>
    <mergeCell ref="F154:G154"/>
    <mergeCell ref="V154:W154"/>
    <mergeCell ref="F131:G131"/>
    <mergeCell ref="F132:G132"/>
    <mergeCell ref="F133:G133"/>
    <mergeCell ref="F134:G134"/>
    <mergeCell ref="F135:G135"/>
    <mergeCell ref="F136:G136"/>
    <mergeCell ref="F137:G137"/>
    <mergeCell ref="F138:G138"/>
    <mergeCell ref="F139:G139"/>
    <mergeCell ref="V151:W151"/>
    <mergeCell ref="U152:W152"/>
    <mergeCell ref="F146:G146"/>
    <mergeCell ref="F147:G147"/>
    <mergeCell ref="F148:G148"/>
    <mergeCell ref="V148:W148"/>
    <mergeCell ref="F149:G149"/>
    <mergeCell ref="U149:W149"/>
    <mergeCell ref="U150:W150"/>
    <mergeCell ref="F150:G150"/>
    <mergeCell ref="F151:G151"/>
    <mergeCell ref="F122:G122"/>
    <mergeCell ref="F123:G123"/>
    <mergeCell ref="F124:G124"/>
    <mergeCell ref="F125:G125"/>
    <mergeCell ref="F126:G126"/>
    <mergeCell ref="F127:G127"/>
    <mergeCell ref="F128:G128"/>
    <mergeCell ref="F129:G129"/>
    <mergeCell ref="F130:G130"/>
    <mergeCell ref="K115:M115"/>
    <mergeCell ref="K116:M116"/>
    <mergeCell ref="K117:M117"/>
    <mergeCell ref="F118:G118"/>
    <mergeCell ref="U118:V118"/>
    <mergeCell ref="V119:W119"/>
    <mergeCell ref="F119:G119"/>
    <mergeCell ref="F120:G120"/>
    <mergeCell ref="F121:G121"/>
    <mergeCell ref="F152:G152"/>
    <mergeCell ref="U146:W146"/>
    <mergeCell ref="V147:W147"/>
    <mergeCell ref="F140:G140"/>
    <mergeCell ref="F141:G141"/>
    <mergeCell ref="F142:G142"/>
    <mergeCell ref="F143:G143"/>
    <mergeCell ref="F144:G144"/>
    <mergeCell ref="F145:G145"/>
    <mergeCell ref="V145:W145"/>
    <mergeCell ref="V132:W132"/>
    <mergeCell ref="V133:W133"/>
    <mergeCell ref="U134:W134"/>
    <mergeCell ref="U135:W135"/>
    <mergeCell ref="V143:W143"/>
    <mergeCell ref="V144:W144"/>
    <mergeCell ref="V136:W136"/>
    <mergeCell ref="V137:W137"/>
    <mergeCell ref="V138:W138"/>
    <mergeCell ref="V139:W139"/>
    <mergeCell ref="U140:W140"/>
    <mergeCell ref="V141:W141"/>
    <mergeCell ref="V142:W142"/>
    <mergeCell ref="V122:W122"/>
    <mergeCell ref="V123:W123"/>
    <mergeCell ref="V124:W124"/>
    <mergeCell ref="U126:W126"/>
    <mergeCell ref="V127:W127"/>
    <mergeCell ref="U128:W128"/>
    <mergeCell ref="V129:W129"/>
    <mergeCell ref="V130:W130"/>
    <mergeCell ref="V131:W131"/>
    <mergeCell ref="K92:M92"/>
    <mergeCell ref="K93:M93"/>
    <mergeCell ref="K94:M94"/>
    <mergeCell ref="K95:M95"/>
    <mergeCell ref="K96:M96"/>
    <mergeCell ref="K97:M97"/>
    <mergeCell ref="K98:M98"/>
    <mergeCell ref="K99:M99"/>
    <mergeCell ref="U120:W120"/>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83:M83"/>
    <mergeCell ref="K84:M84"/>
    <mergeCell ref="K85:M85"/>
    <mergeCell ref="K86:M86"/>
    <mergeCell ref="K87:M87"/>
    <mergeCell ref="K88:M88"/>
    <mergeCell ref="K89:M89"/>
    <mergeCell ref="K90:M90"/>
    <mergeCell ref="K91:M91"/>
    <mergeCell ref="K74:M74"/>
    <mergeCell ref="K75:M75"/>
    <mergeCell ref="K76:M76"/>
    <mergeCell ref="K77:M77"/>
    <mergeCell ref="K78:M78"/>
    <mergeCell ref="K79:M79"/>
    <mergeCell ref="K80:M80"/>
    <mergeCell ref="K81:M81"/>
    <mergeCell ref="K82:M82"/>
    <mergeCell ref="K65:M65"/>
    <mergeCell ref="K66:M66"/>
    <mergeCell ref="K67:M67"/>
    <mergeCell ref="K68:M68"/>
    <mergeCell ref="K69:M69"/>
    <mergeCell ref="K70:M70"/>
    <mergeCell ref="K71:M71"/>
    <mergeCell ref="K72:M72"/>
    <mergeCell ref="K73:M73"/>
    <mergeCell ref="K56:M56"/>
    <mergeCell ref="K57:M57"/>
    <mergeCell ref="K58:M58"/>
    <mergeCell ref="K59:M59"/>
    <mergeCell ref="K60:M60"/>
    <mergeCell ref="K61:M61"/>
    <mergeCell ref="K62:M62"/>
    <mergeCell ref="K63:M63"/>
    <mergeCell ref="K64:M64"/>
    <mergeCell ref="K47:M47"/>
    <mergeCell ref="K48:M48"/>
    <mergeCell ref="K49:M49"/>
    <mergeCell ref="K50:M50"/>
    <mergeCell ref="K51:M51"/>
    <mergeCell ref="K52:M52"/>
    <mergeCell ref="K53:M53"/>
    <mergeCell ref="K54:M54"/>
    <mergeCell ref="K55:M55"/>
    <mergeCell ref="K38:M38"/>
    <mergeCell ref="K39:M39"/>
    <mergeCell ref="K40:M40"/>
    <mergeCell ref="K41:M41"/>
    <mergeCell ref="K42:M42"/>
    <mergeCell ref="K43:M43"/>
    <mergeCell ref="K44:M44"/>
    <mergeCell ref="K45:M45"/>
    <mergeCell ref="K46:M46"/>
    <mergeCell ref="K29:M29"/>
    <mergeCell ref="K30:M30"/>
    <mergeCell ref="K31:M31"/>
    <mergeCell ref="K32:M32"/>
    <mergeCell ref="K33:M33"/>
    <mergeCell ref="K34:M34"/>
    <mergeCell ref="K35:M35"/>
    <mergeCell ref="K36:M36"/>
    <mergeCell ref="K37:M37"/>
    <mergeCell ref="K20:M20"/>
    <mergeCell ref="K21:M21"/>
    <mergeCell ref="K22:M22"/>
    <mergeCell ref="K23:M23"/>
    <mergeCell ref="K24:M24"/>
    <mergeCell ref="K25:M25"/>
    <mergeCell ref="K26:M26"/>
    <mergeCell ref="K27:M27"/>
    <mergeCell ref="K28:M28"/>
    <mergeCell ref="K11:M11"/>
    <mergeCell ref="K12:M12"/>
    <mergeCell ref="K13:M13"/>
    <mergeCell ref="K14:M14"/>
    <mergeCell ref="K15:M15"/>
    <mergeCell ref="K16:M16"/>
    <mergeCell ref="K17:M17"/>
    <mergeCell ref="K18:M18"/>
    <mergeCell ref="K19:M19"/>
    <mergeCell ref="K2:M2"/>
    <mergeCell ref="K3:M3"/>
    <mergeCell ref="K4:M4"/>
    <mergeCell ref="K5:M5"/>
    <mergeCell ref="K6:M6"/>
    <mergeCell ref="K7:M7"/>
    <mergeCell ref="K8:M8"/>
    <mergeCell ref="K9:M9"/>
    <mergeCell ref="K10:M10"/>
    <mergeCell ref="V215:W215"/>
    <mergeCell ref="V216:W216"/>
    <mergeCell ref="V217:W217"/>
    <mergeCell ref="U218:W218"/>
    <mergeCell ref="U219:W219"/>
    <mergeCell ref="U220:W220"/>
    <mergeCell ref="U221:W221"/>
    <mergeCell ref="V222:W222"/>
    <mergeCell ref="U223:W223"/>
    <mergeCell ref="V206:W206"/>
    <mergeCell ref="U207:W207"/>
    <mergeCell ref="V208:W208"/>
    <mergeCell ref="V209:W209"/>
    <mergeCell ref="V210:W210"/>
    <mergeCell ref="V211:W211"/>
    <mergeCell ref="V212:W212"/>
    <mergeCell ref="V213:W213"/>
    <mergeCell ref="V214:W214"/>
    <mergeCell ref="V191:W191"/>
    <mergeCell ref="V192:W192"/>
    <mergeCell ref="U193:W193"/>
    <mergeCell ref="V194:W194"/>
    <mergeCell ref="V195:W195"/>
    <mergeCell ref="N205:P205"/>
    <mergeCell ref="V205:W205"/>
    <mergeCell ref="V196:W196"/>
    <mergeCell ref="V197:W197"/>
    <mergeCell ref="V198:W198"/>
    <mergeCell ref="V199:W199"/>
    <mergeCell ref="V200:W200"/>
    <mergeCell ref="U201:W201"/>
    <mergeCell ref="N203:P203"/>
    <mergeCell ref="V202:W202"/>
    <mergeCell ref="V203:W203"/>
    <mergeCell ref="V204:W204"/>
    <mergeCell ref="V182:W182"/>
    <mergeCell ref="V183:W183"/>
    <mergeCell ref="V184:W184"/>
    <mergeCell ref="U185:W185"/>
    <mergeCell ref="V186:W186"/>
    <mergeCell ref="U187:W187"/>
    <mergeCell ref="V188:W188"/>
    <mergeCell ref="V189:W189"/>
    <mergeCell ref="V190:W190"/>
    <mergeCell ref="V242:W242"/>
    <mergeCell ref="V243:W243"/>
    <mergeCell ref="V244:W244"/>
    <mergeCell ref="V252:W252"/>
    <mergeCell ref="N253:P253"/>
    <mergeCell ref="V253:W253"/>
    <mergeCell ref="V245:W245"/>
    <mergeCell ref="V246:W246"/>
    <mergeCell ref="U247:W247"/>
    <mergeCell ref="V248:W248"/>
    <mergeCell ref="V249:W249"/>
    <mergeCell ref="V250:W250"/>
    <mergeCell ref="U251:W251"/>
    <mergeCell ref="U233:W233"/>
    <mergeCell ref="V234:W234"/>
    <mergeCell ref="V235:W235"/>
    <mergeCell ref="V236:W236"/>
    <mergeCell ref="V237:W237"/>
    <mergeCell ref="V238:W238"/>
    <mergeCell ref="U239:W239"/>
    <mergeCell ref="U240:W240"/>
    <mergeCell ref="V241:W241"/>
    <mergeCell ref="V224:W224"/>
    <mergeCell ref="U225:W225"/>
    <mergeCell ref="V226:W226"/>
    <mergeCell ref="V227:W227"/>
    <mergeCell ref="V228:W228"/>
    <mergeCell ref="V229:W229"/>
    <mergeCell ref="V230:W230"/>
    <mergeCell ref="U231:W231"/>
    <mergeCell ref="V232:W232"/>
    <mergeCell ref="F210:G210"/>
    <mergeCell ref="F211:G211"/>
    <mergeCell ref="F212:G212"/>
    <mergeCell ref="F213:G213"/>
    <mergeCell ref="F214:G214"/>
    <mergeCell ref="F215:G215"/>
    <mergeCell ref="F216:G216"/>
    <mergeCell ref="F217:G217"/>
    <mergeCell ref="F218:G218"/>
    <mergeCell ref="F201:G201"/>
    <mergeCell ref="F202:G202"/>
    <mergeCell ref="F203:G203"/>
    <mergeCell ref="F204:G204"/>
    <mergeCell ref="F205:G205"/>
    <mergeCell ref="F206:G206"/>
    <mergeCell ref="F207:G207"/>
    <mergeCell ref="F208:G208"/>
    <mergeCell ref="F209:G209"/>
    <mergeCell ref="F192:G192"/>
    <mergeCell ref="F193:G193"/>
    <mergeCell ref="F194:G194"/>
    <mergeCell ref="F195:G195"/>
    <mergeCell ref="F196:G196"/>
    <mergeCell ref="F197:G197"/>
    <mergeCell ref="F198:G198"/>
    <mergeCell ref="F199:G199"/>
    <mergeCell ref="F200:G200"/>
    <mergeCell ref="F247:G247"/>
    <mergeCell ref="F248:G248"/>
    <mergeCell ref="F249:G249"/>
    <mergeCell ref="F250:G250"/>
    <mergeCell ref="F251:G251"/>
    <mergeCell ref="F252:G252"/>
    <mergeCell ref="F253:G253"/>
    <mergeCell ref="F240:G240"/>
    <mergeCell ref="F241:G241"/>
    <mergeCell ref="F242:G242"/>
    <mergeCell ref="F243:G243"/>
    <mergeCell ref="F244:G244"/>
    <mergeCell ref="F245:G245"/>
    <mergeCell ref="F246:G246"/>
    <mergeCell ref="F231:G231"/>
    <mergeCell ref="F232:G232"/>
    <mergeCell ref="F233:G233"/>
    <mergeCell ref="F234:G234"/>
    <mergeCell ref="F235:G235"/>
    <mergeCell ref="F236:G236"/>
    <mergeCell ref="F237:G237"/>
    <mergeCell ref="F238:G238"/>
    <mergeCell ref="F239:G239"/>
    <mergeCell ref="F222:G222"/>
    <mergeCell ref="F223:G223"/>
    <mergeCell ref="F224:G224"/>
    <mergeCell ref="F225:G225"/>
    <mergeCell ref="F226:G226"/>
    <mergeCell ref="F227:G227"/>
    <mergeCell ref="F228:G228"/>
    <mergeCell ref="F229:G229"/>
    <mergeCell ref="F230:G230"/>
    <mergeCell ref="V177:W177"/>
    <mergeCell ref="V178:W178"/>
    <mergeCell ref="V179:W179"/>
    <mergeCell ref="V180:W180"/>
    <mergeCell ref="V181:W181"/>
    <mergeCell ref="N182:Q182"/>
    <mergeCell ref="F219:G219"/>
    <mergeCell ref="F220:G220"/>
    <mergeCell ref="F221:G221"/>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69:G169"/>
    <mergeCell ref="V169:W169"/>
    <mergeCell ref="V170:W170"/>
    <mergeCell ref="V171:W171"/>
    <mergeCell ref="V172:W172"/>
    <mergeCell ref="V173:W173"/>
    <mergeCell ref="V174:W174"/>
    <mergeCell ref="U175:W175"/>
    <mergeCell ref="V176:W176"/>
    <mergeCell ref="F170:G170"/>
    <mergeCell ref="F171:G171"/>
    <mergeCell ref="F172:G172"/>
    <mergeCell ref="F173:G173"/>
    <mergeCell ref="F174:G174"/>
    <mergeCell ref="F175:G175"/>
    <mergeCell ref="F176:G176"/>
    <mergeCell ref="V164:W164"/>
    <mergeCell ref="V165:W165"/>
    <mergeCell ref="V166:W166"/>
    <mergeCell ref="V167:W167"/>
    <mergeCell ref="V168:W168"/>
    <mergeCell ref="F163:G163"/>
    <mergeCell ref="F164:G164"/>
    <mergeCell ref="F165:G165"/>
    <mergeCell ref="F166:G166"/>
    <mergeCell ref="F167:G167"/>
    <mergeCell ref="F168:G168"/>
    <mergeCell ref="F161:G161"/>
    <mergeCell ref="U161:W161"/>
    <mergeCell ref="F162:G162"/>
    <mergeCell ref="U162:W162"/>
    <mergeCell ref="U163:W163"/>
    <mergeCell ref="V156:W156"/>
    <mergeCell ref="V159:W159"/>
    <mergeCell ref="V157:W157"/>
    <mergeCell ref="V158:W158"/>
    <mergeCell ref="F155:G155"/>
    <mergeCell ref="N155:Q155"/>
    <mergeCell ref="V155:W155"/>
    <mergeCell ref="F156:G156"/>
    <mergeCell ref="F157:G157"/>
    <mergeCell ref="F158:G158"/>
    <mergeCell ref="F159:G159"/>
    <mergeCell ref="F160:G160"/>
    <mergeCell ref="U160:W160"/>
  </mergeCells>
  <hyperlinks>
    <hyperlink ref="I2" r:id="rId1" xr:uid="{00000000-0004-0000-0400-000000000000}"/>
    <hyperlink ref="J2" r:id="rId2" xr:uid="{00000000-0004-0000-0400-000001000000}"/>
    <hyperlink ref="K2" r:id="rId3" xr:uid="{00000000-0004-0000-0400-000002000000}"/>
    <hyperlink ref="I3" r:id="rId4" xr:uid="{00000000-0004-0000-0400-000003000000}"/>
    <hyperlink ref="J3" r:id="rId5" xr:uid="{00000000-0004-0000-0400-000004000000}"/>
    <hyperlink ref="K3" r:id="rId6" xr:uid="{00000000-0004-0000-0400-000005000000}"/>
    <hyperlink ref="I4" r:id="rId7" xr:uid="{00000000-0004-0000-0400-000006000000}"/>
    <hyperlink ref="J4" r:id="rId8" xr:uid="{00000000-0004-0000-0400-000007000000}"/>
    <hyperlink ref="K4" r:id="rId9" xr:uid="{00000000-0004-0000-0400-000008000000}"/>
    <hyperlink ref="I5" r:id="rId10" xr:uid="{00000000-0004-0000-0400-000009000000}"/>
    <hyperlink ref="J5" r:id="rId11" xr:uid="{00000000-0004-0000-0400-00000A000000}"/>
    <hyperlink ref="K5" r:id="rId12" xr:uid="{00000000-0004-0000-0400-00000B000000}"/>
    <hyperlink ref="I6" r:id="rId13" xr:uid="{00000000-0004-0000-0400-00000C000000}"/>
    <hyperlink ref="J6" r:id="rId14" xr:uid="{00000000-0004-0000-0400-00000D000000}"/>
    <hyperlink ref="K6" r:id="rId15" xr:uid="{00000000-0004-0000-0400-00000E000000}"/>
    <hyperlink ref="I7" r:id="rId16" xr:uid="{00000000-0004-0000-0400-00000F000000}"/>
    <hyperlink ref="J7" r:id="rId17" xr:uid="{00000000-0004-0000-0400-000010000000}"/>
    <hyperlink ref="K7" r:id="rId18" xr:uid="{00000000-0004-0000-0400-000011000000}"/>
    <hyperlink ref="I8" r:id="rId19" xr:uid="{00000000-0004-0000-0400-000012000000}"/>
    <hyperlink ref="J8" r:id="rId20" xr:uid="{00000000-0004-0000-0400-000013000000}"/>
    <hyperlink ref="K8" r:id="rId21" xr:uid="{00000000-0004-0000-0400-000014000000}"/>
    <hyperlink ref="I9" r:id="rId22" xr:uid="{00000000-0004-0000-0400-000015000000}"/>
    <hyperlink ref="J9" r:id="rId23" xr:uid="{00000000-0004-0000-0400-000016000000}"/>
    <hyperlink ref="K9" r:id="rId24" xr:uid="{00000000-0004-0000-0400-000017000000}"/>
    <hyperlink ref="I10" r:id="rId25" xr:uid="{00000000-0004-0000-0400-000018000000}"/>
    <hyperlink ref="J10" r:id="rId26" xr:uid="{00000000-0004-0000-0400-000019000000}"/>
    <hyperlink ref="K10" r:id="rId27" xr:uid="{00000000-0004-0000-0400-00001A000000}"/>
    <hyperlink ref="I11" r:id="rId28" xr:uid="{00000000-0004-0000-0400-00001B000000}"/>
    <hyperlink ref="J11" r:id="rId29" xr:uid="{00000000-0004-0000-0400-00001C000000}"/>
    <hyperlink ref="K11" r:id="rId30" xr:uid="{00000000-0004-0000-0400-00001D000000}"/>
    <hyperlink ref="I12" r:id="rId31" xr:uid="{00000000-0004-0000-0400-00001E000000}"/>
    <hyperlink ref="J12" r:id="rId32" xr:uid="{00000000-0004-0000-0400-00001F000000}"/>
    <hyperlink ref="K12" r:id="rId33" xr:uid="{00000000-0004-0000-0400-000020000000}"/>
    <hyperlink ref="I13" r:id="rId34" xr:uid="{00000000-0004-0000-0400-000021000000}"/>
    <hyperlink ref="J13" r:id="rId35" xr:uid="{00000000-0004-0000-0400-000022000000}"/>
    <hyperlink ref="K13" r:id="rId36" xr:uid="{00000000-0004-0000-0400-000023000000}"/>
    <hyperlink ref="I14" r:id="rId37" xr:uid="{00000000-0004-0000-0400-000024000000}"/>
    <hyperlink ref="J14" r:id="rId38" xr:uid="{00000000-0004-0000-0400-000025000000}"/>
    <hyperlink ref="K14" r:id="rId39" xr:uid="{00000000-0004-0000-0400-000026000000}"/>
    <hyperlink ref="I15" r:id="rId40" xr:uid="{00000000-0004-0000-0400-000027000000}"/>
    <hyperlink ref="J15" r:id="rId41" xr:uid="{00000000-0004-0000-0400-000028000000}"/>
    <hyperlink ref="K15" r:id="rId42" xr:uid="{00000000-0004-0000-0400-000029000000}"/>
    <hyperlink ref="I16" r:id="rId43" xr:uid="{00000000-0004-0000-0400-00002A000000}"/>
    <hyperlink ref="J16" r:id="rId44" xr:uid="{00000000-0004-0000-0400-00002B000000}"/>
    <hyperlink ref="K16" r:id="rId45" xr:uid="{00000000-0004-0000-0400-00002C000000}"/>
    <hyperlink ref="I17" r:id="rId46" xr:uid="{00000000-0004-0000-0400-00002D000000}"/>
    <hyperlink ref="J17" r:id="rId47" xr:uid="{00000000-0004-0000-0400-00002E000000}"/>
    <hyperlink ref="K17" r:id="rId48" xr:uid="{00000000-0004-0000-0400-00002F000000}"/>
    <hyperlink ref="I18" r:id="rId49" xr:uid="{00000000-0004-0000-0400-000030000000}"/>
    <hyperlink ref="J18" r:id="rId50" xr:uid="{00000000-0004-0000-0400-000031000000}"/>
    <hyperlink ref="K18" r:id="rId51" xr:uid="{00000000-0004-0000-0400-000032000000}"/>
    <hyperlink ref="I19" r:id="rId52" xr:uid="{00000000-0004-0000-0400-000033000000}"/>
    <hyperlink ref="J19" r:id="rId53" xr:uid="{00000000-0004-0000-0400-000034000000}"/>
    <hyperlink ref="K19" r:id="rId54" xr:uid="{00000000-0004-0000-0400-000035000000}"/>
    <hyperlink ref="I20" r:id="rId55" xr:uid="{00000000-0004-0000-0400-000036000000}"/>
    <hyperlink ref="J20" r:id="rId56" xr:uid="{00000000-0004-0000-0400-000037000000}"/>
    <hyperlink ref="K20" r:id="rId57" xr:uid="{00000000-0004-0000-0400-000038000000}"/>
    <hyperlink ref="I21" r:id="rId58" xr:uid="{00000000-0004-0000-0400-000039000000}"/>
    <hyperlink ref="J21" r:id="rId59" xr:uid="{00000000-0004-0000-0400-00003A000000}"/>
    <hyperlink ref="K21" r:id="rId60" xr:uid="{00000000-0004-0000-0400-00003B000000}"/>
    <hyperlink ref="I22" r:id="rId61" xr:uid="{00000000-0004-0000-0400-00003C000000}"/>
    <hyperlink ref="J22" r:id="rId62" xr:uid="{00000000-0004-0000-0400-00003D000000}"/>
    <hyperlink ref="K22" r:id="rId63" xr:uid="{00000000-0004-0000-0400-00003E000000}"/>
    <hyperlink ref="I23" r:id="rId64" xr:uid="{00000000-0004-0000-0400-00003F000000}"/>
    <hyperlink ref="J23" r:id="rId65" xr:uid="{00000000-0004-0000-0400-000040000000}"/>
    <hyperlink ref="K23" r:id="rId66" xr:uid="{00000000-0004-0000-0400-000041000000}"/>
    <hyperlink ref="I24" r:id="rId67" xr:uid="{00000000-0004-0000-0400-000042000000}"/>
    <hyperlink ref="J24" r:id="rId68" xr:uid="{00000000-0004-0000-0400-000043000000}"/>
    <hyperlink ref="K24" r:id="rId69" xr:uid="{00000000-0004-0000-0400-000044000000}"/>
    <hyperlink ref="I25" r:id="rId70" xr:uid="{00000000-0004-0000-0400-000045000000}"/>
    <hyperlink ref="J25" r:id="rId71" xr:uid="{00000000-0004-0000-0400-000046000000}"/>
    <hyperlink ref="K25" r:id="rId72" xr:uid="{00000000-0004-0000-0400-000047000000}"/>
    <hyperlink ref="I26" r:id="rId73" xr:uid="{00000000-0004-0000-0400-000048000000}"/>
    <hyperlink ref="J26" r:id="rId74" xr:uid="{00000000-0004-0000-0400-000049000000}"/>
    <hyperlink ref="K26" r:id="rId75" xr:uid="{00000000-0004-0000-0400-00004A000000}"/>
    <hyperlink ref="I27" r:id="rId76" xr:uid="{00000000-0004-0000-0400-00004B000000}"/>
    <hyperlink ref="J27" r:id="rId77" xr:uid="{00000000-0004-0000-0400-00004C000000}"/>
    <hyperlink ref="K27" r:id="rId78" xr:uid="{00000000-0004-0000-0400-00004D000000}"/>
    <hyperlink ref="I28" r:id="rId79" xr:uid="{00000000-0004-0000-0400-00004E000000}"/>
    <hyperlink ref="J28" r:id="rId80" xr:uid="{00000000-0004-0000-0400-00004F000000}"/>
    <hyperlink ref="K28" r:id="rId81" xr:uid="{00000000-0004-0000-0400-000050000000}"/>
    <hyperlink ref="I29" r:id="rId82" xr:uid="{00000000-0004-0000-0400-000051000000}"/>
    <hyperlink ref="J29" r:id="rId83" xr:uid="{00000000-0004-0000-0400-000052000000}"/>
    <hyperlink ref="K29" r:id="rId84" xr:uid="{00000000-0004-0000-0400-000053000000}"/>
    <hyperlink ref="I30" r:id="rId85" xr:uid="{00000000-0004-0000-0400-000054000000}"/>
    <hyperlink ref="J30" r:id="rId86" xr:uid="{00000000-0004-0000-0400-000055000000}"/>
    <hyperlink ref="K30" r:id="rId87" xr:uid="{00000000-0004-0000-0400-000056000000}"/>
    <hyperlink ref="I31" r:id="rId88" xr:uid="{00000000-0004-0000-0400-000057000000}"/>
    <hyperlink ref="J31" r:id="rId89" xr:uid="{00000000-0004-0000-0400-000058000000}"/>
    <hyperlink ref="K31" r:id="rId90" xr:uid="{00000000-0004-0000-0400-000059000000}"/>
    <hyperlink ref="I32" r:id="rId91" xr:uid="{00000000-0004-0000-0400-00005A000000}"/>
    <hyperlink ref="J32" r:id="rId92" xr:uid="{00000000-0004-0000-0400-00005B000000}"/>
    <hyperlink ref="K32" r:id="rId93" xr:uid="{00000000-0004-0000-0400-00005C000000}"/>
    <hyperlink ref="I33" r:id="rId94" xr:uid="{00000000-0004-0000-0400-00005D000000}"/>
    <hyperlink ref="J33" r:id="rId95" xr:uid="{00000000-0004-0000-0400-00005E000000}"/>
    <hyperlink ref="K33" r:id="rId96" xr:uid="{00000000-0004-0000-0400-00005F000000}"/>
    <hyperlink ref="I34" r:id="rId97" xr:uid="{00000000-0004-0000-0400-000060000000}"/>
    <hyperlink ref="J34" r:id="rId98" xr:uid="{00000000-0004-0000-0400-000061000000}"/>
    <hyperlink ref="K34" r:id="rId99" xr:uid="{00000000-0004-0000-0400-000062000000}"/>
    <hyperlink ref="I35" r:id="rId100" xr:uid="{00000000-0004-0000-0400-000063000000}"/>
    <hyperlink ref="J35" r:id="rId101" xr:uid="{00000000-0004-0000-0400-000064000000}"/>
    <hyperlink ref="K35" r:id="rId102" xr:uid="{00000000-0004-0000-0400-000065000000}"/>
    <hyperlink ref="I36" r:id="rId103" xr:uid="{00000000-0004-0000-0400-000066000000}"/>
    <hyperlink ref="J36" r:id="rId104" xr:uid="{00000000-0004-0000-0400-000067000000}"/>
    <hyperlink ref="K36" r:id="rId105" xr:uid="{00000000-0004-0000-0400-000068000000}"/>
    <hyperlink ref="I37" r:id="rId106" xr:uid="{00000000-0004-0000-0400-000069000000}"/>
    <hyperlink ref="J37" r:id="rId107" xr:uid="{00000000-0004-0000-0400-00006A000000}"/>
    <hyperlink ref="K37" r:id="rId108" xr:uid="{00000000-0004-0000-0400-00006B000000}"/>
    <hyperlink ref="I38" r:id="rId109" xr:uid="{00000000-0004-0000-0400-00006C000000}"/>
    <hyperlink ref="J38" r:id="rId110" xr:uid="{00000000-0004-0000-0400-00006D000000}"/>
    <hyperlink ref="K38" r:id="rId111" xr:uid="{00000000-0004-0000-0400-00006E000000}"/>
    <hyperlink ref="I39" r:id="rId112" xr:uid="{00000000-0004-0000-0400-00006F000000}"/>
    <hyperlink ref="J39" r:id="rId113" xr:uid="{00000000-0004-0000-0400-000070000000}"/>
    <hyperlink ref="K39" r:id="rId114" xr:uid="{00000000-0004-0000-0400-000071000000}"/>
    <hyperlink ref="I40" r:id="rId115" xr:uid="{00000000-0004-0000-0400-000072000000}"/>
    <hyperlink ref="J40" r:id="rId116" xr:uid="{00000000-0004-0000-0400-000073000000}"/>
    <hyperlink ref="K40" r:id="rId117" xr:uid="{00000000-0004-0000-0400-000074000000}"/>
    <hyperlink ref="I41" r:id="rId118" xr:uid="{00000000-0004-0000-0400-000075000000}"/>
    <hyperlink ref="J41" r:id="rId119" xr:uid="{00000000-0004-0000-0400-000076000000}"/>
    <hyperlink ref="K41" r:id="rId120" xr:uid="{00000000-0004-0000-0400-000077000000}"/>
    <hyperlink ref="I42" r:id="rId121" xr:uid="{00000000-0004-0000-0400-000078000000}"/>
    <hyperlink ref="J42" r:id="rId122" xr:uid="{00000000-0004-0000-0400-000079000000}"/>
    <hyperlink ref="K42" r:id="rId123" xr:uid="{00000000-0004-0000-0400-00007A000000}"/>
    <hyperlink ref="I43" r:id="rId124" xr:uid="{00000000-0004-0000-0400-00007B000000}"/>
    <hyperlink ref="J43" r:id="rId125" xr:uid="{00000000-0004-0000-0400-00007C000000}"/>
    <hyperlink ref="K43" r:id="rId126" xr:uid="{00000000-0004-0000-0400-00007D000000}"/>
    <hyperlink ref="I44" r:id="rId127" xr:uid="{00000000-0004-0000-0400-00007E000000}"/>
    <hyperlink ref="J44" r:id="rId128" xr:uid="{00000000-0004-0000-0400-00007F000000}"/>
    <hyperlink ref="K44" r:id="rId129" xr:uid="{00000000-0004-0000-0400-000080000000}"/>
    <hyperlink ref="I45" r:id="rId130" xr:uid="{00000000-0004-0000-0400-000081000000}"/>
    <hyperlink ref="J45" r:id="rId131" xr:uid="{00000000-0004-0000-0400-000082000000}"/>
    <hyperlink ref="K45" r:id="rId132" xr:uid="{00000000-0004-0000-0400-000083000000}"/>
    <hyperlink ref="I46" r:id="rId133" xr:uid="{00000000-0004-0000-0400-000084000000}"/>
    <hyperlink ref="J46" r:id="rId134" xr:uid="{00000000-0004-0000-0400-000085000000}"/>
    <hyperlink ref="K46" r:id="rId135" xr:uid="{00000000-0004-0000-0400-000086000000}"/>
    <hyperlink ref="I47" r:id="rId136" xr:uid="{00000000-0004-0000-0400-000087000000}"/>
    <hyperlink ref="J47" r:id="rId137" xr:uid="{00000000-0004-0000-0400-000088000000}"/>
    <hyperlink ref="K47" r:id="rId138" xr:uid="{00000000-0004-0000-0400-000089000000}"/>
    <hyperlink ref="I48" r:id="rId139" xr:uid="{00000000-0004-0000-0400-00008A000000}"/>
    <hyperlink ref="J48" r:id="rId140" xr:uid="{00000000-0004-0000-0400-00008B000000}"/>
    <hyperlink ref="K48" r:id="rId141" xr:uid="{00000000-0004-0000-0400-00008C000000}"/>
    <hyperlink ref="I49" r:id="rId142" xr:uid="{00000000-0004-0000-0400-00008D000000}"/>
    <hyperlink ref="J49" r:id="rId143" xr:uid="{00000000-0004-0000-0400-00008E000000}"/>
    <hyperlink ref="K49" r:id="rId144" xr:uid="{00000000-0004-0000-0400-00008F000000}"/>
    <hyperlink ref="I50" r:id="rId145" xr:uid="{00000000-0004-0000-0400-000090000000}"/>
    <hyperlink ref="J50" r:id="rId146" xr:uid="{00000000-0004-0000-0400-000091000000}"/>
    <hyperlink ref="K50" r:id="rId147" xr:uid="{00000000-0004-0000-0400-000092000000}"/>
    <hyperlink ref="I51" r:id="rId148" xr:uid="{00000000-0004-0000-0400-000093000000}"/>
    <hyperlink ref="J51" r:id="rId149" xr:uid="{00000000-0004-0000-0400-000094000000}"/>
    <hyperlink ref="K51" r:id="rId150" xr:uid="{00000000-0004-0000-0400-000095000000}"/>
    <hyperlink ref="I52" r:id="rId151" xr:uid="{00000000-0004-0000-0400-000096000000}"/>
    <hyperlink ref="J52" r:id="rId152" xr:uid="{00000000-0004-0000-0400-000097000000}"/>
    <hyperlink ref="K52" r:id="rId153" xr:uid="{00000000-0004-0000-0400-000098000000}"/>
    <hyperlink ref="I53" r:id="rId154" xr:uid="{00000000-0004-0000-0400-000099000000}"/>
    <hyperlink ref="J53" r:id="rId155" xr:uid="{00000000-0004-0000-0400-00009A000000}"/>
    <hyperlink ref="K53" r:id="rId156" xr:uid="{00000000-0004-0000-0400-00009B000000}"/>
    <hyperlink ref="I54" r:id="rId157" xr:uid="{00000000-0004-0000-0400-00009C000000}"/>
    <hyperlink ref="J54" r:id="rId158" xr:uid="{00000000-0004-0000-0400-00009D000000}"/>
    <hyperlink ref="K54" r:id="rId159" xr:uid="{00000000-0004-0000-0400-00009E000000}"/>
    <hyperlink ref="I55" r:id="rId160" xr:uid="{00000000-0004-0000-0400-00009F000000}"/>
    <hyperlink ref="J55" r:id="rId161" xr:uid="{00000000-0004-0000-0400-0000A0000000}"/>
    <hyperlink ref="K55" r:id="rId162" xr:uid="{00000000-0004-0000-0400-0000A1000000}"/>
    <hyperlink ref="I56" r:id="rId163" xr:uid="{00000000-0004-0000-0400-0000A2000000}"/>
    <hyperlink ref="J56" r:id="rId164" xr:uid="{00000000-0004-0000-0400-0000A3000000}"/>
    <hyperlink ref="K56" r:id="rId165" xr:uid="{00000000-0004-0000-0400-0000A4000000}"/>
    <hyperlink ref="I57" r:id="rId166" xr:uid="{00000000-0004-0000-0400-0000A5000000}"/>
    <hyperlink ref="J57" r:id="rId167" xr:uid="{00000000-0004-0000-0400-0000A6000000}"/>
    <hyperlink ref="K57" r:id="rId168" xr:uid="{00000000-0004-0000-0400-0000A7000000}"/>
    <hyperlink ref="I58" r:id="rId169" xr:uid="{00000000-0004-0000-0400-0000A8000000}"/>
    <hyperlink ref="J58" r:id="rId170" xr:uid="{00000000-0004-0000-0400-0000A9000000}"/>
    <hyperlink ref="K58" r:id="rId171" xr:uid="{00000000-0004-0000-0400-0000AA000000}"/>
    <hyperlink ref="I59" r:id="rId172" xr:uid="{00000000-0004-0000-0400-0000AB000000}"/>
    <hyperlink ref="J59" r:id="rId173" xr:uid="{00000000-0004-0000-0400-0000AC000000}"/>
    <hyperlink ref="K59" r:id="rId174" xr:uid="{00000000-0004-0000-0400-0000AD000000}"/>
    <hyperlink ref="I60" r:id="rId175" xr:uid="{00000000-0004-0000-0400-0000AE000000}"/>
    <hyperlink ref="J60" r:id="rId176" xr:uid="{00000000-0004-0000-0400-0000AF000000}"/>
    <hyperlink ref="K60" r:id="rId177" xr:uid="{00000000-0004-0000-0400-0000B0000000}"/>
    <hyperlink ref="I61" r:id="rId178" xr:uid="{00000000-0004-0000-0400-0000B1000000}"/>
    <hyperlink ref="J61" r:id="rId179" xr:uid="{00000000-0004-0000-0400-0000B2000000}"/>
    <hyperlink ref="K61" r:id="rId180" xr:uid="{00000000-0004-0000-0400-0000B3000000}"/>
    <hyperlink ref="I62" r:id="rId181" xr:uid="{00000000-0004-0000-0400-0000B4000000}"/>
    <hyperlink ref="J62" r:id="rId182" xr:uid="{00000000-0004-0000-0400-0000B5000000}"/>
    <hyperlink ref="K62" r:id="rId183" xr:uid="{00000000-0004-0000-0400-0000B6000000}"/>
    <hyperlink ref="I63" r:id="rId184" xr:uid="{00000000-0004-0000-0400-0000B7000000}"/>
    <hyperlink ref="J63" r:id="rId185" xr:uid="{00000000-0004-0000-0400-0000B8000000}"/>
    <hyperlink ref="K63" r:id="rId186" xr:uid="{00000000-0004-0000-0400-0000B9000000}"/>
    <hyperlink ref="I64" r:id="rId187" xr:uid="{00000000-0004-0000-0400-0000BA000000}"/>
    <hyperlink ref="J64" r:id="rId188" xr:uid="{00000000-0004-0000-0400-0000BB000000}"/>
    <hyperlink ref="K64" r:id="rId189" xr:uid="{00000000-0004-0000-0400-0000BC000000}"/>
    <hyperlink ref="I65" r:id="rId190" xr:uid="{00000000-0004-0000-0400-0000BD000000}"/>
    <hyperlink ref="J65" r:id="rId191" xr:uid="{00000000-0004-0000-0400-0000BE000000}"/>
    <hyperlink ref="K65" r:id="rId192" xr:uid="{00000000-0004-0000-0400-0000BF000000}"/>
    <hyperlink ref="I66" r:id="rId193" xr:uid="{00000000-0004-0000-0400-0000C0000000}"/>
    <hyperlink ref="J66" r:id="rId194" xr:uid="{00000000-0004-0000-0400-0000C1000000}"/>
    <hyperlink ref="K66" r:id="rId195" xr:uid="{00000000-0004-0000-0400-0000C2000000}"/>
    <hyperlink ref="I67" r:id="rId196" xr:uid="{00000000-0004-0000-0400-0000C3000000}"/>
    <hyperlink ref="J67" r:id="rId197" xr:uid="{00000000-0004-0000-0400-0000C4000000}"/>
    <hyperlink ref="K67" r:id="rId198" xr:uid="{00000000-0004-0000-0400-0000C5000000}"/>
    <hyperlink ref="I68" r:id="rId199" xr:uid="{00000000-0004-0000-0400-0000C6000000}"/>
    <hyperlink ref="J68" r:id="rId200" xr:uid="{00000000-0004-0000-0400-0000C7000000}"/>
    <hyperlink ref="K68" r:id="rId201" xr:uid="{00000000-0004-0000-0400-0000C8000000}"/>
    <hyperlink ref="I69" r:id="rId202" xr:uid="{00000000-0004-0000-0400-0000C9000000}"/>
    <hyperlink ref="J69" r:id="rId203" xr:uid="{00000000-0004-0000-0400-0000CA000000}"/>
    <hyperlink ref="K69" r:id="rId204" xr:uid="{00000000-0004-0000-0400-0000CB000000}"/>
    <hyperlink ref="I70" r:id="rId205" xr:uid="{00000000-0004-0000-0400-0000CC000000}"/>
    <hyperlink ref="J70" r:id="rId206" xr:uid="{00000000-0004-0000-0400-0000CD000000}"/>
    <hyperlink ref="K70" r:id="rId207" xr:uid="{00000000-0004-0000-0400-0000CE000000}"/>
    <hyperlink ref="I71" r:id="rId208" xr:uid="{00000000-0004-0000-0400-0000CF000000}"/>
    <hyperlink ref="J71" r:id="rId209" xr:uid="{00000000-0004-0000-0400-0000D0000000}"/>
    <hyperlink ref="K71" r:id="rId210" xr:uid="{00000000-0004-0000-0400-0000D1000000}"/>
    <hyperlink ref="I72" r:id="rId211" xr:uid="{00000000-0004-0000-0400-0000D2000000}"/>
    <hyperlink ref="J72" r:id="rId212" xr:uid="{00000000-0004-0000-0400-0000D3000000}"/>
    <hyperlink ref="K72" r:id="rId213" xr:uid="{00000000-0004-0000-0400-0000D4000000}"/>
    <hyperlink ref="I73" r:id="rId214" xr:uid="{00000000-0004-0000-0400-0000D5000000}"/>
    <hyperlink ref="J73" r:id="rId215" xr:uid="{00000000-0004-0000-0400-0000D6000000}"/>
    <hyperlink ref="K73" r:id="rId216" xr:uid="{00000000-0004-0000-0400-0000D7000000}"/>
    <hyperlink ref="I74" r:id="rId217" xr:uid="{00000000-0004-0000-0400-0000D8000000}"/>
    <hyperlink ref="J74" r:id="rId218" xr:uid="{00000000-0004-0000-0400-0000D9000000}"/>
    <hyperlink ref="K74" r:id="rId219" xr:uid="{00000000-0004-0000-0400-0000DA000000}"/>
    <hyperlink ref="I75" r:id="rId220" xr:uid="{00000000-0004-0000-0400-0000DB000000}"/>
    <hyperlink ref="J75" r:id="rId221" xr:uid="{00000000-0004-0000-0400-0000DC000000}"/>
    <hyperlink ref="K75" r:id="rId222" xr:uid="{00000000-0004-0000-0400-0000DD000000}"/>
    <hyperlink ref="I76" r:id="rId223" xr:uid="{00000000-0004-0000-0400-0000DE000000}"/>
    <hyperlink ref="J76" r:id="rId224" xr:uid="{00000000-0004-0000-0400-0000DF000000}"/>
    <hyperlink ref="K76" r:id="rId225" xr:uid="{00000000-0004-0000-0400-0000E0000000}"/>
    <hyperlink ref="I77" r:id="rId226" xr:uid="{00000000-0004-0000-0400-0000E1000000}"/>
    <hyperlink ref="J77" r:id="rId227" xr:uid="{00000000-0004-0000-0400-0000E2000000}"/>
    <hyperlink ref="K77" r:id="rId228" xr:uid="{00000000-0004-0000-0400-0000E3000000}"/>
    <hyperlink ref="I78" r:id="rId229" xr:uid="{00000000-0004-0000-0400-0000E4000000}"/>
    <hyperlink ref="J78" r:id="rId230" xr:uid="{00000000-0004-0000-0400-0000E5000000}"/>
    <hyperlink ref="K78" r:id="rId231" xr:uid="{00000000-0004-0000-0400-0000E6000000}"/>
    <hyperlink ref="I79" r:id="rId232" xr:uid="{00000000-0004-0000-0400-0000E7000000}"/>
    <hyperlink ref="J79" r:id="rId233" xr:uid="{00000000-0004-0000-0400-0000E8000000}"/>
    <hyperlink ref="K79" r:id="rId234" xr:uid="{00000000-0004-0000-0400-0000E9000000}"/>
    <hyperlink ref="I80" r:id="rId235" xr:uid="{00000000-0004-0000-0400-0000EA000000}"/>
    <hyperlink ref="J80" r:id="rId236" xr:uid="{00000000-0004-0000-0400-0000EB000000}"/>
    <hyperlink ref="K80" r:id="rId237" xr:uid="{00000000-0004-0000-0400-0000EC000000}"/>
    <hyperlink ref="I81" r:id="rId238" xr:uid="{00000000-0004-0000-0400-0000ED000000}"/>
    <hyperlink ref="J81" r:id="rId239" xr:uid="{00000000-0004-0000-0400-0000EE000000}"/>
    <hyperlink ref="K81" r:id="rId240" xr:uid="{00000000-0004-0000-0400-0000EF000000}"/>
    <hyperlink ref="I82" r:id="rId241" xr:uid="{00000000-0004-0000-0400-0000F0000000}"/>
    <hyperlink ref="J82" r:id="rId242" xr:uid="{00000000-0004-0000-0400-0000F1000000}"/>
    <hyperlink ref="K82" r:id="rId243" xr:uid="{00000000-0004-0000-0400-0000F2000000}"/>
    <hyperlink ref="I83" r:id="rId244" xr:uid="{00000000-0004-0000-0400-0000F3000000}"/>
    <hyperlink ref="J83" r:id="rId245" xr:uid="{00000000-0004-0000-0400-0000F4000000}"/>
    <hyperlink ref="K83" r:id="rId246" xr:uid="{00000000-0004-0000-0400-0000F5000000}"/>
    <hyperlink ref="I84" r:id="rId247" xr:uid="{00000000-0004-0000-0400-0000F6000000}"/>
    <hyperlink ref="J84" r:id="rId248" xr:uid="{00000000-0004-0000-0400-0000F7000000}"/>
    <hyperlink ref="K84" r:id="rId249" xr:uid="{00000000-0004-0000-0400-0000F8000000}"/>
    <hyperlink ref="I85" r:id="rId250" xr:uid="{00000000-0004-0000-0400-0000F9000000}"/>
    <hyperlink ref="J85" r:id="rId251" xr:uid="{00000000-0004-0000-0400-0000FA000000}"/>
    <hyperlink ref="K85" r:id="rId252" xr:uid="{00000000-0004-0000-0400-0000FB000000}"/>
    <hyperlink ref="I86" r:id="rId253" xr:uid="{00000000-0004-0000-0400-0000FC000000}"/>
    <hyperlink ref="J86" r:id="rId254" xr:uid="{00000000-0004-0000-0400-0000FD000000}"/>
    <hyperlink ref="K86" r:id="rId255" xr:uid="{00000000-0004-0000-0400-0000FE000000}"/>
    <hyperlink ref="I87" r:id="rId256" xr:uid="{00000000-0004-0000-0400-0000FF000000}"/>
    <hyperlink ref="J87" r:id="rId257" xr:uid="{00000000-0004-0000-0400-000000010000}"/>
    <hyperlink ref="K87" r:id="rId258" xr:uid="{00000000-0004-0000-0400-000001010000}"/>
    <hyperlink ref="I88" r:id="rId259" xr:uid="{00000000-0004-0000-0400-000002010000}"/>
    <hyperlink ref="J88" r:id="rId260" xr:uid="{00000000-0004-0000-0400-000003010000}"/>
    <hyperlink ref="K88" r:id="rId261" xr:uid="{00000000-0004-0000-0400-000004010000}"/>
    <hyperlink ref="I89" r:id="rId262" xr:uid="{00000000-0004-0000-0400-000005010000}"/>
    <hyperlink ref="J89" r:id="rId263" xr:uid="{00000000-0004-0000-0400-000006010000}"/>
    <hyperlink ref="K89" r:id="rId264" xr:uid="{00000000-0004-0000-0400-000007010000}"/>
    <hyperlink ref="I90" r:id="rId265" xr:uid="{00000000-0004-0000-0400-000008010000}"/>
    <hyperlink ref="J90" r:id="rId266" xr:uid="{00000000-0004-0000-0400-000009010000}"/>
    <hyperlink ref="K90" r:id="rId267" xr:uid="{00000000-0004-0000-0400-00000A010000}"/>
    <hyperlink ref="I91" r:id="rId268" xr:uid="{00000000-0004-0000-0400-00000B010000}"/>
    <hyperlink ref="J91" r:id="rId269" xr:uid="{00000000-0004-0000-0400-00000C010000}"/>
    <hyperlink ref="K91" r:id="rId270" xr:uid="{00000000-0004-0000-0400-00000D010000}"/>
    <hyperlink ref="I92" r:id="rId271" xr:uid="{00000000-0004-0000-0400-00000E010000}"/>
    <hyperlink ref="J92" r:id="rId272" xr:uid="{00000000-0004-0000-0400-00000F010000}"/>
    <hyperlink ref="K92" r:id="rId273" xr:uid="{00000000-0004-0000-0400-000010010000}"/>
    <hyperlink ref="I93" r:id="rId274" xr:uid="{00000000-0004-0000-0400-000011010000}"/>
    <hyperlink ref="J93" r:id="rId275" xr:uid="{00000000-0004-0000-0400-000012010000}"/>
    <hyperlink ref="K93" r:id="rId276" xr:uid="{00000000-0004-0000-0400-000013010000}"/>
    <hyperlink ref="I94" r:id="rId277" xr:uid="{00000000-0004-0000-0400-000014010000}"/>
    <hyperlink ref="J94" r:id="rId278" xr:uid="{00000000-0004-0000-0400-000015010000}"/>
    <hyperlink ref="K94" r:id="rId279" xr:uid="{00000000-0004-0000-0400-000016010000}"/>
    <hyperlink ref="I95" r:id="rId280" xr:uid="{00000000-0004-0000-0400-000017010000}"/>
    <hyperlink ref="J95" r:id="rId281" xr:uid="{00000000-0004-0000-0400-000018010000}"/>
    <hyperlink ref="K95" r:id="rId282" xr:uid="{00000000-0004-0000-0400-000019010000}"/>
    <hyperlink ref="I96" r:id="rId283" xr:uid="{00000000-0004-0000-0400-00001A010000}"/>
    <hyperlink ref="J96" r:id="rId284" xr:uid="{00000000-0004-0000-0400-00001B010000}"/>
    <hyperlink ref="K96" r:id="rId285" xr:uid="{00000000-0004-0000-0400-00001C010000}"/>
    <hyperlink ref="I97" r:id="rId286" xr:uid="{00000000-0004-0000-0400-00001D010000}"/>
    <hyperlink ref="J97" r:id="rId287" xr:uid="{00000000-0004-0000-0400-00001E010000}"/>
    <hyperlink ref="K97" r:id="rId288" xr:uid="{00000000-0004-0000-0400-00001F010000}"/>
    <hyperlink ref="I98" r:id="rId289" xr:uid="{00000000-0004-0000-0400-000020010000}"/>
    <hyperlink ref="J98" r:id="rId290" xr:uid="{00000000-0004-0000-0400-000021010000}"/>
    <hyperlink ref="K98" r:id="rId291" xr:uid="{00000000-0004-0000-0400-000022010000}"/>
    <hyperlink ref="I99" r:id="rId292" xr:uid="{00000000-0004-0000-0400-000023010000}"/>
    <hyperlink ref="J99" r:id="rId293" xr:uid="{00000000-0004-0000-0400-000024010000}"/>
    <hyperlink ref="K99" r:id="rId294" xr:uid="{00000000-0004-0000-0400-000025010000}"/>
    <hyperlink ref="I100" r:id="rId295" xr:uid="{00000000-0004-0000-0400-000026010000}"/>
    <hyperlink ref="J100" r:id="rId296" xr:uid="{00000000-0004-0000-0400-000027010000}"/>
    <hyperlink ref="K100" r:id="rId297" xr:uid="{00000000-0004-0000-0400-000028010000}"/>
    <hyperlink ref="I101" r:id="rId298" xr:uid="{00000000-0004-0000-0400-000029010000}"/>
    <hyperlink ref="J101" r:id="rId299" xr:uid="{00000000-0004-0000-0400-00002A010000}"/>
    <hyperlink ref="K101" r:id="rId300" xr:uid="{00000000-0004-0000-0400-00002B010000}"/>
    <hyperlink ref="I102" r:id="rId301" xr:uid="{00000000-0004-0000-0400-00002C010000}"/>
    <hyperlink ref="J102" r:id="rId302" xr:uid="{00000000-0004-0000-0400-00002D010000}"/>
    <hyperlink ref="K102" r:id="rId303" xr:uid="{00000000-0004-0000-0400-00002E010000}"/>
    <hyperlink ref="I103" r:id="rId304" xr:uid="{00000000-0004-0000-0400-00002F010000}"/>
    <hyperlink ref="J103" r:id="rId305" xr:uid="{00000000-0004-0000-0400-000030010000}"/>
    <hyperlink ref="K103" r:id="rId306" xr:uid="{00000000-0004-0000-0400-000031010000}"/>
    <hyperlink ref="I104" r:id="rId307" xr:uid="{00000000-0004-0000-0400-000032010000}"/>
    <hyperlink ref="J104" r:id="rId308" xr:uid="{00000000-0004-0000-0400-000033010000}"/>
    <hyperlink ref="K104" r:id="rId309" xr:uid="{00000000-0004-0000-0400-000034010000}"/>
    <hyperlink ref="I105" r:id="rId310" xr:uid="{00000000-0004-0000-0400-000035010000}"/>
    <hyperlink ref="J105" r:id="rId311" xr:uid="{00000000-0004-0000-0400-000036010000}"/>
    <hyperlink ref="K105" r:id="rId312" xr:uid="{00000000-0004-0000-0400-000037010000}"/>
    <hyperlink ref="I106" r:id="rId313" xr:uid="{00000000-0004-0000-0400-000038010000}"/>
    <hyperlink ref="J106" r:id="rId314" xr:uid="{00000000-0004-0000-0400-000039010000}"/>
    <hyperlink ref="K106" r:id="rId315" xr:uid="{00000000-0004-0000-0400-00003A010000}"/>
    <hyperlink ref="I107" r:id="rId316" xr:uid="{00000000-0004-0000-0400-00003B010000}"/>
    <hyperlink ref="J107" r:id="rId317" xr:uid="{00000000-0004-0000-0400-00003C010000}"/>
    <hyperlink ref="K107" r:id="rId318" xr:uid="{00000000-0004-0000-0400-00003D010000}"/>
    <hyperlink ref="I108" r:id="rId319" xr:uid="{00000000-0004-0000-0400-00003E010000}"/>
    <hyperlink ref="J108" r:id="rId320" xr:uid="{00000000-0004-0000-0400-00003F010000}"/>
    <hyperlink ref="K108" r:id="rId321" xr:uid="{00000000-0004-0000-0400-000040010000}"/>
    <hyperlink ref="I109" r:id="rId322" xr:uid="{00000000-0004-0000-0400-000041010000}"/>
    <hyperlink ref="J109" r:id="rId323" xr:uid="{00000000-0004-0000-0400-000042010000}"/>
    <hyperlink ref="K109" r:id="rId324" xr:uid="{00000000-0004-0000-0400-000043010000}"/>
    <hyperlink ref="I110" r:id="rId325" xr:uid="{00000000-0004-0000-0400-000044010000}"/>
    <hyperlink ref="J110" r:id="rId326" xr:uid="{00000000-0004-0000-0400-000045010000}"/>
    <hyperlink ref="K110" r:id="rId327" xr:uid="{00000000-0004-0000-0400-000046010000}"/>
    <hyperlink ref="I111" r:id="rId328" xr:uid="{00000000-0004-0000-0400-000047010000}"/>
    <hyperlink ref="J111" r:id="rId329" xr:uid="{00000000-0004-0000-0400-000048010000}"/>
    <hyperlink ref="K111" r:id="rId330" xr:uid="{00000000-0004-0000-0400-000049010000}"/>
    <hyperlink ref="K112" r:id="rId331" xr:uid="{00000000-0004-0000-0400-00004A010000}"/>
    <hyperlink ref="I113" r:id="rId332" xr:uid="{00000000-0004-0000-0400-00004B010000}"/>
    <hyperlink ref="J113" r:id="rId333" xr:uid="{00000000-0004-0000-0400-00004C010000}"/>
    <hyperlink ref="K113" r:id="rId334" xr:uid="{00000000-0004-0000-0400-00004D010000}"/>
    <hyperlink ref="I114" r:id="rId335" xr:uid="{00000000-0004-0000-0400-00004E010000}"/>
    <hyperlink ref="J114" r:id="rId336" xr:uid="{00000000-0004-0000-0400-00004F010000}"/>
    <hyperlink ref="K114" r:id="rId337" xr:uid="{00000000-0004-0000-0400-000050010000}"/>
    <hyperlink ref="I115" r:id="rId338" xr:uid="{00000000-0004-0000-0400-000051010000}"/>
    <hyperlink ref="J115" r:id="rId339" xr:uid="{00000000-0004-0000-0400-000052010000}"/>
    <hyperlink ref="K115" r:id="rId340" xr:uid="{00000000-0004-0000-0400-000053010000}"/>
    <hyperlink ref="I116" r:id="rId341" xr:uid="{00000000-0004-0000-0400-000054010000}"/>
    <hyperlink ref="J116" r:id="rId342" xr:uid="{00000000-0004-0000-0400-000055010000}"/>
    <hyperlink ref="K116" r:id="rId343" xr:uid="{00000000-0004-0000-0400-000056010000}"/>
    <hyperlink ref="I117" r:id="rId344" xr:uid="{00000000-0004-0000-0400-000057010000}"/>
    <hyperlink ref="J117" r:id="rId345" xr:uid="{00000000-0004-0000-0400-000058010000}"/>
    <hyperlink ref="K117" r:id="rId346" xr:uid="{00000000-0004-0000-0400-000059010000}"/>
    <hyperlink ref="O118" r:id="rId347" xr:uid="{00000000-0004-0000-0400-00005A010000}"/>
    <hyperlink ref="P118" r:id="rId348" xr:uid="{00000000-0004-0000-0400-00005B010000}"/>
    <hyperlink ref="Q118" r:id="rId349" xr:uid="{00000000-0004-0000-0400-00005C010000}"/>
    <hyperlink ref="S118" r:id="rId350" xr:uid="{00000000-0004-0000-0400-00005D010000}"/>
    <hyperlink ref="T118" r:id="rId351" xr:uid="{00000000-0004-0000-0400-00005E010000}"/>
    <hyperlink ref="U118" r:id="rId352" xr:uid="{00000000-0004-0000-0400-00005F010000}"/>
    <hyperlink ref="W118" r:id="rId353" xr:uid="{00000000-0004-0000-0400-000060010000}"/>
    <hyperlink ref="O119" r:id="rId354" xr:uid="{00000000-0004-0000-0400-000061010000}"/>
    <hyperlink ref="P119" r:id="rId355" xr:uid="{00000000-0004-0000-0400-000062010000}"/>
    <hyperlink ref="Q119" r:id="rId356" xr:uid="{00000000-0004-0000-0400-000063010000}"/>
    <hyperlink ref="S119" r:id="rId357" xr:uid="{00000000-0004-0000-0400-000064010000}"/>
    <hyperlink ref="T119" r:id="rId358" xr:uid="{00000000-0004-0000-0400-000065010000}"/>
    <hyperlink ref="U119" r:id="rId359" xr:uid="{00000000-0004-0000-0400-000066010000}"/>
    <hyperlink ref="V119" r:id="rId360" xr:uid="{00000000-0004-0000-0400-000067010000}"/>
    <hyperlink ref="O120" r:id="rId361" xr:uid="{00000000-0004-0000-0400-000068010000}"/>
    <hyperlink ref="P120" r:id="rId362" xr:uid="{00000000-0004-0000-0400-000069010000}"/>
    <hyperlink ref="Q120" r:id="rId363" xr:uid="{00000000-0004-0000-0400-00006A010000}"/>
    <hyperlink ref="S120" r:id="rId364" xr:uid="{00000000-0004-0000-0400-00006B010000}"/>
    <hyperlink ref="T120" r:id="rId365" xr:uid="{00000000-0004-0000-0400-00006C010000}"/>
    <hyperlink ref="U120" r:id="rId366" xr:uid="{00000000-0004-0000-0400-00006D010000}"/>
    <hyperlink ref="O121" r:id="rId367" xr:uid="{00000000-0004-0000-0400-00006E010000}"/>
    <hyperlink ref="P121" r:id="rId368" xr:uid="{00000000-0004-0000-0400-00006F010000}"/>
    <hyperlink ref="Q121" r:id="rId369" xr:uid="{00000000-0004-0000-0400-000070010000}"/>
    <hyperlink ref="S121" r:id="rId370" xr:uid="{00000000-0004-0000-0400-000071010000}"/>
    <hyperlink ref="T121" r:id="rId371" xr:uid="{00000000-0004-0000-0400-000072010000}"/>
    <hyperlink ref="U121" r:id="rId372" xr:uid="{00000000-0004-0000-0400-000073010000}"/>
    <hyperlink ref="V121" r:id="rId373" xr:uid="{00000000-0004-0000-0400-000074010000}"/>
    <hyperlink ref="W121" r:id="rId374" xr:uid="{00000000-0004-0000-0400-000075010000}"/>
    <hyperlink ref="O122" r:id="rId375" xr:uid="{00000000-0004-0000-0400-000076010000}"/>
    <hyperlink ref="P122" r:id="rId376" xr:uid="{00000000-0004-0000-0400-000077010000}"/>
    <hyperlink ref="Q122" r:id="rId377" xr:uid="{00000000-0004-0000-0400-000078010000}"/>
    <hyperlink ref="S122" r:id="rId378" xr:uid="{00000000-0004-0000-0400-000079010000}"/>
    <hyperlink ref="T122" r:id="rId379" xr:uid="{00000000-0004-0000-0400-00007A010000}"/>
    <hyperlink ref="U122" r:id="rId380" xr:uid="{00000000-0004-0000-0400-00007B010000}"/>
    <hyperlink ref="V122" r:id="rId381" xr:uid="{00000000-0004-0000-0400-00007C010000}"/>
    <hyperlink ref="O123" r:id="rId382" xr:uid="{00000000-0004-0000-0400-00007D010000}"/>
    <hyperlink ref="P123" r:id="rId383" xr:uid="{00000000-0004-0000-0400-00007E010000}"/>
    <hyperlink ref="Q123" r:id="rId384" xr:uid="{00000000-0004-0000-0400-00007F010000}"/>
    <hyperlink ref="S123" r:id="rId385" xr:uid="{00000000-0004-0000-0400-000080010000}"/>
    <hyperlink ref="T123" r:id="rId386" xr:uid="{00000000-0004-0000-0400-000081010000}"/>
    <hyperlink ref="U123" r:id="rId387" xr:uid="{00000000-0004-0000-0400-000082010000}"/>
    <hyperlink ref="V123" r:id="rId388" xr:uid="{00000000-0004-0000-0400-000083010000}"/>
    <hyperlink ref="O124" r:id="rId389" xr:uid="{00000000-0004-0000-0400-000084010000}"/>
    <hyperlink ref="P124" r:id="rId390" xr:uid="{00000000-0004-0000-0400-000085010000}"/>
    <hyperlink ref="Q124" r:id="rId391" xr:uid="{00000000-0004-0000-0400-000086010000}"/>
    <hyperlink ref="S124" r:id="rId392" xr:uid="{00000000-0004-0000-0400-000087010000}"/>
    <hyperlink ref="T124" r:id="rId393" xr:uid="{00000000-0004-0000-0400-000088010000}"/>
    <hyperlink ref="U124" r:id="rId394" xr:uid="{00000000-0004-0000-0400-000089010000}"/>
    <hyperlink ref="V124" r:id="rId395" xr:uid="{00000000-0004-0000-0400-00008A010000}"/>
    <hyperlink ref="O125" r:id="rId396" xr:uid="{00000000-0004-0000-0400-00008B010000}"/>
    <hyperlink ref="P125" r:id="rId397" xr:uid="{00000000-0004-0000-0400-00008C010000}"/>
    <hyperlink ref="Q125" r:id="rId398" xr:uid="{00000000-0004-0000-0400-00008D010000}"/>
    <hyperlink ref="S125" r:id="rId399" xr:uid="{00000000-0004-0000-0400-00008E010000}"/>
    <hyperlink ref="T125" r:id="rId400" xr:uid="{00000000-0004-0000-0400-00008F010000}"/>
    <hyperlink ref="U125" r:id="rId401" xr:uid="{00000000-0004-0000-0400-000090010000}"/>
    <hyperlink ref="V125" r:id="rId402" xr:uid="{00000000-0004-0000-0400-000091010000}"/>
    <hyperlink ref="W125" r:id="rId403" xr:uid="{00000000-0004-0000-0400-000092010000}"/>
    <hyperlink ref="O126" r:id="rId404" xr:uid="{00000000-0004-0000-0400-000093010000}"/>
    <hyperlink ref="P126" r:id="rId405" xr:uid="{00000000-0004-0000-0400-000094010000}"/>
    <hyperlink ref="Q126" r:id="rId406" xr:uid="{00000000-0004-0000-0400-000095010000}"/>
    <hyperlink ref="S126" r:id="rId407" xr:uid="{00000000-0004-0000-0400-000096010000}"/>
    <hyperlink ref="T126" r:id="rId408" xr:uid="{00000000-0004-0000-0400-000097010000}"/>
    <hyperlink ref="U126" r:id="rId409" xr:uid="{00000000-0004-0000-0400-000098010000}"/>
    <hyperlink ref="O127" r:id="rId410" xr:uid="{00000000-0004-0000-0400-000099010000}"/>
    <hyperlink ref="P127" r:id="rId411" xr:uid="{00000000-0004-0000-0400-00009A010000}"/>
    <hyperlink ref="Q127" r:id="rId412" xr:uid="{00000000-0004-0000-0400-00009B010000}"/>
    <hyperlink ref="S127" r:id="rId413" xr:uid="{00000000-0004-0000-0400-00009C010000}"/>
    <hyperlink ref="T127" r:id="rId414" xr:uid="{00000000-0004-0000-0400-00009D010000}"/>
    <hyperlink ref="U127" r:id="rId415" xr:uid="{00000000-0004-0000-0400-00009E010000}"/>
    <hyperlink ref="V127" r:id="rId416" xr:uid="{00000000-0004-0000-0400-00009F010000}"/>
    <hyperlink ref="O128" r:id="rId417" xr:uid="{00000000-0004-0000-0400-0000A0010000}"/>
    <hyperlink ref="P128" r:id="rId418" xr:uid="{00000000-0004-0000-0400-0000A1010000}"/>
    <hyperlink ref="Q128" r:id="rId419" xr:uid="{00000000-0004-0000-0400-0000A2010000}"/>
    <hyperlink ref="S128" r:id="rId420" xr:uid="{00000000-0004-0000-0400-0000A3010000}"/>
    <hyperlink ref="T128" r:id="rId421" xr:uid="{00000000-0004-0000-0400-0000A4010000}"/>
    <hyperlink ref="U128" r:id="rId422" xr:uid="{00000000-0004-0000-0400-0000A5010000}"/>
    <hyperlink ref="O129" r:id="rId423" xr:uid="{00000000-0004-0000-0400-0000A6010000}"/>
    <hyperlink ref="P129" r:id="rId424" xr:uid="{00000000-0004-0000-0400-0000A7010000}"/>
    <hyperlink ref="Q129" r:id="rId425" xr:uid="{00000000-0004-0000-0400-0000A8010000}"/>
    <hyperlink ref="S129" r:id="rId426" xr:uid="{00000000-0004-0000-0400-0000A9010000}"/>
    <hyperlink ref="T129" r:id="rId427" xr:uid="{00000000-0004-0000-0400-0000AA010000}"/>
    <hyperlink ref="U129" r:id="rId428" xr:uid="{00000000-0004-0000-0400-0000AB010000}"/>
    <hyperlink ref="V129" r:id="rId429" xr:uid="{00000000-0004-0000-0400-0000AC010000}"/>
    <hyperlink ref="O130" r:id="rId430" xr:uid="{00000000-0004-0000-0400-0000AD010000}"/>
    <hyperlink ref="P130" r:id="rId431" xr:uid="{00000000-0004-0000-0400-0000AE010000}"/>
    <hyperlink ref="Q130" r:id="rId432" xr:uid="{00000000-0004-0000-0400-0000AF010000}"/>
    <hyperlink ref="S130" r:id="rId433" xr:uid="{00000000-0004-0000-0400-0000B0010000}"/>
    <hyperlink ref="T130" r:id="rId434" xr:uid="{00000000-0004-0000-0400-0000B1010000}"/>
    <hyperlink ref="U130" r:id="rId435" xr:uid="{00000000-0004-0000-0400-0000B2010000}"/>
    <hyperlink ref="V130" r:id="rId436" xr:uid="{00000000-0004-0000-0400-0000B3010000}"/>
    <hyperlink ref="O131" r:id="rId437" xr:uid="{00000000-0004-0000-0400-0000B4010000}"/>
    <hyperlink ref="P131" r:id="rId438" xr:uid="{00000000-0004-0000-0400-0000B5010000}"/>
    <hyperlink ref="Q131" r:id="rId439" xr:uid="{00000000-0004-0000-0400-0000B6010000}"/>
    <hyperlink ref="S131" r:id="rId440" xr:uid="{00000000-0004-0000-0400-0000B7010000}"/>
    <hyperlink ref="T131" r:id="rId441" xr:uid="{00000000-0004-0000-0400-0000B8010000}"/>
    <hyperlink ref="U131" r:id="rId442" xr:uid="{00000000-0004-0000-0400-0000B9010000}"/>
    <hyperlink ref="V131" r:id="rId443" xr:uid="{00000000-0004-0000-0400-0000BA010000}"/>
    <hyperlink ref="O132" r:id="rId444" xr:uid="{00000000-0004-0000-0400-0000BB010000}"/>
    <hyperlink ref="P132" r:id="rId445" xr:uid="{00000000-0004-0000-0400-0000BC010000}"/>
    <hyperlink ref="Q132" r:id="rId446" xr:uid="{00000000-0004-0000-0400-0000BD010000}"/>
    <hyperlink ref="S132" r:id="rId447" xr:uid="{00000000-0004-0000-0400-0000BE010000}"/>
    <hyperlink ref="T132" r:id="rId448" xr:uid="{00000000-0004-0000-0400-0000BF010000}"/>
    <hyperlink ref="U132" r:id="rId449" xr:uid="{00000000-0004-0000-0400-0000C0010000}"/>
    <hyperlink ref="V132" r:id="rId450" xr:uid="{00000000-0004-0000-0400-0000C1010000}"/>
    <hyperlink ref="O133" r:id="rId451" xr:uid="{00000000-0004-0000-0400-0000C2010000}"/>
    <hyperlink ref="P133" r:id="rId452" xr:uid="{00000000-0004-0000-0400-0000C3010000}"/>
    <hyperlink ref="Q133" r:id="rId453" xr:uid="{00000000-0004-0000-0400-0000C4010000}"/>
    <hyperlink ref="S133" r:id="rId454" xr:uid="{00000000-0004-0000-0400-0000C5010000}"/>
    <hyperlink ref="T133" r:id="rId455" xr:uid="{00000000-0004-0000-0400-0000C6010000}"/>
    <hyperlink ref="U133" r:id="rId456" xr:uid="{00000000-0004-0000-0400-0000C7010000}"/>
    <hyperlink ref="V133" r:id="rId457" xr:uid="{00000000-0004-0000-0400-0000C8010000}"/>
    <hyperlink ref="O134" r:id="rId458" xr:uid="{00000000-0004-0000-0400-0000C9010000}"/>
    <hyperlink ref="P134" r:id="rId459" xr:uid="{00000000-0004-0000-0400-0000CA010000}"/>
    <hyperlink ref="Q134" r:id="rId460" xr:uid="{00000000-0004-0000-0400-0000CB010000}"/>
    <hyperlink ref="S134" r:id="rId461" xr:uid="{00000000-0004-0000-0400-0000CC010000}"/>
    <hyperlink ref="T134" r:id="rId462" xr:uid="{00000000-0004-0000-0400-0000CD010000}"/>
    <hyperlink ref="U134" r:id="rId463" xr:uid="{00000000-0004-0000-0400-0000CE010000}"/>
    <hyperlink ref="O135" r:id="rId464" xr:uid="{00000000-0004-0000-0400-0000CF010000}"/>
    <hyperlink ref="P135" r:id="rId465" xr:uid="{00000000-0004-0000-0400-0000D0010000}"/>
    <hyperlink ref="Q135" r:id="rId466" xr:uid="{00000000-0004-0000-0400-0000D1010000}"/>
    <hyperlink ref="S135" r:id="rId467" xr:uid="{00000000-0004-0000-0400-0000D2010000}"/>
    <hyperlink ref="T135" r:id="rId468" xr:uid="{00000000-0004-0000-0400-0000D3010000}"/>
    <hyperlink ref="U135" r:id="rId469" xr:uid="{00000000-0004-0000-0400-0000D4010000}"/>
    <hyperlink ref="O136" r:id="rId470" xr:uid="{00000000-0004-0000-0400-0000D5010000}"/>
    <hyperlink ref="P136" r:id="rId471" xr:uid="{00000000-0004-0000-0400-0000D6010000}"/>
    <hyperlink ref="Q136" r:id="rId472" xr:uid="{00000000-0004-0000-0400-0000D7010000}"/>
    <hyperlink ref="S136" r:id="rId473" xr:uid="{00000000-0004-0000-0400-0000D8010000}"/>
    <hyperlink ref="T136" r:id="rId474" xr:uid="{00000000-0004-0000-0400-0000D9010000}"/>
    <hyperlink ref="U136" r:id="rId475" xr:uid="{00000000-0004-0000-0400-0000DA010000}"/>
    <hyperlink ref="V136" r:id="rId476" xr:uid="{00000000-0004-0000-0400-0000DB010000}"/>
    <hyperlink ref="O137" r:id="rId477" xr:uid="{00000000-0004-0000-0400-0000DC010000}"/>
    <hyperlink ref="P137" r:id="rId478" xr:uid="{00000000-0004-0000-0400-0000DD010000}"/>
    <hyperlink ref="Q137" r:id="rId479" xr:uid="{00000000-0004-0000-0400-0000DE010000}"/>
    <hyperlink ref="S137" r:id="rId480" xr:uid="{00000000-0004-0000-0400-0000DF010000}"/>
    <hyperlink ref="T137" r:id="rId481" xr:uid="{00000000-0004-0000-0400-0000E0010000}"/>
    <hyperlink ref="U137" r:id="rId482" xr:uid="{00000000-0004-0000-0400-0000E1010000}"/>
    <hyperlink ref="V137" r:id="rId483" xr:uid="{00000000-0004-0000-0400-0000E2010000}"/>
    <hyperlink ref="O138" r:id="rId484" xr:uid="{00000000-0004-0000-0400-0000E3010000}"/>
    <hyperlink ref="P138" r:id="rId485" xr:uid="{00000000-0004-0000-0400-0000E4010000}"/>
    <hyperlink ref="Q138" r:id="rId486" xr:uid="{00000000-0004-0000-0400-0000E5010000}"/>
    <hyperlink ref="S138" r:id="rId487" xr:uid="{00000000-0004-0000-0400-0000E6010000}"/>
    <hyperlink ref="T138" r:id="rId488" xr:uid="{00000000-0004-0000-0400-0000E7010000}"/>
    <hyperlink ref="U138" r:id="rId489" xr:uid="{00000000-0004-0000-0400-0000E8010000}"/>
    <hyperlink ref="V138" r:id="rId490" xr:uid="{00000000-0004-0000-0400-0000E9010000}"/>
    <hyperlink ref="O139" r:id="rId491" xr:uid="{00000000-0004-0000-0400-0000EA010000}"/>
    <hyperlink ref="P139" r:id="rId492" xr:uid="{00000000-0004-0000-0400-0000EB010000}"/>
    <hyperlink ref="Q139" r:id="rId493" xr:uid="{00000000-0004-0000-0400-0000EC010000}"/>
    <hyperlink ref="S139" r:id="rId494" xr:uid="{00000000-0004-0000-0400-0000ED010000}"/>
    <hyperlink ref="T139" r:id="rId495" xr:uid="{00000000-0004-0000-0400-0000EE010000}"/>
    <hyperlink ref="U139" r:id="rId496" xr:uid="{00000000-0004-0000-0400-0000EF010000}"/>
    <hyperlink ref="V139" r:id="rId497" xr:uid="{00000000-0004-0000-0400-0000F0010000}"/>
    <hyperlink ref="O140" r:id="rId498" xr:uid="{00000000-0004-0000-0400-0000F1010000}"/>
    <hyperlink ref="P140" r:id="rId499" xr:uid="{00000000-0004-0000-0400-0000F2010000}"/>
    <hyperlink ref="Q140" r:id="rId500" xr:uid="{00000000-0004-0000-0400-0000F3010000}"/>
    <hyperlink ref="S140" r:id="rId501" xr:uid="{00000000-0004-0000-0400-0000F4010000}"/>
    <hyperlink ref="T140" r:id="rId502" xr:uid="{00000000-0004-0000-0400-0000F5010000}"/>
    <hyperlink ref="U140" r:id="rId503" xr:uid="{00000000-0004-0000-0400-0000F6010000}"/>
    <hyperlink ref="O141" r:id="rId504" xr:uid="{00000000-0004-0000-0400-0000F7010000}"/>
    <hyperlink ref="P141" r:id="rId505" xr:uid="{00000000-0004-0000-0400-0000F8010000}"/>
    <hyperlink ref="Q141" r:id="rId506" xr:uid="{00000000-0004-0000-0400-0000F9010000}"/>
    <hyperlink ref="S141" r:id="rId507" xr:uid="{00000000-0004-0000-0400-0000FA010000}"/>
    <hyperlink ref="T141" r:id="rId508" xr:uid="{00000000-0004-0000-0400-0000FB010000}"/>
    <hyperlink ref="U141" r:id="rId509" xr:uid="{00000000-0004-0000-0400-0000FC010000}"/>
    <hyperlink ref="V141" r:id="rId510" xr:uid="{00000000-0004-0000-0400-0000FD010000}"/>
    <hyperlink ref="O142" r:id="rId511" xr:uid="{00000000-0004-0000-0400-0000FE010000}"/>
    <hyperlink ref="P142" r:id="rId512" xr:uid="{00000000-0004-0000-0400-0000FF010000}"/>
    <hyperlink ref="Q142" r:id="rId513" xr:uid="{00000000-0004-0000-0400-000000020000}"/>
    <hyperlink ref="S142" r:id="rId514" xr:uid="{00000000-0004-0000-0400-000001020000}"/>
    <hyperlink ref="T142" r:id="rId515" xr:uid="{00000000-0004-0000-0400-000002020000}"/>
    <hyperlink ref="U142" r:id="rId516" xr:uid="{00000000-0004-0000-0400-000003020000}"/>
    <hyperlink ref="V142" r:id="rId517" xr:uid="{00000000-0004-0000-0400-000004020000}"/>
    <hyperlink ref="O143" r:id="rId518" xr:uid="{00000000-0004-0000-0400-000005020000}"/>
    <hyperlink ref="P143" r:id="rId519" xr:uid="{00000000-0004-0000-0400-000006020000}"/>
    <hyperlink ref="Q143" r:id="rId520" xr:uid="{00000000-0004-0000-0400-000007020000}"/>
    <hyperlink ref="S143" r:id="rId521" xr:uid="{00000000-0004-0000-0400-000008020000}"/>
    <hyperlink ref="T143" r:id="rId522" xr:uid="{00000000-0004-0000-0400-000009020000}"/>
    <hyperlink ref="U143" r:id="rId523" xr:uid="{00000000-0004-0000-0400-00000A020000}"/>
    <hyperlink ref="V143" r:id="rId524" xr:uid="{00000000-0004-0000-0400-00000B020000}"/>
    <hyperlink ref="O144" r:id="rId525" xr:uid="{00000000-0004-0000-0400-00000C020000}"/>
    <hyperlink ref="P144" r:id="rId526" xr:uid="{00000000-0004-0000-0400-00000D020000}"/>
    <hyperlink ref="Q144" r:id="rId527" xr:uid="{00000000-0004-0000-0400-00000E020000}"/>
    <hyperlink ref="S144" r:id="rId528" xr:uid="{00000000-0004-0000-0400-00000F020000}"/>
    <hyperlink ref="T144" r:id="rId529" xr:uid="{00000000-0004-0000-0400-000010020000}"/>
    <hyperlink ref="U144" r:id="rId530" xr:uid="{00000000-0004-0000-0400-000011020000}"/>
    <hyperlink ref="V144" r:id="rId531" xr:uid="{00000000-0004-0000-0400-000012020000}"/>
    <hyperlink ref="O145" r:id="rId532" xr:uid="{00000000-0004-0000-0400-000013020000}"/>
    <hyperlink ref="P145" r:id="rId533" xr:uid="{00000000-0004-0000-0400-000014020000}"/>
    <hyperlink ref="Q145" r:id="rId534" xr:uid="{00000000-0004-0000-0400-000015020000}"/>
    <hyperlink ref="S145" r:id="rId535" xr:uid="{00000000-0004-0000-0400-000016020000}"/>
    <hyperlink ref="T145" r:id="rId536" xr:uid="{00000000-0004-0000-0400-000017020000}"/>
    <hyperlink ref="U145" r:id="rId537" xr:uid="{00000000-0004-0000-0400-000018020000}"/>
    <hyperlink ref="V145" r:id="rId538" xr:uid="{00000000-0004-0000-0400-000019020000}"/>
    <hyperlink ref="O146" r:id="rId539" xr:uid="{00000000-0004-0000-0400-00001A020000}"/>
    <hyperlink ref="P146" r:id="rId540" xr:uid="{00000000-0004-0000-0400-00001B020000}"/>
    <hyperlink ref="Q146" r:id="rId541" xr:uid="{00000000-0004-0000-0400-00001C020000}"/>
    <hyperlink ref="S146" r:id="rId542" xr:uid="{00000000-0004-0000-0400-00001D020000}"/>
    <hyperlink ref="T146" r:id="rId543" xr:uid="{00000000-0004-0000-0400-00001E020000}"/>
    <hyperlink ref="U146" r:id="rId544" xr:uid="{00000000-0004-0000-0400-00001F020000}"/>
    <hyperlink ref="O147" r:id="rId545" xr:uid="{00000000-0004-0000-0400-000020020000}"/>
    <hyperlink ref="P147" r:id="rId546" xr:uid="{00000000-0004-0000-0400-000021020000}"/>
    <hyperlink ref="Q147" r:id="rId547" xr:uid="{00000000-0004-0000-0400-000022020000}"/>
    <hyperlink ref="S147" r:id="rId548" xr:uid="{00000000-0004-0000-0400-000023020000}"/>
    <hyperlink ref="T147" r:id="rId549" xr:uid="{00000000-0004-0000-0400-000024020000}"/>
    <hyperlink ref="U147" r:id="rId550" xr:uid="{00000000-0004-0000-0400-000025020000}"/>
    <hyperlink ref="V147" r:id="rId551" xr:uid="{00000000-0004-0000-0400-000026020000}"/>
    <hyperlink ref="O148" r:id="rId552" xr:uid="{00000000-0004-0000-0400-000027020000}"/>
    <hyperlink ref="P148" r:id="rId553" xr:uid="{00000000-0004-0000-0400-000028020000}"/>
    <hyperlink ref="Q148" r:id="rId554" xr:uid="{00000000-0004-0000-0400-000029020000}"/>
    <hyperlink ref="S148" r:id="rId555" xr:uid="{00000000-0004-0000-0400-00002A020000}"/>
    <hyperlink ref="T148" r:id="rId556" xr:uid="{00000000-0004-0000-0400-00002B020000}"/>
    <hyperlink ref="U148" r:id="rId557" xr:uid="{00000000-0004-0000-0400-00002C020000}"/>
    <hyperlink ref="V148" r:id="rId558" xr:uid="{00000000-0004-0000-0400-00002D020000}"/>
    <hyperlink ref="O149" r:id="rId559" xr:uid="{00000000-0004-0000-0400-00002E020000}"/>
    <hyperlink ref="P149" r:id="rId560" xr:uid="{00000000-0004-0000-0400-00002F020000}"/>
    <hyperlink ref="Q149" r:id="rId561" xr:uid="{00000000-0004-0000-0400-000030020000}"/>
    <hyperlink ref="S149" r:id="rId562" xr:uid="{00000000-0004-0000-0400-000031020000}"/>
    <hyperlink ref="T149" r:id="rId563" xr:uid="{00000000-0004-0000-0400-000032020000}"/>
    <hyperlink ref="U149" r:id="rId564" xr:uid="{00000000-0004-0000-0400-000033020000}"/>
    <hyperlink ref="O150" r:id="rId565" xr:uid="{00000000-0004-0000-0400-000034020000}"/>
    <hyperlink ref="P150" r:id="rId566" xr:uid="{00000000-0004-0000-0400-000035020000}"/>
    <hyperlink ref="Q150" r:id="rId567" xr:uid="{00000000-0004-0000-0400-000036020000}"/>
    <hyperlink ref="S150" r:id="rId568" xr:uid="{00000000-0004-0000-0400-000037020000}"/>
    <hyperlink ref="T150" r:id="rId569" xr:uid="{00000000-0004-0000-0400-000038020000}"/>
    <hyperlink ref="U150" r:id="rId570" xr:uid="{00000000-0004-0000-0400-000039020000}"/>
    <hyperlink ref="O151" r:id="rId571" xr:uid="{00000000-0004-0000-0400-00003A020000}"/>
    <hyperlink ref="P151" r:id="rId572" xr:uid="{00000000-0004-0000-0400-00003B020000}"/>
    <hyperlink ref="Q151" r:id="rId573" xr:uid="{00000000-0004-0000-0400-00003C020000}"/>
    <hyperlink ref="S151" r:id="rId574" xr:uid="{00000000-0004-0000-0400-00003D020000}"/>
    <hyperlink ref="T151" r:id="rId575" xr:uid="{00000000-0004-0000-0400-00003E020000}"/>
    <hyperlink ref="U151" r:id="rId576" xr:uid="{00000000-0004-0000-0400-00003F020000}"/>
    <hyperlink ref="V151" r:id="rId577" xr:uid="{00000000-0004-0000-0400-000040020000}"/>
    <hyperlink ref="O152" r:id="rId578" xr:uid="{00000000-0004-0000-0400-000041020000}"/>
    <hyperlink ref="P152" r:id="rId579" xr:uid="{00000000-0004-0000-0400-000042020000}"/>
    <hyperlink ref="Q152" r:id="rId580" xr:uid="{00000000-0004-0000-0400-000043020000}"/>
    <hyperlink ref="S152" r:id="rId581" xr:uid="{00000000-0004-0000-0400-000044020000}"/>
    <hyperlink ref="T152" r:id="rId582" xr:uid="{00000000-0004-0000-0400-000045020000}"/>
    <hyperlink ref="U152" r:id="rId583" xr:uid="{00000000-0004-0000-0400-000046020000}"/>
    <hyperlink ref="O153" r:id="rId584" xr:uid="{00000000-0004-0000-0400-000047020000}"/>
    <hyperlink ref="P153" r:id="rId585" xr:uid="{00000000-0004-0000-0400-000048020000}"/>
    <hyperlink ref="Q153" r:id="rId586" xr:uid="{00000000-0004-0000-0400-000049020000}"/>
    <hyperlink ref="S153" r:id="rId587" xr:uid="{00000000-0004-0000-0400-00004A020000}"/>
    <hyperlink ref="T153" r:id="rId588" xr:uid="{00000000-0004-0000-0400-00004B020000}"/>
    <hyperlink ref="U153" r:id="rId589" xr:uid="{00000000-0004-0000-0400-00004C020000}"/>
    <hyperlink ref="V153" r:id="rId590" xr:uid="{00000000-0004-0000-0400-00004D020000}"/>
    <hyperlink ref="O154" r:id="rId591" xr:uid="{00000000-0004-0000-0400-00004E020000}"/>
    <hyperlink ref="P154" r:id="rId592" xr:uid="{00000000-0004-0000-0400-00004F020000}"/>
    <hyperlink ref="Q154" r:id="rId593" xr:uid="{00000000-0004-0000-0400-000050020000}"/>
    <hyperlink ref="S154" r:id="rId594" xr:uid="{00000000-0004-0000-0400-000051020000}"/>
    <hyperlink ref="T154" r:id="rId595" xr:uid="{00000000-0004-0000-0400-000052020000}"/>
    <hyperlink ref="U154" r:id="rId596" xr:uid="{00000000-0004-0000-0400-000053020000}"/>
    <hyperlink ref="V154" r:id="rId597" xr:uid="{00000000-0004-0000-0400-000054020000}"/>
    <hyperlink ref="S155" r:id="rId598" xr:uid="{00000000-0004-0000-0400-000055020000}"/>
    <hyperlink ref="T155" r:id="rId599" xr:uid="{00000000-0004-0000-0400-000056020000}"/>
    <hyperlink ref="U155" r:id="rId600" xr:uid="{00000000-0004-0000-0400-000057020000}"/>
    <hyperlink ref="V155" r:id="rId601" xr:uid="{00000000-0004-0000-0400-000058020000}"/>
    <hyperlink ref="O156" r:id="rId602" xr:uid="{00000000-0004-0000-0400-000059020000}"/>
    <hyperlink ref="P156" r:id="rId603" xr:uid="{00000000-0004-0000-0400-00005A020000}"/>
    <hyperlink ref="Q156" r:id="rId604" xr:uid="{00000000-0004-0000-0400-00005B020000}"/>
    <hyperlink ref="S156" r:id="rId605" xr:uid="{00000000-0004-0000-0400-00005C020000}"/>
    <hyperlink ref="T156" r:id="rId606" xr:uid="{00000000-0004-0000-0400-00005D020000}"/>
    <hyperlink ref="U156" r:id="rId607" xr:uid="{00000000-0004-0000-0400-00005E020000}"/>
    <hyperlink ref="V156" r:id="rId608" xr:uid="{00000000-0004-0000-0400-00005F020000}"/>
    <hyperlink ref="O157" r:id="rId609" xr:uid="{00000000-0004-0000-0400-000060020000}"/>
    <hyperlink ref="P157" r:id="rId610" xr:uid="{00000000-0004-0000-0400-000061020000}"/>
    <hyperlink ref="Q157" r:id="rId611" xr:uid="{00000000-0004-0000-0400-000062020000}"/>
    <hyperlink ref="S157" r:id="rId612" xr:uid="{00000000-0004-0000-0400-000063020000}"/>
    <hyperlink ref="T157" r:id="rId613" xr:uid="{00000000-0004-0000-0400-000064020000}"/>
    <hyperlink ref="U157" r:id="rId614" xr:uid="{00000000-0004-0000-0400-000065020000}"/>
    <hyperlink ref="V157" r:id="rId615" xr:uid="{00000000-0004-0000-0400-000066020000}"/>
    <hyperlink ref="O158" r:id="rId616" xr:uid="{00000000-0004-0000-0400-000067020000}"/>
    <hyperlink ref="P158" r:id="rId617" xr:uid="{00000000-0004-0000-0400-000068020000}"/>
    <hyperlink ref="Q158" r:id="rId618" xr:uid="{00000000-0004-0000-0400-000069020000}"/>
    <hyperlink ref="S158" r:id="rId619" xr:uid="{00000000-0004-0000-0400-00006A020000}"/>
    <hyperlink ref="T158" r:id="rId620" xr:uid="{00000000-0004-0000-0400-00006B020000}"/>
    <hyperlink ref="U158" r:id="rId621" xr:uid="{00000000-0004-0000-0400-00006C020000}"/>
    <hyperlink ref="V158" r:id="rId622" xr:uid="{00000000-0004-0000-0400-00006D020000}"/>
    <hyperlink ref="O159" r:id="rId623" xr:uid="{00000000-0004-0000-0400-00006E020000}"/>
    <hyperlink ref="P159" r:id="rId624" xr:uid="{00000000-0004-0000-0400-00006F020000}"/>
    <hyperlink ref="Q159" r:id="rId625" xr:uid="{00000000-0004-0000-0400-000070020000}"/>
    <hyperlink ref="S159" r:id="rId626" xr:uid="{00000000-0004-0000-0400-000071020000}"/>
    <hyperlink ref="T159" r:id="rId627" xr:uid="{00000000-0004-0000-0400-000072020000}"/>
    <hyperlink ref="U159" r:id="rId628" xr:uid="{00000000-0004-0000-0400-000073020000}"/>
    <hyperlink ref="V159" r:id="rId629" xr:uid="{00000000-0004-0000-0400-000074020000}"/>
    <hyperlink ref="O160" r:id="rId630" xr:uid="{00000000-0004-0000-0400-000075020000}"/>
    <hyperlink ref="P160" r:id="rId631" xr:uid="{00000000-0004-0000-0400-000076020000}"/>
    <hyperlink ref="Q160" r:id="rId632" xr:uid="{00000000-0004-0000-0400-000077020000}"/>
    <hyperlink ref="S160" r:id="rId633" xr:uid="{00000000-0004-0000-0400-000078020000}"/>
    <hyperlink ref="T160" r:id="rId634" xr:uid="{00000000-0004-0000-0400-000079020000}"/>
    <hyperlink ref="U160" r:id="rId635" xr:uid="{00000000-0004-0000-0400-00007A020000}"/>
    <hyperlink ref="O161" r:id="rId636" xr:uid="{00000000-0004-0000-0400-00007B020000}"/>
    <hyperlink ref="P161" r:id="rId637" xr:uid="{00000000-0004-0000-0400-00007C020000}"/>
    <hyperlink ref="Q161" r:id="rId638" xr:uid="{00000000-0004-0000-0400-00007D020000}"/>
    <hyperlink ref="S161" r:id="rId639" xr:uid="{00000000-0004-0000-0400-00007E020000}"/>
    <hyperlink ref="T161" r:id="rId640" xr:uid="{00000000-0004-0000-0400-00007F020000}"/>
    <hyperlink ref="U161" r:id="rId641" xr:uid="{00000000-0004-0000-0400-000080020000}"/>
    <hyperlink ref="O162" r:id="rId642" xr:uid="{00000000-0004-0000-0400-000081020000}"/>
    <hyperlink ref="P162" r:id="rId643" xr:uid="{00000000-0004-0000-0400-000082020000}"/>
    <hyperlink ref="Q162" r:id="rId644" xr:uid="{00000000-0004-0000-0400-000083020000}"/>
    <hyperlink ref="S162" r:id="rId645" xr:uid="{00000000-0004-0000-0400-000084020000}"/>
    <hyperlink ref="T162" r:id="rId646" xr:uid="{00000000-0004-0000-0400-000085020000}"/>
    <hyperlink ref="U162" r:id="rId647" xr:uid="{00000000-0004-0000-0400-000086020000}"/>
    <hyperlink ref="O163" r:id="rId648" xr:uid="{00000000-0004-0000-0400-000087020000}"/>
    <hyperlink ref="P163" r:id="rId649" xr:uid="{00000000-0004-0000-0400-000088020000}"/>
    <hyperlink ref="Q163" r:id="rId650" xr:uid="{00000000-0004-0000-0400-000089020000}"/>
    <hyperlink ref="S163" r:id="rId651" xr:uid="{00000000-0004-0000-0400-00008A020000}"/>
    <hyperlink ref="T163" r:id="rId652" xr:uid="{00000000-0004-0000-0400-00008B020000}"/>
    <hyperlink ref="U163" r:id="rId653" xr:uid="{00000000-0004-0000-0400-00008C020000}"/>
    <hyperlink ref="O164" r:id="rId654" xr:uid="{00000000-0004-0000-0400-00008D020000}"/>
    <hyperlink ref="P164" r:id="rId655" xr:uid="{00000000-0004-0000-0400-00008E020000}"/>
    <hyperlink ref="Q164" r:id="rId656" xr:uid="{00000000-0004-0000-0400-00008F020000}"/>
    <hyperlink ref="S164" r:id="rId657" xr:uid="{00000000-0004-0000-0400-000090020000}"/>
    <hyperlink ref="T164" r:id="rId658" xr:uid="{00000000-0004-0000-0400-000091020000}"/>
    <hyperlink ref="U164" r:id="rId659" xr:uid="{00000000-0004-0000-0400-000092020000}"/>
    <hyperlink ref="V164" r:id="rId660" xr:uid="{00000000-0004-0000-0400-000093020000}"/>
    <hyperlink ref="O165" r:id="rId661" xr:uid="{00000000-0004-0000-0400-000094020000}"/>
    <hyperlink ref="P165" r:id="rId662" xr:uid="{00000000-0004-0000-0400-000095020000}"/>
    <hyperlink ref="Q165" r:id="rId663" xr:uid="{00000000-0004-0000-0400-000096020000}"/>
    <hyperlink ref="S165" r:id="rId664" xr:uid="{00000000-0004-0000-0400-000097020000}"/>
    <hyperlink ref="T165" r:id="rId665" xr:uid="{00000000-0004-0000-0400-000098020000}"/>
    <hyperlink ref="U165" r:id="rId666" xr:uid="{00000000-0004-0000-0400-000099020000}"/>
    <hyperlink ref="V165" r:id="rId667" xr:uid="{00000000-0004-0000-0400-00009A020000}"/>
    <hyperlink ref="O166" r:id="rId668" xr:uid="{00000000-0004-0000-0400-00009B020000}"/>
    <hyperlink ref="P166" r:id="rId669" xr:uid="{00000000-0004-0000-0400-00009C020000}"/>
    <hyperlink ref="Q166" r:id="rId670" xr:uid="{00000000-0004-0000-0400-00009D020000}"/>
    <hyperlink ref="S166" r:id="rId671" xr:uid="{00000000-0004-0000-0400-00009E020000}"/>
    <hyperlink ref="T166" r:id="rId672" xr:uid="{00000000-0004-0000-0400-00009F020000}"/>
    <hyperlink ref="U166" r:id="rId673" xr:uid="{00000000-0004-0000-0400-0000A0020000}"/>
    <hyperlink ref="V166" r:id="rId674" xr:uid="{00000000-0004-0000-0400-0000A1020000}"/>
    <hyperlink ref="O167" r:id="rId675" xr:uid="{00000000-0004-0000-0400-0000A2020000}"/>
    <hyperlink ref="P167" r:id="rId676" xr:uid="{00000000-0004-0000-0400-0000A3020000}"/>
    <hyperlink ref="Q167" r:id="rId677" xr:uid="{00000000-0004-0000-0400-0000A4020000}"/>
    <hyperlink ref="S167" r:id="rId678" xr:uid="{00000000-0004-0000-0400-0000A5020000}"/>
    <hyperlink ref="T167" r:id="rId679" xr:uid="{00000000-0004-0000-0400-0000A6020000}"/>
    <hyperlink ref="U167" r:id="rId680" xr:uid="{00000000-0004-0000-0400-0000A7020000}"/>
    <hyperlink ref="V167" r:id="rId681" xr:uid="{00000000-0004-0000-0400-0000A8020000}"/>
    <hyperlink ref="O168" r:id="rId682" xr:uid="{00000000-0004-0000-0400-0000A9020000}"/>
    <hyperlink ref="P168" r:id="rId683" xr:uid="{00000000-0004-0000-0400-0000AA020000}"/>
    <hyperlink ref="Q168" r:id="rId684" xr:uid="{00000000-0004-0000-0400-0000AB020000}"/>
    <hyperlink ref="S168" r:id="rId685" xr:uid="{00000000-0004-0000-0400-0000AC020000}"/>
    <hyperlink ref="T168" r:id="rId686" xr:uid="{00000000-0004-0000-0400-0000AD020000}"/>
    <hyperlink ref="U168" r:id="rId687" xr:uid="{00000000-0004-0000-0400-0000AE020000}"/>
    <hyperlink ref="V168" r:id="rId688" xr:uid="{00000000-0004-0000-0400-0000AF020000}"/>
    <hyperlink ref="O169" r:id="rId689" xr:uid="{00000000-0004-0000-0400-0000B0020000}"/>
    <hyperlink ref="P169" r:id="rId690" xr:uid="{00000000-0004-0000-0400-0000B1020000}"/>
    <hyperlink ref="Q169" r:id="rId691" xr:uid="{00000000-0004-0000-0400-0000B2020000}"/>
    <hyperlink ref="S169" r:id="rId692" xr:uid="{00000000-0004-0000-0400-0000B3020000}"/>
    <hyperlink ref="T169" r:id="rId693" xr:uid="{00000000-0004-0000-0400-0000B4020000}"/>
    <hyperlink ref="U169" r:id="rId694" xr:uid="{00000000-0004-0000-0400-0000B5020000}"/>
    <hyperlink ref="V169" r:id="rId695" xr:uid="{00000000-0004-0000-0400-0000B6020000}"/>
    <hyperlink ref="O170" r:id="rId696" xr:uid="{00000000-0004-0000-0400-0000B7020000}"/>
    <hyperlink ref="P170" r:id="rId697" xr:uid="{00000000-0004-0000-0400-0000B8020000}"/>
    <hyperlink ref="Q170" r:id="rId698" xr:uid="{00000000-0004-0000-0400-0000B9020000}"/>
    <hyperlink ref="S170" r:id="rId699" xr:uid="{00000000-0004-0000-0400-0000BA020000}"/>
    <hyperlink ref="T170" r:id="rId700" xr:uid="{00000000-0004-0000-0400-0000BB020000}"/>
    <hyperlink ref="U170" r:id="rId701" xr:uid="{00000000-0004-0000-0400-0000BC020000}"/>
    <hyperlink ref="V170" r:id="rId702" xr:uid="{00000000-0004-0000-0400-0000BD020000}"/>
    <hyperlink ref="O171" r:id="rId703" xr:uid="{00000000-0004-0000-0400-0000BE020000}"/>
    <hyperlink ref="P171" r:id="rId704" xr:uid="{00000000-0004-0000-0400-0000BF020000}"/>
    <hyperlink ref="Q171" r:id="rId705" xr:uid="{00000000-0004-0000-0400-0000C0020000}"/>
    <hyperlink ref="S171" r:id="rId706" xr:uid="{00000000-0004-0000-0400-0000C1020000}"/>
    <hyperlink ref="T171" r:id="rId707" xr:uid="{00000000-0004-0000-0400-0000C2020000}"/>
    <hyperlink ref="U171" r:id="rId708" xr:uid="{00000000-0004-0000-0400-0000C3020000}"/>
    <hyperlink ref="V171" r:id="rId709" xr:uid="{00000000-0004-0000-0400-0000C4020000}"/>
    <hyperlink ref="O172" r:id="rId710" xr:uid="{00000000-0004-0000-0400-0000C5020000}"/>
    <hyperlink ref="P172" r:id="rId711" xr:uid="{00000000-0004-0000-0400-0000C6020000}"/>
    <hyperlink ref="Q172" r:id="rId712" xr:uid="{00000000-0004-0000-0400-0000C7020000}"/>
    <hyperlink ref="S172" r:id="rId713" xr:uid="{00000000-0004-0000-0400-0000C8020000}"/>
    <hyperlink ref="T172" r:id="rId714" xr:uid="{00000000-0004-0000-0400-0000C9020000}"/>
    <hyperlink ref="U172" r:id="rId715" xr:uid="{00000000-0004-0000-0400-0000CA020000}"/>
    <hyperlink ref="V172" r:id="rId716" xr:uid="{00000000-0004-0000-0400-0000CB020000}"/>
    <hyperlink ref="O173" r:id="rId717" xr:uid="{00000000-0004-0000-0400-0000CC020000}"/>
    <hyperlink ref="P173" r:id="rId718" xr:uid="{00000000-0004-0000-0400-0000CD020000}"/>
    <hyperlink ref="Q173" r:id="rId719" xr:uid="{00000000-0004-0000-0400-0000CE020000}"/>
    <hyperlink ref="S173" r:id="rId720" xr:uid="{00000000-0004-0000-0400-0000CF020000}"/>
    <hyperlink ref="T173" r:id="rId721" xr:uid="{00000000-0004-0000-0400-0000D0020000}"/>
    <hyperlink ref="U173" r:id="rId722" xr:uid="{00000000-0004-0000-0400-0000D1020000}"/>
    <hyperlink ref="V173" r:id="rId723" xr:uid="{00000000-0004-0000-0400-0000D2020000}"/>
    <hyperlink ref="O174" r:id="rId724" xr:uid="{00000000-0004-0000-0400-0000D3020000}"/>
    <hyperlink ref="P174" r:id="rId725" xr:uid="{00000000-0004-0000-0400-0000D4020000}"/>
    <hyperlink ref="Q174" r:id="rId726" xr:uid="{00000000-0004-0000-0400-0000D5020000}"/>
    <hyperlink ref="S174" r:id="rId727" xr:uid="{00000000-0004-0000-0400-0000D6020000}"/>
    <hyperlink ref="T174" r:id="rId728" xr:uid="{00000000-0004-0000-0400-0000D7020000}"/>
    <hyperlink ref="U174" r:id="rId729" xr:uid="{00000000-0004-0000-0400-0000D8020000}"/>
    <hyperlink ref="V174" r:id="rId730" xr:uid="{00000000-0004-0000-0400-0000D9020000}"/>
    <hyperlink ref="O175" r:id="rId731" xr:uid="{00000000-0004-0000-0400-0000DA020000}"/>
    <hyperlink ref="P175" r:id="rId732" xr:uid="{00000000-0004-0000-0400-0000DB020000}"/>
    <hyperlink ref="Q175" r:id="rId733" xr:uid="{00000000-0004-0000-0400-0000DC020000}"/>
    <hyperlink ref="S175" r:id="rId734" xr:uid="{00000000-0004-0000-0400-0000DD020000}"/>
    <hyperlink ref="T175" r:id="rId735" xr:uid="{00000000-0004-0000-0400-0000DE020000}"/>
    <hyperlink ref="U175" r:id="rId736" xr:uid="{00000000-0004-0000-0400-0000DF020000}"/>
    <hyperlink ref="O176" r:id="rId737" xr:uid="{00000000-0004-0000-0400-0000E0020000}"/>
    <hyperlink ref="P176" r:id="rId738" xr:uid="{00000000-0004-0000-0400-0000E1020000}"/>
    <hyperlink ref="Q176" r:id="rId739" xr:uid="{00000000-0004-0000-0400-0000E2020000}"/>
    <hyperlink ref="S176" r:id="rId740" xr:uid="{00000000-0004-0000-0400-0000E3020000}"/>
    <hyperlink ref="T176" r:id="rId741" xr:uid="{00000000-0004-0000-0400-0000E4020000}"/>
    <hyperlink ref="U176" r:id="rId742" xr:uid="{00000000-0004-0000-0400-0000E5020000}"/>
    <hyperlink ref="V176" r:id="rId743" xr:uid="{00000000-0004-0000-0400-0000E6020000}"/>
    <hyperlink ref="O177" r:id="rId744" xr:uid="{00000000-0004-0000-0400-0000E7020000}"/>
    <hyperlink ref="P177" r:id="rId745" xr:uid="{00000000-0004-0000-0400-0000E8020000}"/>
    <hyperlink ref="Q177" r:id="rId746" xr:uid="{00000000-0004-0000-0400-0000E9020000}"/>
    <hyperlink ref="S177" r:id="rId747" xr:uid="{00000000-0004-0000-0400-0000EA020000}"/>
    <hyperlink ref="T177" r:id="rId748" xr:uid="{00000000-0004-0000-0400-0000EB020000}"/>
    <hyperlink ref="U177" r:id="rId749" xr:uid="{00000000-0004-0000-0400-0000EC020000}"/>
    <hyperlink ref="V177" r:id="rId750" xr:uid="{00000000-0004-0000-0400-0000ED020000}"/>
    <hyperlink ref="O178" r:id="rId751" xr:uid="{00000000-0004-0000-0400-0000EE020000}"/>
    <hyperlink ref="P178" r:id="rId752" xr:uid="{00000000-0004-0000-0400-0000EF020000}"/>
    <hyperlink ref="Q178" r:id="rId753" xr:uid="{00000000-0004-0000-0400-0000F0020000}"/>
    <hyperlink ref="S178" r:id="rId754" xr:uid="{00000000-0004-0000-0400-0000F1020000}"/>
    <hyperlink ref="T178" r:id="rId755" xr:uid="{00000000-0004-0000-0400-0000F2020000}"/>
    <hyperlink ref="U178" r:id="rId756" xr:uid="{00000000-0004-0000-0400-0000F3020000}"/>
    <hyperlink ref="V178" r:id="rId757" xr:uid="{00000000-0004-0000-0400-0000F4020000}"/>
    <hyperlink ref="O179" r:id="rId758" xr:uid="{00000000-0004-0000-0400-0000F5020000}"/>
    <hyperlink ref="P179" r:id="rId759" xr:uid="{00000000-0004-0000-0400-0000F6020000}"/>
    <hyperlink ref="Q179" r:id="rId760" xr:uid="{00000000-0004-0000-0400-0000F7020000}"/>
    <hyperlink ref="S179" r:id="rId761" xr:uid="{00000000-0004-0000-0400-0000F8020000}"/>
    <hyperlink ref="T179" r:id="rId762" xr:uid="{00000000-0004-0000-0400-0000F9020000}"/>
    <hyperlink ref="U179" r:id="rId763" xr:uid="{00000000-0004-0000-0400-0000FA020000}"/>
    <hyperlink ref="V179" r:id="rId764" xr:uid="{00000000-0004-0000-0400-0000FB020000}"/>
    <hyperlink ref="O180" r:id="rId765" xr:uid="{00000000-0004-0000-0400-0000FC020000}"/>
    <hyperlink ref="P180" r:id="rId766" xr:uid="{00000000-0004-0000-0400-0000FD020000}"/>
    <hyperlink ref="Q180" r:id="rId767" xr:uid="{00000000-0004-0000-0400-0000FE020000}"/>
    <hyperlink ref="S180" r:id="rId768" xr:uid="{00000000-0004-0000-0400-0000FF020000}"/>
    <hyperlink ref="T180" r:id="rId769" xr:uid="{00000000-0004-0000-0400-000000030000}"/>
    <hyperlink ref="U180" r:id="rId770" xr:uid="{00000000-0004-0000-0400-000001030000}"/>
    <hyperlink ref="V180" r:id="rId771" xr:uid="{00000000-0004-0000-0400-000002030000}"/>
    <hyperlink ref="O181" r:id="rId772" xr:uid="{00000000-0004-0000-0400-000003030000}"/>
    <hyperlink ref="P181" r:id="rId773" xr:uid="{00000000-0004-0000-0400-000004030000}"/>
    <hyperlink ref="Q181" r:id="rId774" xr:uid="{00000000-0004-0000-0400-000005030000}"/>
    <hyperlink ref="S181" r:id="rId775" xr:uid="{00000000-0004-0000-0400-000006030000}"/>
    <hyperlink ref="T181" r:id="rId776" xr:uid="{00000000-0004-0000-0400-000007030000}"/>
    <hyperlink ref="U181" r:id="rId777" xr:uid="{00000000-0004-0000-0400-000008030000}"/>
    <hyperlink ref="V181" r:id="rId778" xr:uid="{00000000-0004-0000-0400-000009030000}"/>
    <hyperlink ref="S182" r:id="rId779" xr:uid="{00000000-0004-0000-0400-00000A030000}"/>
    <hyperlink ref="T182" r:id="rId780" xr:uid="{00000000-0004-0000-0400-00000B030000}"/>
    <hyperlink ref="U182" r:id="rId781" xr:uid="{00000000-0004-0000-0400-00000C030000}"/>
    <hyperlink ref="V182" r:id="rId782" xr:uid="{00000000-0004-0000-0400-00000D030000}"/>
    <hyperlink ref="O183" r:id="rId783" xr:uid="{00000000-0004-0000-0400-00000E030000}"/>
    <hyperlink ref="P183" r:id="rId784" xr:uid="{00000000-0004-0000-0400-00000F030000}"/>
    <hyperlink ref="Q183" r:id="rId785" xr:uid="{00000000-0004-0000-0400-000010030000}"/>
    <hyperlink ref="S183" r:id="rId786" xr:uid="{00000000-0004-0000-0400-000011030000}"/>
    <hyperlink ref="T183" r:id="rId787" xr:uid="{00000000-0004-0000-0400-000012030000}"/>
    <hyperlink ref="U183" r:id="rId788" xr:uid="{00000000-0004-0000-0400-000013030000}"/>
    <hyperlink ref="V183" r:id="rId789" xr:uid="{00000000-0004-0000-0400-000014030000}"/>
    <hyperlink ref="O184" r:id="rId790" xr:uid="{00000000-0004-0000-0400-000015030000}"/>
    <hyperlink ref="P184" r:id="rId791" xr:uid="{00000000-0004-0000-0400-000016030000}"/>
    <hyperlink ref="Q184" r:id="rId792" xr:uid="{00000000-0004-0000-0400-000017030000}"/>
    <hyperlink ref="S184" r:id="rId793" xr:uid="{00000000-0004-0000-0400-000018030000}"/>
    <hyperlink ref="T184" r:id="rId794" xr:uid="{00000000-0004-0000-0400-000019030000}"/>
    <hyperlink ref="U184" r:id="rId795" xr:uid="{00000000-0004-0000-0400-00001A030000}"/>
    <hyperlink ref="V184" r:id="rId796" xr:uid="{00000000-0004-0000-0400-00001B030000}"/>
    <hyperlink ref="O185" r:id="rId797" xr:uid="{00000000-0004-0000-0400-00001C030000}"/>
    <hyperlink ref="P185" r:id="rId798" xr:uid="{00000000-0004-0000-0400-00001D030000}"/>
    <hyperlink ref="Q185" r:id="rId799" xr:uid="{00000000-0004-0000-0400-00001E030000}"/>
    <hyperlink ref="S185" r:id="rId800" xr:uid="{00000000-0004-0000-0400-00001F030000}"/>
    <hyperlink ref="T185" r:id="rId801" xr:uid="{00000000-0004-0000-0400-000020030000}"/>
    <hyperlink ref="U185" r:id="rId802" xr:uid="{00000000-0004-0000-0400-000021030000}"/>
    <hyperlink ref="O186" r:id="rId803" xr:uid="{00000000-0004-0000-0400-000022030000}"/>
    <hyperlink ref="P186" r:id="rId804" xr:uid="{00000000-0004-0000-0400-000023030000}"/>
    <hyperlink ref="Q186" r:id="rId805" xr:uid="{00000000-0004-0000-0400-000024030000}"/>
    <hyperlink ref="S186" r:id="rId806" xr:uid="{00000000-0004-0000-0400-000025030000}"/>
    <hyperlink ref="T186" r:id="rId807" xr:uid="{00000000-0004-0000-0400-000026030000}"/>
    <hyperlink ref="U186" r:id="rId808" xr:uid="{00000000-0004-0000-0400-000027030000}"/>
    <hyperlink ref="V186" r:id="rId809" xr:uid="{00000000-0004-0000-0400-000028030000}"/>
    <hyperlink ref="O187" r:id="rId810" xr:uid="{00000000-0004-0000-0400-000029030000}"/>
    <hyperlink ref="P187" r:id="rId811" xr:uid="{00000000-0004-0000-0400-00002A030000}"/>
    <hyperlink ref="Q187" r:id="rId812" xr:uid="{00000000-0004-0000-0400-00002B030000}"/>
    <hyperlink ref="S187" r:id="rId813" xr:uid="{00000000-0004-0000-0400-00002C030000}"/>
    <hyperlink ref="T187" r:id="rId814" xr:uid="{00000000-0004-0000-0400-00002D030000}"/>
    <hyperlink ref="U187" r:id="rId815" xr:uid="{00000000-0004-0000-0400-00002E030000}"/>
    <hyperlink ref="O188" r:id="rId816" xr:uid="{00000000-0004-0000-0400-00002F030000}"/>
    <hyperlink ref="P188" r:id="rId817" xr:uid="{00000000-0004-0000-0400-000030030000}"/>
    <hyperlink ref="Q188" r:id="rId818" xr:uid="{00000000-0004-0000-0400-000031030000}"/>
    <hyperlink ref="S188" r:id="rId819" xr:uid="{00000000-0004-0000-0400-000032030000}"/>
    <hyperlink ref="T188" r:id="rId820" xr:uid="{00000000-0004-0000-0400-000033030000}"/>
    <hyperlink ref="U188" r:id="rId821" xr:uid="{00000000-0004-0000-0400-000034030000}"/>
    <hyperlink ref="V188" r:id="rId822" xr:uid="{00000000-0004-0000-0400-000035030000}"/>
    <hyperlink ref="O189" r:id="rId823" xr:uid="{00000000-0004-0000-0400-000036030000}"/>
    <hyperlink ref="P189" r:id="rId824" xr:uid="{00000000-0004-0000-0400-000037030000}"/>
    <hyperlink ref="Q189" r:id="rId825" xr:uid="{00000000-0004-0000-0400-000038030000}"/>
    <hyperlink ref="S189" r:id="rId826" xr:uid="{00000000-0004-0000-0400-000039030000}"/>
    <hyperlink ref="T189" r:id="rId827" xr:uid="{00000000-0004-0000-0400-00003A030000}"/>
    <hyperlink ref="U189" r:id="rId828" xr:uid="{00000000-0004-0000-0400-00003B030000}"/>
    <hyperlink ref="V189" r:id="rId829" xr:uid="{00000000-0004-0000-0400-00003C030000}"/>
    <hyperlink ref="O190" r:id="rId830" xr:uid="{00000000-0004-0000-0400-00003D030000}"/>
    <hyperlink ref="P190" r:id="rId831" xr:uid="{00000000-0004-0000-0400-00003E030000}"/>
    <hyperlink ref="Q190" r:id="rId832" xr:uid="{00000000-0004-0000-0400-00003F030000}"/>
    <hyperlink ref="S190" r:id="rId833" xr:uid="{00000000-0004-0000-0400-000040030000}"/>
    <hyperlink ref="T190" r:id="rId834" xr:uid="{00000000-0004-0000-0400-000041030000}"/>
    <hyperlink ref="U190" r:id="rId835" xr:uid="{00000000-0004-0000-0400-000042030000}"/>
    <hyperlink ref="V190" r:id="rId836" xr:uid="{00000000-0004-0000-0400-000043030000}"/>
    <hyperlink ref="O191" r:id="rId837" xr:uid="{00000000-0004-0000-0400-000044030000}"/>
    <hyperlink ref="P191" r:id="rId838" xr:uid="{00000000-0004-0000-0400-000045030000}"/>
    <hyperlink ref="Q191" r:id="rId839" xr:uid="{00000000-0004-0000-0400-000046030000}"/>
    <hyperlink ref="S191" r:id="rId840" xr:uid="{00000000-0004-0000-0400-000047030000}"/>
    <hyperlink ref="T191" r:id="rId841" xr:uid="{00000000-0004-0000-0400-000048030000}"/>
    <hyperlink ref="U191" r:id="rId842" xr:uid="{00000000-0004-0000-0400-000049030000}"/>
    <hyperlink ref="V191" r:id="rId843" xr:uid="{00000000-0004-0000-0400-00004A030000}"/>
    <hyperlink ref="O192" r:id="rId844" xr:uid="{00000000-0004-0000-0400-00004B030000}"/>
    <hyperlink ref="P192" r:id="rId845" xr:uid="{00000000-0004-0000-0400-00004C030000}"/>
    <hyperlink ref="Q192" r:id="rId846" xr:uid="{00000000-0004-0000-0400-00004D030000}"/>
    <hyperlink ref="S192" r:id="rId847" xr:uid="{00000000-0004-0000-0400-00004E030000}"/>
    <hyperlink ref="T192" r:id="rId848" xr:uid="{00000000-0004-0000-0400-00004F030000}"/>
    <hyperlink ref="U192" r:id="rId849" xr:uid="{00000000-0004-0000-0400-000050030000}"/>
    <hyperlink ref="V192" r:id="rId850" xr:uid="{00000000-0004-0000-0400-000051030000}"/>
    <hyperlink ref="O193" r:id="rId851" xr:uid="{00000000-0004-0000-0400-000052030000}"/>
    <hyperlink ref="P193" r:id="rId852" xr:uid="{00000000-0004-0000-0400-000053030000}"/>
    <hyperlink ref="Q193" r:id="rId853" xr:uid="{00000000-0004-0000-0400-000054030000}"/>
    <hyperlink ref="S193" r:id="rId854" xr:uid="{00000000-0004-0000-0400-000055030000}"/>
    <hyperlink ref="T193" r:id="rId855" xr:uid="{00000000-0004-0000-0400-000056030000}"/>
    <hyperlink ref="U193" r:id="rId856" xr:uid="{00000000-0004-0000-0400-000057030000}"/>
    <hyperlink ref="O194" r:id="rId857" xr:uid="{00000000-0004-0000-0400-000058030000}"/>
    <hyperlink ref="P194" r:id="rId858" xr:uid="{00000000-0004-0000-0400-000059030000}"/>
    <hyperlink ref="Q194" r:id="rId859" xr:uid="{00000000-0004-0000-0400-00005A030000}"/>
    <hyperlink ref="S194" r:id="rId860" xr:uid="{00000000-0004-0000-0400-00005B030000}"/>
    <hyperlink ref="T194" r:id="rId861" xr:uid="{00000000-0004-0000-0400-00005C030000}"/>
    <hyperlink ref="U194" r:id="rId862" xr:uid="{00000000-0004-0000-0400-00005D030000}"/>
    <hyperlink ref="V194" r:id="rId863" xr:uid="{00000000-0004-0000-0400-00005E030000}"/>
    <hyperlink ref="O195" r:id="rId864" xr:uid="{00000000-0004-0000-0400-00005F030000}"/>
    <hyperlink ref="P195" r:id="rId865" xr:uid="{00000000-0004-0000-0400-000060030000}"/>
    <hyperlink ref="Q195" r:id="rId866" xr:uid="{00000000-0004-0000-0400-000061030000}"/>
    <hyperlink ref="S195" r:id="rId867" xr:uid="{00000000-0004-0000-0400-000062030000}"/>
    <hyperlink ref="T195" r:id="rId868" xr:uid="{00000000-0004-0000-0400-000063030000}"/>
    <hyperlink ref="U195" r:id="rId869" xr:uid="{00000000-0004-0000-0400-000064030000}"/>
    <hyperlink ref="V195" r:id="rId870" xr:uid="{00000000-0004-0000-0400-000065030000}"/>
    <hyperlink ref="O196" r:id="rId871" xr:uid="{00000000-0004-0000-0400-000066030000}"/>
    <hyperlink ref="P196" r:id="rId872" xr:uid="{00000000-0004-0000-0400-000067030000}"/>
    <hyperlink ref="Q196" r:id="rId873" xr:uid="{00000000-0004-0000-0400-000068030000}"/>
    <hyperlink ref="S196" r:id="rId874" xr:uid="{00000000-0004-0000-0400-000069030000}"/>
    <hyperlink ref="T196" r:id="rId875" xr:uid="{00000000-0004-0000-0400-00006A030000}"/>
    <hyperlink ref="U196" r:id="rId876" xr:uid="{00000000-0004-0000-0400-00006B030000}"/>
    <hyperlink ref="V196" r:id="rId877" xr:uid="{00000000-0004-0000-0400-00006C030000}"/>
    <hyperlink ref="O197" r:id="rId878" xr:uid="{00000000-0004-0000-0400-00006D030000}"/>
    <hyperlink ref="P197" r:id="rId879" xr:uid="{00000000-0004-0000-0400-00006E030000}"/>
    <hyperlink ref="Q197" r:id="rId880" xr:uid="{00000000-0004-0000-0400-00006F030000}"/>
    <hyperlink ref="S197" r:id="rId881" xr:uid="{00000000-0004-0000-0400-000070030000}"/>
    <hyperlink ref="T197" r:id="rId882" xr:uid="{00000000-0004-0000-0400-000071030000}"/>
    <hyperlink ref="U197" r:id="rId883" xr:uid="{00000000-0004-0000-0400-000072030000}"/>
    <hyperlink ref="V197" r:id="rId884" xr:uid="{00000000-0004-0000-0400-000073030000}"/>
    <hyperlink ref="O198" r:id="rId885" xr:uid="{00000000-0004-0000-0400-000074030000}"/>
    <hyperlink ref="P198" r:id="rId886" xr:uid="{00000000-0004-0000-0400-000075030000}"/>
    <hyperlink ref="Q198" r:id="rId887" xr:uid="{00000000-0004-0000-0400-000076030000}"/>
    <hyperlink ref="S198" r:id="rId888" xr:uid="{00000000-0004-0000-0400-000077030000}"/>
    <hyperlink ref="T198" r:id="rId889" xr:uid="{00000000-0004-0000-0400-000078030000}"/>
    <hyperlink ref="U198" r:id="rId890" xr:uid="{00000000-0004-0000-0400-000079030000}"/>
    <hyperlink ref="V198" r:id="rId891" xr:uid="{00000000-0004-0000-0400-00007A030000}"/>
    <hyperlink ref="O199" r:id="rId892" xr:uid="{00000000-0004-0000-0400-00007B030000}"/>
    <hyperlink ref="P199" r:id="rId893" xr:uid="{00000000-0004-0000-0400-00007C030000}"/>
    <hyperlink ref="Q199" r:id="rId894" xr:uid="{00000000-0004-0000-0400-00007D030000}"/>
    <hyperlink ref="S199" r:id="rId895" xr:uid="{00000000-0004-0000-0400-00007E030000}"/>
    <hyperlink ref="T199" r:id="rId896" xr:uid="{00000000-0004-0000-0400-00007F030000}"/>
    <hyperlink ref="U199" r:id="rId897" xr:uid="{00000000-0004-0000-0400-000080030000}"/>
    <hyperlink ref="V199" r:id="rId898" xr:uid="{00000000-0004-0000-0400-000081030000}"/>
    <hyperlink ref="O200" r:id="rId899" xr:uid="{00000000-0004-0000-0400-000082030000}"/>
    <hyperlink ref="P200" r:id="rId900" xr:uid="{00000000-0004-0000-0400-000083030000}"/>
    <hyperlink ref="Q200" r:id="rId901" xr:uid="{00000000-0004-0000-0400-000084030000}"/>
    <hyperlink ref="S200" r:id="rId902" xr:uid="{00000000-0004-0000-0400-000085030000}"/>
    <hyperlink ref="T200" r:id="rId903" xr:uid="{00000000-0004-0000-0400-000086030000}"/>
    <hyperlink ref="U200" r:id="rId904" xr:uid="{00000000-0004-0000-0400-000087030000}"/>
    <hyperlink ref="V200" r:id="rId905" xr:uid="{00000000-0004-0000-0400-000088030000}"/>
    <hyperlink ref="O201" r:id="rId906" xr:uid="{00000000-0004-0000-0400-000089030000}"/>
    <hyperlink ref="P201" r:id="rId907" xr:uid="{00000000-0004-0000-0400-00008A030000}"/>
    <hyperlink ref="Q201" r:id="rId908" xr:uid="{00000000-0004-0000-0400-00008B030000}"/>
    <hyperlink ref="S201" r:id="rId909" xr:uid="{00000000-0004-0000-0400-00008C030000}"/>
    <hyperlink ref="T201" r:id="rId910" xr:uid="{00000000-0004-0000-0400-00008D030000}"/>
    <hyperlink ref="U201" r:id="rId911" xr:uid="{00000000-0004-0000-0400-00008E030000}"/>
    <hyperlink ref="O202" r:id="rId912" xr:uid="{00000000-0004-0000-0400-00008F030000}"/>
    <hyperlink ref="P202" r:id="rId913" xr:uid="{00000000-0004-0000-0400-000090030000}"/>
    <hyperlink ref="Q202" r:id="rId914" xr:uid="{00000000-0004-0000-0400-000091030000}"/>
    <hyperlink ref="S202" r:id="rId915" xr:uid="{00000000-0004-0000-0400-000092030000}"/>
    <hyperlink ref="T202" r:id="rId916" xr:uid="{00000000-0004-0000-0400-000093030000}"/>
    <hyperlink ref="U202" r:id="rId917" xr:uid="{00000000-0004-0000-0400-000094030000}"/>
    <hyperlink ref="V202" r:id="rId918" xr:uid="{00000000-0004-0000-0400-000095030000}"/>
    <hyperlink ref="Q203" r:id="rId919" xr:uid="{00000000-0004-0000-0400-000096030000}"/>
    <hyperlink ref="S203" r:id="rId920" xr:uid="{00000000-0004-0000-0400-000097030000}"/>
    <hyperlink ref="T203" r:id="rId921" xr:uid="{00000000-0004-0000-0400-000098030000}"/>
    <hyperlink ref="U203" r:id="rId922" xr:uid="{00000000-0004-0000-0400-000099030000}"/>
    <hyperlink ref="V203" r:id="rId923" xr:uid="{00000000-0004-0000-0400-00009A030000}"/>
    <hyperlink ref="O204" r:id="rId924" xr:uid="{00000000-0004-0000-0400-00009B030000}"/>
    <hyperlink ref="P204" r:id="rId925" xr:uid="{00000000-0004-0000-0400-00009C030000}"/>
    <hyperlink ref="Q204" r:id="rId926" xr:uid="{00000000-0004-0000-0400-00009D030000}"/>
    <hyperlink ref="S204" r:id="rId927" xr:uid="{00000000-0004-0000-0400-00009E030000}"/>
    <hyperlink ref="T204" r:id="rId928" xr:uid="{00000000-0004-0000-0400-00009F030000}"/>
    <hyperlink ref="U204" r:id="rId929" xr:uid="{00000000-0004-0000-0400-0000A0030000}"/>
    <hyperlink ref="V204" r:id="rId930" xr:uid="{00000000-0004-0000-0400-0000A1030000}"/>
    <hyperlink ref="Q205" r:id="rId931" xr:uid="{00000000-0004-0000-0400-0000A2030000}"/>
    <hyperlink ref="S205" r:id="rId932" xr:uid="{00000000-0004-0000-0400-0000A3030000}"/>
    <hyperlink ref="T205" r:id="rId933" xr:uid="{00000000-0004-0000-0400-0000A4030000}"/>
    <hyperlink ref="U205" r:id="rId934" xr:uid="{00000000-0004-0000-0400-0000A5030000}"/>
    <hyperlink ref="V205" r:id="rId935" xr:uid="{00000000-0004-0000-0400-0000A6030000}"/>
    <hyperlink ref="O206" r:id="rId936" xr:uid="{00000000-0004-0000-0400-0000A7030000}"/>
    <hyperlink ref="P206" r:id="rId937" xr:uid="{00000000-0004-0000-0400-0000A8030000}"/>
    <hyperlink ref="Q206" r:id="rId938" xr:uid="{00000000-0004-0000-0400-0000A9030000}"/>
    <hyperlink ref="S206" r:id="rId939" xr:uid="{00000000-0004-0000-0400-0000AA030000}"/>
    <hyperlink ref="T206" r:id="rId940" xr:uid="{00000000-0004-0000-0400-0000AB030000}"/>
    <hyperlink ref="U206" r:id="rId941" xr:uid="{00000000-0004-0000-0400-0000AC030000}"/>
    <hyperlink ref="V206" r:id="rId942" xr:uid="{00000000-0004-0000-0400-0000AD030000}"/>
    <hyperlink ref="O207" r:id="rId943" xr:uid="{00000000-0004-0000-0400-0000AE030000}"/>
    <hyperlink ref="P207" r:id="rId944" xr:uid="{00000000-0004-0000-0400-0000AF030000}"/>
    <hyperlink ref="Q207" r:id="rId945" xr:uid="{00000000-0004-0000-0400-0000B0030000}"/>
    <hyperlink ref="S207" r:id="rId946" xr:uid="{00000000-0004-0000-0400-0000B1030000}"/>
    <hyperlink ref="T207" r:id="rId947" xr:uid="{00000000-0004-0000-0400-0000B2030000}"/>
    <hyperlink ref="U207" r:id="rId948" xr:uid="{00000000-0004-0000-0400-0000B3030000}"/>
    <hyperlink ref="O208" r:id="rId949" xr:uid="{00000000-0004-0000-0400-0000B4030000}"/>
    <hyperlink ref="P208" r:id="rId950" xr:uid="{00000000-0004-0000-0400-0000B5030000}"/>
    <hyperlink ref="Q208" r:id="rId951" xr:uid="{00000000-0004-0000-0400-0000B6030000}"/>
    <hyperlink ref="S208" r:id="rId952" xr:uid="{00000000-0004-0000-0400-0000B7030000}"/>
    <hyperlink ref="T208" r:id="rId953" xr:uid="{00000000-0004-0000-0400-0000B8030000}"/>
    <hyperlink ref="U208" r:id="rId954" xr:uid="{00000000-0004-0000-0400-0000B9030000}"/>
    <hyperlink ref="V208" r:id="rId955" xr:uid="{00000000-0004-0000-0400-0000BA030000}"/>
    <hyperlink ref="O209" r:id="rId956" xr:uid="{00000000-0004-0000-0400-0000BB030000}"/>
    <hyperlink ref="P209" r:id="rId957" xr:uid="{00000000-0004-0000-0400-0000BC030000}"/>
    <hyperlink ref="Q209" r:id="rId958" xr:uid="{00000000-0004-0000-0400-0000BD030000}"/>
    <hyperlink ref="S209" r:id="rId959" xr:uid="{00000000-0004-0000-0400-0000BE030000}"/>
    <hyperlink ref="T209" r:id="rId960" xr:uid="{00000000-0004-0000-0400-0000BF030000}"/>
    <hyperlink ref="U209" r:id="rId961" xr:uid="{00000000-0004-0000-0400-0000C0030000}"/>
    <hyperlink ref="V209" r:id="rId962" xr:uid="{00000000-0004-0000-0400-0000C1030000}"/>
    <hyperlink ref="O210" r:id="rId963" xr:uid="{00000000-0004-0000-0400-0000C2030000}"/>
    <hyperlink ref="P210" r:id="rId964" xr:uid="{00000000-0004-0000-0400-0000C3030000}"/>
    <hyperlink ref="Q210" r:id="rId965" xr:uid="{00000000-0004-0000-0400-0000C4030000}"/>
    <hyperlink ref="S210" r:id="rId966" xr:uid="{00000000-0004-0000-0400-0000C5030000}"/>
    <hyperlink ref="T210" r:id="rId967" xr:uid="{00000000-0004-0000-0400-0000C6030000}"/>
    <hyperlink ref="U210" r:id="rId968" xr:uid="{00000000-0004-0000-0400-0000C7030000}"/>
    <hyperlink ref="V210" r:id="rId969" xr:uid="{00000000-0004-0000-0400-0000C8030000}"/>
    <hyperlink ref="O211" r:id="rId970" xr:uid="{00000000-0004-0000-0400-0000C9030000}"/>
    <hyperlink ref="P211" r:id="rId971" xr:uid="{00000000-0004-0000-0400-0000CA030000}"/>
    <hyperlink ref="Q211" r:id="rId972" xr:uid="{00000000-0004-0000-0400-0000CB030000}"/>
    <hyperlink ref="S211" r:id="rId973" xr:uid="{00000000-0004-0000-0400-0000CC030000}"/>
    <hyperlink ref="T211" r:id="rId974" xr:uid="{00000000-0004-0000-0400-0000CD030000}"/>
    <hyperlink ref="U211" r:id="rId975" xr:uid="{00000000-0004-0000-0400-0000CE030000}"/>
    <hyperlink ref="V211" r:id="rId976" xr:uid="{00000000-0004-0000-0400-0000CF030000}"/>
    <hyperlink ref="O212" r:id="rId977" xr:uid="{00000000-0004-0000-0400-0000D0030000}"/>
    <hyperlink ref="P212" r:id="rId978" xr:uid="{00000000-0004-0000-0400-0000D1030000}"/>
    <hyperlink ref="Q212" r:id="rId979" xr:uid="{00000000-0004-0000-0400-0000D2030000}"/>
    <hyperlink ref="S212" r:id="rId980" xr:uid="{00000000-0004-0000-0400-0000D3030000}"/>
    <hyperlink ref="T212" r:id="rId981" xr:uid="{00000000-0004-0000-0400-0000D4030000}"/>
    <hyperlink ref="U212" r:id="rId982" xr:uid="{00000000-0004-0000-0400-0000D5030000}"/>
    <hyperlink ref="V212" r:id="rId983" xr:uid="{00000000-0004-0000-0400-0000D6030000}"/>
    <hyperlink ref="O213" r:id="rId984" xr:uid="{00000000-0004-0000-0400-0000D7030000}"/>
    <hyperlink ref="P213" r:id="rId985" xr:uid="{00000000-0004-0000-0400-0000D8030000}"/>
    <hyperlink ref="Q213" r:id="rId986" xr:uid="{00000000-0004-0000-0400-0000D9030000}"/>
    <hyperlink ref="S213" r:id="rId987" xr:uid="{00000000-0004-0000-0400-0000DA030000}"/>
    <hyperlink ref="T213" r:id="rId988" xr:uid="{00000000-0004-0000-0400-0000DB030000}"/>
    <hyperlink ref="U213" r:id="rId989" xr:uid="{00000000-0004-0000-0400-0000DC030000}"/>
    <hyperlink ref="V213" r:id="rId990" xr:uid="{00000000-0004-0000-0400-0000DD030000}"/>
    <hyperlink ref="O214" r:id="rId991" xr:uid="{00000000-0004-0000-0400-0000DE030000}"/>
    <hyperlink ref="P214" r:id="rId992" xr:uid="{00000000-0004-0000-0400-0000DF030000}"/>
    <hyperlink ref="Q214" r:id="rId993" xr:uid="{00000000-0004-0000-0400-0000E0030000}"/>
    <hyperlink ref="S214" r:id="rId994" xr:uid="{00000000-0004-0000-0400-0000E1030000}"/>
    <hyperlink ref="T214" r:id="rId995" xr:uid="{00000000-0004-0000-0400-0000E2030000}"/>
    <hyperlink ref="U214" r:id="rId996" xr:uid="{00000000-0004-0000-0400-0000E3030000}"/>
    <hyperlink ref="V214" r:id="rId997" xr:uid="{00000000-0004-0000-0400-0000E4030000}"/>
    <hyperlink ref="O215" r:id="rId998" xr:uid="{00000000-0004-0000-0400-0000E5030000}"/>
    <hyperlink ref="P215" r:id="rId999" xr:uid="{00000000-0004-0000-0400-0000E6030000}"/>
    <hyperlink ref="Q215" r:id="rId1000" xr:uid="{00000000-0004-0000-0400-0000E7030000}"/>
    <hyperlink ref="S215" r:id="rId1001" xr:uid="{00000000-0004-0000-0400-0000E8030000}"/>
    <hyperlink ref="T215" r:id="rId1002" xr:uid="{00000000-0004-0000-0400-0000E9030000}"/>
    <hyperlink ref="U215" r:id="rId1003" xr:uid="{00000000-0004-0000-0400-0000EA030000}"/>
    <hyperlink ref="V215" r:id="rId1004" xr:uid="{00000000-0004-0000-0400-0000EB030000}"/>
    <hyperlink ref="O216" r:id="rId1005" xr:uid="{00000000-0004-0000-0400-0000EC030000}"/>
    <hyperlink ref="P216" r:id="rId1006" xr:uid="{00000000-0004-0000-0400-0000ED030000}"/>
    <hyperlink ref="Q216" r:id="rId1007" xr:uid="{00000000-0004-0000-0400-0000EE030000}"/>
    <hyperlink ref="S216" r:id="rId1008" xr:uid="{00000000-0004-0000-0400-0000EF030000}"/>
    <hyperlink ref="T216" r:id="rId1009" xr:uid="{00000000-0004-0000-0400-0000F0030000}"/>
    <hyperlink ref="U216" r:id="rId1010" xr:uid="{00000000-0004-0000-0400-0000F1030000}"/>
    <hyperlink ref="V216" r:id="rId1011" xr:uid="{00000000-0004-0000-0400-0000F2030000}"/>
    <hyperlink ref="O217" r:id="rId1012" xr:uid="{00000000-0004-0000-0400-0000F3030000}"/>
    <hyperlink ref="P217" r:id="rId1013" xr:uid="{00000000-0004-0000-0400-0000F4030000}"/>
    <hyperlink ref="Q217" r:id="rId1014" xr:uid="{00000000-0004-0000-0400-0000F5030000}"/>
    <hyperlink ref="S217" r:id="rId1015" xr:uid="{00000000-0004-0000-0400-0000F6030000}"/>
    <hyperlink ref="T217" r:id="rId1016" xr:uid="{00000000-0004-0000-0400-0000F7030000}"/>
    <hyperlink ref="U217" r:id="rId1017" xr:uid="{00000000-0004-0000-0400-0000F8030000}"/>
    <hyperlink ref="V217" r:id="rId1018" xr:uid="{00000000-0004-0000-0400-0000F9030000}"/>
    <hyperlink ref="O218" r:id="rId1019" xr:uid="{00000000-0004-0000-0400-0000FA030000}"/>
    <hyperlink ref="P218" r:id="rId1020" xr:uid="{00000000-0004-0000-0400-0000FB030000}"/>
    <hyperlink ref="Q218" r:id="rId1021" xr:uid="{00000000-0004-0000-0400-0000FC030000}"/>
    <hyperlink ref="S218" r:id="rId1022" xr:uid="{00000000-0004-0000-0400-0000FD030000}"/>
    <hyperlink ref="T218" r:id="rId1023" xr:uid="{00000000-0004-0000-0400-0000FE030000}"/>
    <hyperlink ref="U218" r:id="rId1024" xr:uid="{00000000-0004-0000-0400-0000FF030000}"/>
    <hyperlink ref="O219" r:id="rId1025" xr:uid="{00000000-0004-0000-0400-000000040000}"/>
    <hyperlink ref="P219" r:id="rId1026" xr:uid="{00000000-0004-0000-0400-000001040000}"/>
    <hyperlink ref="Q219" r:id="rId1027" xr:uid="{00000000-0004-0000-0400-000002040000}"/>
    <hyperlink ref="S219" r:id="rId1028" xr:uid="{00000000-0004-0000-0400-000003040000}"/>
    <hyperlink ref="T219" r:id="rId1029" xr:uid="{00000000-0004-0000-0400-000004040000}"/>
    <hyperlink ref="U219" r:id="rId1030" xr:uid="{00000000-0004-0000-0400-000005040000}"/>
    <hyperlink ref="O220" r:id="rId1031" xr:uid="{00000000-0004-0000-0400-000006040000}"/>
    <hyperlink ref="P220" r:id="rId1032" xr:uid="{00000000-0004-0000-0400-000007040000}"/>
    <hyperlink ref="Q220" r:id="rId1033" xr:uid="{00000000-0004-0000-0400-000008040000}"/>
    <hyperlink ref="S220" r:id="rId1034" xr:uid="{00000000-0004-0000-0400-000009040000}"/>
    <hyperlink ref="T220" r:id="rId1035" xr:uid="{00000000-0004-0000-0400-00000A040000}"/>
    <hyperlink ref="U220" r:id="rId1036" xr:uid="{00000000-0004-0000-0400-00000B040000}"/>
    <hyperlink ref="O221" r:id="rId1037" xr:uid="{00000000-0004-0000-0400-00000C040000}"/>
    <hyperlink ref="P221" r:id="rId1038" xr:uid="{00000000-0004-0000-0400-00000D040000}"/>
    <hyperlink ref="Q221" r:id="rId1039" xr:uid="{00000000-0004-0000-0400-00000E040000}"/>
    <hyperlink ref="S221" r:id="rId1040" xr:uid="{00000000-0004-0000-0400-00000F040000}"/>
    <hyperlink ref="T221" r:id="rId1041" xr:uid="{00000000-0004-0000-0400-000010040000}"/>
    <hyperlink ref="U221" r:id="rId1042" xr:uid="{00000000-0004-0000-0400-000011040000}"/>
    <hyperlink ref="O222" r:id="rId1043" xr:uid="{00000000-0004-0000-0400-000012040000}"/>
    <hyperlink ref="P222" r:id="rId1044" xr:uid="{00000000-0004-0000-0400-000013040000}"/>
    <hyperlink ref="Q222" r:id="rId1045" xr:uid="{00000000-0004-0000-0400-000014040000}"/>
    <hyperlink ref="S222" r:id="rId1046" xr:uid="{00000000-0004-0000-0400-000015040000}"/>
    <hyperlink ref="T222" r:id="rId1047" xr:uid="{00000000-0004-0000-0400-000016040000}"/>
    <hyperlink ref="U222" r:id="rId1048" xr:uid="{00000000-0004-0000-0400-000017040000}"/>
    <hyperlink ref="V222" r:id="rId1049" xr:uid="{00000000-0004-0000-0400-000018040000}"/>
    <hyperlink ref="O223" r:id="rId1050" xr:uid="{00000000-0004-0000-0400-000019040000}"/>
    <hyperlink ref="P223" r:id="rId1051" xr:uid="{00000000-0004-0000-0400-00001A040000}"/>
    <hyperlink ref="Q223" r:id="rId1052" xr:uid="{00000000-0004-0000-0400-00001B040000}"/>
    <hyperlink ref="S223" r:id="rId1053" xr:uid="{00000000-0004-0000-0400-00001C040000}"/>
    <hyperlink ref="T223" r:id="rId1054" xr:uid="{00000000-0004-0000-0400-00001D040000}"/>
    <hyperlink ref="U223" r:id="rId1055" xr:uid="{00000000-0004-0000-0400-00001E040000}"/>
    <hyperlink ref="O224" r:id="rId1056" xr:uid="{00000000-0004-0000-0400-00001F040000}"/>
    <hyperlink ref="P224" r:id="rId1057" xr:uid="{00000000-0004-0000-0400-000020040000}"/>
    <hyperlink ref="Q224" r:id="rId1058" xr:uid="{00000000-0004-0000-0400-000021040000}"/>
    <hyperlink ref="S224" r:id="rId1059" xr:uid="{00000000-0004-0000-0400-000022040000}"/>
    <hyperlink ref="T224" r:id="rId1060" xr:uid="{00000000-0004-0000-0400-000023040000}"/>
    <hyperlink ref="U224" r:id="rId1061" xr:uid="{00000000-0004-0000-0400-000024040000}"/>
    <hyperlink ref="V224" r:id="rId1062" xr:uid="{00000000-0004-0000-0400-000025040000}"/>
    <hyperlink ref="O225" r:id="rId1063" xr:uid="{00000000-0004-0000-0400-000026040000}"/>
    <hyperlink ref="P225" r:id="rId1064" xr:uid="{00000000-0004-0000-0400-000027040000}"/>
    <hyperlink ref="Q225" r:id="rId1065" xr:uid="{00000000-0004-0000-0400-000028040000}"/>
    <hyperlink ref="S225" r:id="rId1066" xr:uid="{00000000-0004-0000-0400-000029040000}"/>
    <hyperlink ref="T225" r:id="rId1067" xr:uid="{00000000-0004-0000-0400-00002A040000}"/>
    <hyperlink ref="U225" r:id="rId1068" xr:uid="{00000000-0004-0000-0400-00002B040000}"/>
    <hyperlink ref="O226" r:id="rId1069" xr:uid="{00000000-0004-0000-0400-00002C040000}"/>
    <hyperlink ref="P226" r:id="rId1070" xr:uid="{00000000-0004-0000-0400-00002D040000}"/>
    <hyperlink ref="Q226" r:id="rId1071" xr:uid="{00000000-0004-0000-0400-00002E040000}"/>
    <hyperlink ref="S226" r:id="rId1072" xr:uid="{00000000-0004-0000-0400-00002F040000}"/>
    <hyperlink ref="T226" r:id="rId1073" xr:uid="{00000000-0004-0000-0400-000030040000}"/>
    <hyperlink ref="U226" r:id="rId1074" xr:uid="{00000000-0004-0000-0400-000031040000}"/>
    <hyperlink ref="V226" r:id="rId1075" xr:uid="{00000000-0004-0000-0400-000032040000}"/>
    <hyperlink ref="O227" r:id="rId1076" xr:uid="{00000000-0004-0000-0400-000033040000}"/>
    <hyperlink ref="P227" r:id="rId1077" xr:uid="{00000000-0004-0000-0400-000034040000}"/>
    <hyperlink ref="Q227" r:id="rId1078" xr:uid="{00000000-0004-0000-0400-000035040000}"/>
    <hyperlink ref="S227" r:id="rId1079" xr:uid="{00000000-0004-0000-0400-000036040000}"/>
    <hyperlink ref="T227" r:id="rId1080" xr:uid="{00000000-0004-0000-0400-000037040000}"/>
    <hyperlink ref="U227" r:id="rId1081" xr:uid="{00000000-0004-0000-0400-000038040000}"/>
    <hyperlink ref="V227" r:id="rId1082" xr:uid="{00000000-0004-0000-0400-000039040000}"/>
    <hyperlink ref="O228" r:id="rId1083" xr:uid="{00000000-0004-0000-0400-00003A040000}"/>
    <hyperlink ref="P228" r:id="rId1084" xr:uid="{00000000-0004-0000-0400-00003B040000}"/>
    <hyperlink ref="Q228" r:id="rId1085" xr:uid="{00000000-0004-0000-0400-00003C040000}"/>
    <hyperlink ref="S228" r:id="rId1086" xr:uid="{00000000-0004-0000-0400-00003D040000}"/>
    <hyperlink ref="T228" r:id="rId1087" xr:uid="{00000000-0004-0000-0400-00003E040000}"/>
    <hyperlink ref="U228" r:id="rId1088" xr:uid="{00000000-0004-0000-0400-00003F040000}"/>
    <hyperlink ref="V228" r:id="rId1089" xr:uid="{00000000-0004-0000-0400-000040040000}"/>
    <hyperlink ref="O229" r:id="rId1090" xr:uid="{00000000-0004-0000-0400-000041040000}"/>
    <hyperlink ref="P229" r:id="rId1091" xr:uid="{00000000-0004-0000-0400-000042040000}"/>
    <hyperlink ref="Q229" r:id="rId1092" xr:uid="{00000000-0004-0000-0400-000043040000}"/>
    <hyperlink ref="S229" r:id="rId1093" xr:uid="{00000000-0004-0000-0400-000044040000}"/>
    <hyperlink ref="T229" r:id="rId1094" xr:uid="{00000000-0004-0000-0400-000045040000}"/>
    <hyperlink ref="U229" r:id="rId1095" xr:uid="{00000000-0004-0000-0400-000046040000}"/>
    <hyperlink ref="V229" r:id="rId1096" xr:uid="{00000000-0004-0000-0400-000047040000}"/>
    <hyperlink ref="O230" r:id="rId1097" xr:uid="{00000000-0004-0000-0400-000048040000}"/>
    <hyperlink ref="P230" r:id="rId1098" xr:uid="{00000000-0004-0000-0400-000049040000}"/>
    <hyperlink ref="Q230" r:id="rId1099" xr:uid="{00000000-0004-0000-0400-00004A040000}"/>
    <hyperlink ref="S230" r:id="rId1100" xr:uid="{00000000-0004-0000-0400-00004B040000}"/>
    <hyperlink ref="T230" r:id="rId1101" xr:uid="{00000000-0004-0000-0400-00004C040000}"/>
    <hyperlink ref="U230" r:id="rId1102" xr:uid="{00000000-0004-0000-0400-00004D040000}"/>
    <hyperlink ref="V230" r:id="rId1103" xr:uid="{00000000-0004-0000-0400-00004E040000}"/>
    <hyperlink ref="O231" r:id="rId1104" xr:uid="{00000000-0004-0000-0400-00004F040000}"/>
    <hyperlink ref="P231" r:id="rId1105" xr:uid="{00000000-0004-0000-0400-000050040000}"/>
    <hyperlink ref="Q231" r:id="rId1106" xr:uid="{00000000-0004-0000-0400-000051040000}"/>
    <hyperlink ref="S231" r:id="rId1107" xr:uid="{00000000-0004-0000-0400-000052040000}"/>
    <hyperlink ref="T231" r:id="rId1108" xr:uid="{00000000-0004-0000-0400-000053040000}"/>
    <hyperlink ref="U231" r:id="rId1109" xr:uid="{00000000-0004-0000-0400-000054040000}"/>
    <hyperlink ref="O232" r:id="rId1110" xr:uid="{00000000-0004-0000-0400-000055040000}"/>
    <hyperlink ref="P232" r:id="rId1111" xr:uid="{00000000-0004-0000-0400-000056040000}"/>
    <hyperlink ref="Q232" r:id="rId1112" xr:uid="{00000000-0004-0000-0400-000057040000}"/>
    <hyperlink ref="S232" r:id="rId1113" xr:uid="{00000000-0004-0000-0400-000058040000}"/>
    <hyperlink ref="T232" r:id="rId1114" xr:uid="{00000000-0004-0000-0400-000059040000}"/>
    <hyperlink ref="U232" r:id="rId1115" xr:uid="{00000000-0004-0000-0400-00005A040000}"/>
    <hyperlink ref="V232" r:id="rId1116" xr:uid="{00000000-0004-0000-0400-00005B040000}"/>
    <hyperlink ref="O233" r:id="rId1117" xr:uid="{00000000-0004-0000-0400-00005C040000}"/>
    <hyperlink ref="P233" r:id="rId1118" xr:uid="{00000000-0004-0000-0400-00005D040000}"/>
    <hyperlink ref="Q233" r:id="rId1119" xr:uid="{00000000-0004-0000-0400-00005E040000}"/>
    <hyperlink ref="S233" r:id="rId1120" xr:uid="{00000000-0004-0000-0400-00005F040000}"/>
    <hyperlink ref="T233" r:id="rId1121" xr:uid="{00000000-0004-0000-0400-000060040000}"/>
    <hyperlink ref="U233" r:id="rId1122" xr:uid="{00000000-0004-0000-0400-000061040000}"/>
    <hyperlink ref="O234" r:id="rId1123" xr:uid="{00000000-0004-0000-0400-000062040000}"/>
    <hyperlink ref="P234" r:id="rId1124" xr:uid="{00000000-0004-0000-0400-000063040000}"/>
    <hyperlink ref="Q234" r:id="rId1125" xr:uid="{00000000-0004-0000-0400-000064040000}"/>
    <hyperlink ref="S234" r:id="rId1126" xr:uid="{00000000-0004-0000-0400-000065040000}"/>
    <hyperlink ref="T234" r:id="rId1127" xr:uid="{00000000-0004-0000-0400-000066040000}"/>
    <hyperlink ref="U234" r:id="rId1128" xr:uid="{00000000-0004-0000-0400-000067040000}"/>
    <hyperlink ref="V234" r:id="rId1129" xr:uid="{00000000-0004-0000-0400-000068040000}"/>
    <hyperlink ref="O235" r:id="rId1130" xr:uid="{00000000-0004-0000-0400-000069040000}"/>
    <hyperlink ref="P235" r:id="rId1131" xr:uid="{00000000-0004-0000-0400-00006A040000}"/>
    <hyperlink ref="Q235" r:id="rId1132" xr:uid="{00000000-0004-0000-0400-00006B040000}"/>
    <hyperlink ref="S235" r:id="rId1133" xr:uid="{00000000-0004-0000-0400-00006C040000}"/>
    <hyperlink ref="T235" r:id="rId1134" xr:uid="{00000000-0004-0000-0400-00006D040000}"/>
    <hyperlink ref="U235" r:id="rId1135" xr:uid="{00000000-0004-0000-0400-00006E040000}"/>
    <hyperlink ref="V235" r:id="rId1136" xr:uid="{00000000-0004-0000-0400-00006F040000}"/>
    <hyperlink ref="O236" r:id="rId1137" xr:uid="{00000000-0004-0000-0400-000070040000}"/>
    <hyperlink ref="P236" r:id="rId1138" xr:uid="{00000000-0004-0000-0400-000071040000}"/>
    <hyperlink ref="Q236" r:id="rId1139" xr:uid="{00000000-0004-0000-0400-000072040000}"/>
    <hyperlink ref="S236" r:id="rId1140" xr:uid="{00000000-0004-0000-0400-000073040000}"/>
    <hyperlink ref="T236" r:id="rId1141" xr:uid="{00000000-0004-0000-0400-000074040000}"/>
    <hyperlink ref="U236" r:id="rId1142" xr:uid="{00000000-0004-0000-0400-000075040000}"/>
    <hyperlink ref="V236" r:id="rId1143" xr:uid="{00000000-0004-0000-0400-000076040000}"/>
    <hyperlink ref="O237" r:id="rId1144" xr:uid="{00000000-0004-0000-0400-000077040000}"/>
    <hyperlink ref="P237" r:id="rId1145" xr:uid="{00000000-0004-0000-0400-000078040000}"/>
    <hyperlink ref="Q237" r:id="rId1146" xr:uid="{00000000-0004-0000-0400-000079040000}"/>
    <hyperlink ref="S237" r:id="rId1147" xr:uid="{00000000-0004-0000-0400-00007A040000}"/>
    <hyperlink ref="T237" r:id="rId1148" xr:uid="{00000000-0004-0000-0400-00007B040000}"/>
    <hyperlink ref="U237" r:id="rId1149" xr:uid="{00000000-0004-0000-0400-00007C040000}"/>
    <hyperlink ref="V237" r:id="rId1150" xr:uid="{00000000-0004-0000-0400-00007D040000}"/>
    <hyperlink ref="O238" r:id="rId1151" xr:uid="{00000000-0004-0000-0400-00007E040000}"/>
    <hyperlink ref="P238" r:id="rId1152" xr:uid="{00000000-0004-0000-0400-00007F040000}"/>
    <hyperlink ref="Q238" r:id="rId1153" xr:uid="{00000000-0004-0000-0400-000080040000}"/>
    <hyperlink ref="S238" r:id="rId1154" xr:uid="{00000000-0004-0000-0400-000081040000}"/>
    <hyperlink ref="T238" r:id="rId1155" xr:uid="{00000000-0004-0000-0400-000082040000}"/>
    <hyperlink ref="U238" r:id="rId1156" xr:uid="{00000000-0004-0000-0400-000083040000}"/>
    <hyperlink ref="V238" r:id="rId1157" xr:uid="{00000000-0004-0000-0400-000084040000}"/>
    <hyperlink ref="O239" r:id="rId1158" xr:uid="{00000000-0004-0000-0400-000085040000}"/>
    <hyperlink ref="P239" r:id="rId1159" xr:uid="{00000000-0004-0000-0400-000086040000}"/>
    <hyperlink ref="Q239" r:id="rId1160" xr:uid="{00000000-0004-0000-0400-000087040000}"/>
    <hyperlink ref="S239" r:id="rId1161" xr:uid="{00000000-0004-0000-0400-000088040000}"/>
    <hyperlink ref="T239" r:id="rId1162" xr:uid="{00000000-0004-0000-0400-000089040000}"/>
    <hyperlink ref="U239" r:id="rId1163" xr:uid="{00000000-0004-0000-0400-00008A040000}"/>
    <hyperlink ref="O240" r:id="rId1164" xr:uid="{00000000-0004-0000-0400-00008B040000}"/>
    <hyperlink ref="P240" r:id="rId1165" xr:uid="{00000000-0004-0000-0400-00008C040000}"/>
    <hyperlink ref="Q240" r:id="rId1166" xr:uid="{00000000-0004-0000-0400-00008D040000}"/>
    <hyperlink ref="S240" r:id="rId1167" xr:uid="{00000000-0004-0000-0400-00008E040000}"/>
    <hyperlink ref="T240" r:id="rId1168" xr:uid="{00000000-0004-0000-0400-00008F040000}"/>
    <hyperlink ref="U240" r:id="rId1169" xr:uid="{00000000-0004-0000-0400-000090040000}"/>
    <hyperlink ref="O241" r:id="rId1170" xr:uid="{00000000-0004-0000-0400-000091040000}"/>
    <hyperlink ref="P241" r:id="rId1171" xr:uid="{00000000-0004-0000-0400-000092040000}"/>
    <hyperlink ref="Q241" r:id="rId1172" xr:uid="{00000000-0004-0000-0400-000093040000}"/>
    <hyperlink ref="S241" r:id="rId1173" xr:uid="{00000000-0004-0000-0400-000094040000}"/>
    <hyperlink ref="T241" r:id="rId1174" xr:uid="{00000000-0004-0000-0400-000095040000}"/>
    <hyperlink ref="U241" r:id="rId1175" xr:uid="{00000000-0004-0000-0400-000096040000}"/>
    <hyperlink ref="V241" r:id="rId1176" xr:uid="{00000000-0004-0000-0400-000097040000}"/>
    <hyperlink ref="O242" r:id="rId1177" xr:uid="{00000000-0004-0000-0400-000098040000}"/>
    <hyperlink ref="P242" r:id="rId1178" xr:uid="{00000000-0004-0000-0400-000099040000}"/>
    <hyperlink ref="Q242" r:id="rId1179" xr:uid="{00000000-0004-0000-0400-00009A040000}"/>
    <hyperlink ref="S242" r:id="rId1180" xr:uid="{00000000-0004-0000-0400-00009B040000}"/>
    <hyperlink ref="T242" r:id="rId1181" xr:uid="{00000000-0004-0000-0400-00009C040000}"/>
    <hyperlink ref="U242" r:id="rId1182" xr:uid="{00000000-0004-0000-0400-00009D040000}"/>
    <hyperlink ref="V242" r:id="rId1183" xr:uid="{00000000-0004-0000-0400-00009E040000}"/>
    <hyperlink ref="O243" r:id="rId1184" xr:uid="{00000000-0004-0000-0400-00009F040000}"/>
    <hyperlink ref="P243" r:id="rId1185" xr:uid="{00000000-0004-0000-0400-0000A0040000}"/>
    <hyperlink ref="Q243" r:id="rId1186" xr:uid="{00000000-0004-0000-0400-0000A1040000}"/>
    <hyperlink ref="S243" r:id="rId1187" xr:uid="{00000000-0004-0000-0400-0000A2040000}"/>
    <hyperlink ref="T243" r:id="rId1188" xr:uid="{00000000-0004-0000-0400-0000A3040000}"/>
    <hyperlink ref="U243" r:id="rId1189" xr:uid="{00000000-0004-0000-0400-0000A4040000}"/>
    <hyperlink ref="V243" r:id="rId1190" xr:uid="{00000000-0004-0000-0400-0000A5040000}"/>
    <hyperlink ref="O244" r:id="rId1191" xr:uid="{00000000-0004-0000-0400-0000A6040000}"/>
    <hyperlink ref="P244" r:id="rId1192" xr:uid="{00000000-0004-0000-0400-0000A7040000}"/>
    <hyperlink ref="Q244" r:id="rId1193" xr:uid="{00000000-0004-0000-0400-0000A8040000}"/>
    <hyperlink ref="S244" r:id="rId1194" xr:uid="{00000000-0004-0000-0400-0000A9040000}"/>
    <hyperlink ref="T244" r:id="rId1195" xr:uid="{00000000-0004-0000-0400-0000AA040000}"/>
    <hyperlink ref="U244" r:id="rId1196" xr:uid="{00000000-0004-0000-0400-0000AB040000}"/>
    <hyperlink ref="V244" r:id="rId1197" xr:uid="{00000000-0004-0000-0400-0000AC040000}"/>
    <hyperlink ref="O245" r:id="rId1198" xr:uid="{00000000-0004-0000-0400-0000AD040000}"/>
    <hyperlink ref="P245" r:id="rId1199" xr:uid="{00000000-0004-0000-0400-0000AE040000}"/>
    <hyperlink ref="Q245" r:id="rId1200" xr:uid="{00000000-0004-0000-0400-0000AF040000}"/>
    <hyperlink ref="S245" r:id="rId1201" xr:uid="{00000000-0004-0000-0400-0000B0040000}"/>
    <hyperlink ref="T245" r:id="rId1202" xr:uid="{00000000-0004-0000-0400-0000B1040000}"/>
    <hyperlink ref="U245" r:id="rId1203" xr:uid="{00000000-0004-0000-0400-0000B2040000}"/>
    <hyperlink ref="V245" r:id="rId1204" xr:uid="{00000000-0004-0000-0400-0000B3040000}"/>
    <hyperlink ref="O246" r:id="rId1205" xr:uid="{00000000-0004-0000-0400-0000B4040000}"/>
    <hyperlink ref="P246" r:id="rId1206" xr:uid="{00000000-0004-0000-0400-0000B5040000}"/>
    <hyperlink ref="Q246" r:id="rId1207" xr:uid="{00000000-0004-0000-0400-0000B6040000}"/>
    <hyperlink ref="S246" r:id="rId1208" xr:uid="{00000000-0004-0000-0400-0000B7040000}"/>
    <hyperlink ref="T246" r:id="rId1209" xr:uid="{00000000-0004-0000-0400-0000B8040000}"/>
    <hyperlink ref="U246" r:id="rId1210" xr:uid="{00000000-0004-0000-0400-0000B9040000}"/>
    <hyperlink ref="V246" r:id="rId1211" xr:uid="{00000000-0004-0000-0400-0000BA040000}"/>
    <hyperlink ref="O247" r:id="rId1212" xr:uid="{00000000-0004-0000-0400-0000BB040000}"/>
    <hyperlink ref="P247" r:id="rId1213" xr:uid="{00000000-0004-0000-0400-0000BC040000}"/>
    <hyperlink ref="Q247" r:id="rId1214" xr:uid="{00000000-0004-0000-0400-0000BD040000}"/>
    <hyperlink ref="S247" r:id="rId1215" xr:uid="{00000000-0004-0000-0400-0000BE040000}"/>
    <hyperlink ref="T247" r:id="rId1216" xr:uid="{00000000-0004-0000-0400-0000BF040000}"/>
    <hyperlink ref="U247" r:id="rId1217" xr:uid="{00000000-0004-0000-0400-0000C0040000}"/>
    <hyperlink ref="O248" r:id="rId1218" xr:uid="{00000000-0004-0000-0400-0000C1040000}"/>
    <hyperlink ref="P248" r:id="rId1219" xr:uid="{00000000-0004-0000-0400-0000C2040000}"/>
    <hyperlink ref="Q248" r:id="rId1220" xr:uid="{00000000-0004-0000-0400-0000C3040000}"/>
    <hyperlink ref="S248" r:id="rId1221" xr:uid="{00000000-0004-0000-0400-0000C4040000}"/>
    <hyperlink ref="T248" r:id="rId1222" xr:uid="{00000000-0004-0000-0400-0000C5040000}"/>
    <hyperlink ref="U248" r:id="rId1223" xr:uid="{00000000-0004-0000-0400-0000C6040000}"/>
    <hyperlink ref="V248" r:id="rId1224" xr:uid="{00000000-0004-0000-0400-0000C7040000}"/>
    <hyperlink ref="O249" r:id="rId1225" xr:uid="{00000000-0004-0000-0400-0000C8040000}"/>
    <hyperlink ref="P249" r:id="rId1226" xr:uid="{00000000-0004-0000-0400-0000C9040000}"/>
    <hyperlink ref="Q249" r:id="rId1227" xr:uid="{00000000-0004-0000-0400-0000CA040000}"/>
    <hyperlink ref="S249" r:id="rId1228" xr:uid="{00000000-0004-0000-0400-0000CB040000}"/>
    <hyperlink ref="T249" r:id="rId1229" xr:uid="{00000000-0004-0000-0400-0000CC040000}"/>
    <hyperlink ref="U249" r:id="rId1230" xr:uid="{00000000-0004-0000-0400-0000CD040000}"/>
    <hyperlink ref="V249" r:id="rId1231" xr:uid="{00000000-0004-0000-0400-0000CE040000}"/>
    <hyperlink ref="O250" r:id="rId1232" xr:uid="{00000000-0004-0000-0400-0000CF040000}"/>
    <hyperlink ref="P250" r:id="rId1233" xr:uid="{00000000-0004-0000-0400-0000D0040000}"/>
    <hyperlink ref="Q250" r:id="rId1234" xr:uid="{00000000-0004-0000-0400-0000D1040000}"/>
    <hyperlink ref="S250" r:id="rId1235" xr:uid="{00000000-0004-0000-0400-0000D2040000}"/>
    <hyperlink ref="T250" r:id="rId1236" xr:uid="{00000000-0004-0000-0400-0000D3040000}"/>
    <hyperlink ref="U250" r:id="rId1237" xr:uid="{00000000-0004-0000-0400-0000D4040000}"/>
    <hyperlink ref="V250" r:id="rId1238" xr:uid="{00000000-0004-0000-0400-0000D5040000}"/>
    <hyperlink ref="O251" r:id="rId1239" xr:uid="{00000000-0004-0000-0400-0000D6040000}"/>
    <hyperlink ref="P251" r:id="rId1240" xr:uid="{00000000-0004-0000-0400-0000D7040000}"/>
    <hyperlink ref="Q251" r:id="rId1241" xr:uid="{00000000-0004-0000-0400-0000D8040000}"/>
    <hyperlink ref="S251" r:id="rId1242" xr:uid="{00000000-0004-0000-0400-0000D9040000}"/>
    <hyperlink ref="T251" r:id="rId1243" xr:uid="{00000000-0004-0000-0400-0000DA040000}"/>
    <hyperlink ref="U251" r:id="rId1244" xr:uid="{00000000-0004-0000-0400-0000DB040000}"/>
    <hyperlink ref="O252" r:id="rId1245" xr:uid="{00000000-0004-0000-0400-0000DC040000}"/>
    <hyperlink ref="P252" r:id="rId1246" xr:uid="{00000000-0004-0000-0400-0000DD040000}"/>
    <hyperlink ref="Q252" r:id="rId1247" xr:uid="{00000000-0004-0000-0400-0000DE040000}"/>
    <hyperlink ref="S252" r:id="rId1248" xr:uid="{00000000-0004-0000-0400-0000DF040000}"/>
    <hyperlink ref="T252" r:id="rId1249" xr:uid="{00000000-0004-0000-0400-0000E0040000}"/>
    <hyperlink ref="U252" r:id="rId1250" xr:uid="{00000000-0004-0000-0400-0000E1040000}"/>
    <hyperlink ref="V252" r:id="rId1251" xr:uid="{00000000-0004-0000-0400-0000E2040000}"/>
    <hyperlink ref="Q253" r:id="rId1252" xr:uid="{00000000-0004-0000-0400-0000E3040000}"/>
    <hyperlink ref="S253" r:id="rId1253" xr:uid="{00000000-0004-0000-0400-0000E4040000}"/>
    <hyperlink ref="T253" r:id="rId1254" xr:uid="{00000000-0004-0000-0400-0000E5040000}"/>
    <hyperlink ref="U253" r:id="rId1255" xr:uid="{00000000-0004-0000-0400-0000E6040000}"/>
    <hyperlink ref="V253" r:id="rId1256" xr:uid="{00000000-0004-0000-0400-0000E704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sheetViews>
  <sheetFormatPr defaultColWidth="12.54296875" defaultRowHeight="15" customHeight="1" x14ac:dyDescent="0.25"/>
  <cols>
    <col min="1" max="1" width="6.453125" customWidth="1"/>
    <col min="2" max="2" width="39.453125" customWidth="1"/>
    <col min="3" max="3" width="34.26953125" customWidth="1"/>
    <col min="4" max="27" width="8.54296875" customWidth="1"/>
  </cols>
  <sheetData>
    <row r="1" spans="1:12" ht="12.75" customHeight="1" x14ac:dyDescent="0.25">
      <c r="A1" s="7" t="s">
        <v>0</v>
      </c>
      <c r="B1" s="7" t="s">
        <v>2614</v>
      </c>
      <c r="C1" s="7" t="s">
        <v>2615</v>
      </c>
      <c r="D1" s="7" t="s">
        <v>2616</v>
      </c>
      <c r="E1" s="7" t="s">
        <v>2617</v>
      </c>
      <c r="F1" s="7" t="s">
        <v>2618</v>
      </c>
      <c r="G1" s="7" t="s">
        <v>2619</v>
      </c>
      <c r="H1" s="7" t="s">
        <v>2620</v>
      </c>
      <c r="I1" s="7" t="s">
        <v>2621</v>
      </c>
      <c r="J1" s="7" t="s">
        <v>2622</v>
      </c>
      <c r="K1" s="7" t="s">
        <v>2623</v>
      </c>
      <c r="L1" s="7" t="s">
        <v>2624</v>
      </c>
    </row>
    <row r="2" spans="1:12" ht="98.25" customHeight="1" x14ac:dyDescent="0.25">
      <c r="A2" s="56">
        <v>1</v>
      </c>
      <c r="B2" s="56" t="e">
        <f>$B$1&amp;'Phân công'!#REF!&amp;CHAR(10)&amp;Sheet1!$C$1&amp;'Phân công'!A2&amp;CHAR(10)&amp;Sheet1!$D$1&amp;'Phân công'!#REF!&amp;CHAR(10)&amp;Sheet1!$E$1&amp;'Phân công'!#REF!&amp;CHAR(10)&amp;Sheet1!$F$1&amp;'Phân công'!#REF!</f>
        <v>#REF!</v>
      </c>
      <c r="C2" s="56" t="e">
        <f>$G$1&amp;'Phân công'!#REF!&amp;CHAR(10)&amp;Sheet1!$H$1&amp;'Phân công'!#REF!&amp;CHAR(10)&amp;Sheet1!$I$1&amp;'Phân công'!#REF!&amp;CHAR(10)&amp;Sheet1!$J$1&amp;'Phân công'!#REF!&amp;CHAR(10)&amp;$K$1&amp;'Phân công'!#REF!</f>
        <v>#REF!</v>
      </c>
    </row>
    <row r="3" spans="1:12" ht="98.25" customHeight="1" x14ac:dyDescent="0.25">
      <c r="A3" s="56">
        <v>2</v>
      </c>
      <c r="B3" s="56" t="e">
        <f>$B$1&amp;'Phân công'!#REF!&amp;CHAR(10)&amp;Sheet1!$C$1&amp;'Phân công'!A3&amp;CHAR(10)&amp;Sheet1!$D$1&amp;'Phân công'!#REF!&amp;CHAR(10)&amp;Sheet1!$E$1&amp;'Phân công'!#REF!&amp;CHAR(10)&amp;Sheet1!$F$1&amp;'Phân công'!#REF!</f>
        <v>#REF!</v>
      </c>
      <c r="C3" s="56" t="e">
        <f>$G$1&amp;'Phân công'!#REF!&amp;CHAR(10)&amp;Sheet1!$H$1&amp;'Phân công'!#REF!&amp;CHAR(10)&amp;Sheet1!$I$1&amp;'Phân công'!#REF!&amp;CHAR(10)&amp;Sheet1!$J$1&amp;'Phân công'!#REF!&amp;CHAR(10)&amp;$K$1&amp;'Phân công'!#REF!</f>
        <v>#REF!</v>
      </c>
    </row>
    <row r="4" spans="1:12" ht="98.25" customHeight="1" x14ac:dyDescent="0.25">
      <c r="A4" s="56">
        <v>3</v>
      </c>
      <c r="B4" s="56" t="e">
        <f>$B$1&amp;'Phân công'!#REF!&amp;CHAR(10)&amp;Sheet1!$C$1&amp;'Phân công'!A4&amp;CHAR(10)&amp;Sheet1!$D$1&amp;'Phân công'!#REF!&amp;CHAR(10)&amp;Sheet1!$E$1&amp;'Phân công'!#REF!&amp;CHAR(10)&amp;Sheet1!$F$1&amp;'Phân công'!#REF!</f>
        <v>#REF!</v>
      </c>
      <c r="C4" s="56" t="e">
        <f>$G$1&amp;'Phân công'!#REF!&amp;CHAR(10)&amp;Sheet1!$H$1&amp;'Phân công'!#REF!&amp;CHAR(10)&amp;Sheet1!$I$1&amp;'Phân công'!#REF!&amp;CHAR(10)&amp;Sheet1!$J$1&amp;'Phân công'!#REF!&amp;CHAR(10)&amp;$K$1&amp;'Phân công'!#REF!</f>
        <v>#REF!</v>
      </c>
    </row>
    <row r="5" spans="1:12" ht="98.25" customHeight="1" x14ac:dyDescent="0.25">
      <c r="A5" s="56">
        <v>4</v>
      </c>
      <c r="B5" s="56" t="e">
        <f>$B$1&amp;'Phân công'!#REF!&amp;CHAR(10)&amp;Sheet1!$C$1&amp;'Phân công'!A5&amp;CHAR(10)&amp;Sheet1!$D$1&amp;'Phân công'!#REF!&amp;CHAR(10)&amp;Sheet1!$E$1&amp;'Phân công'!#REF!&amp;CHAR(10)&amp;Sheet1!$F$1&amp;'Phân công'!#REF!</f>
        <v>#REF!</v>
      </c>
      <c r="C5" s="56" t="e">
        <f>$G$1&amp;'Phân công'!#REF!&amp;CHAR(10)&amp;Sheet1!$H$1&amp;'Phân công'!#REF!&amp;CHAR(10)&amp;Sheet1!$I$1&amp;'Phân công'!#REF!&amp;CHAR(10)&amp;Sheet1!$J$1&amp;'Phân công'!#REF!&amp;CHAR(10)&amp;$K$1&amp;'Phân công'!#REF!</f>
        <v>#REF!</v>
      </c>
    </row>
    <row r="6" spans="1:12" ht="98.25" customHeight="1" x14ac:dyDescent="0.25">
      <c r="A6" s="56">
        <v>5</v>
      </c>
      <c r="B6" s="56" t="e">
        <f>$B$1&amp;'Phân công'!#REF!&amp;CHAR(10)&amp;Sheet1!$C$1&amp;'Phân công'!A6&amp;CHAR(10)&amp;Sheet1!$D$1&amp;'Phân công'!#REF!&amp;CHAR(10)&amp;Sheet1!$E$1&amp;'Phân công'!#REF!&amp;CHAR(10)&amp;Sheet1!$F$1&amp;'Phân công'!#REF!</f>
        <v>#REF!</v>
      </c>
      <c r="C6" s="56" t="e">
        <f>$G$1&amp;'Phân công'!#REF!&amp;CHAR(10)&amp;Sheet1!$H$1&amp;'Phân công'!#REF!&amp;CHAR(10)&amp;Sheet1!$I$1&amp;'Phân công'!#REF!&amp;CHAR(10)&amp;Sheet1!$J$1&amp;'Phân công'!#REF!&amp;CHAR(10)&amp;$K$1&amp;'Phân công'!#REF!</f>
        <v>#REF!</v>
      </c>
    </row>
    <row r="7" spans="1:12" ht="98.25" customHeight="1" x14ac:dyDescent="0.25">
      <c r="A7" s="56">
        <v>6</v>
      </c>
      <c r="B7" s="56" t="e">
        <f>$B$1&amp;'Phân công'!#REF!&amp;CHAR(10)&amp;Sheet1!$C$1&amp;'Phân công'!#REF!&amp;CHAR(10)&amp;Sheet1!$D$1&amp;'Phân công'!#REF!&amp;CHAR(10)&amp;Sheet1!$E$1&amp;'Phân công'!#REF!&amp;CHAR(10)&amp;Sheet1!$F$1&amp;'Phân công'!#REF!</f>
        <v>#REF!</v>
      </c>
      <c r="C7" s="56" t="e">
        <f>$G$1&amp;'Phân công'!#REF!&amp;CHAR(10)&amp;Sheet1!$H$1&amp;'Phân công'!#REF!&amp;CHAR(10)&amp;Sheet1!$I$1&amp;'Phân công'!#REF!&amp;CHAR(10)&amp;Sheet1!$J$1&amp;'Phân công'!#REF!&amp;CHAR(10)&amp;$K$1&amp;'Phân công'!#REF!</f>
        <v>#REF!</v>
      </c>
    </row>
    <row r="8" spans="1:12" ht="98.25" customHeight="1" x14ac:dyDescent="0.25">
      <c r="A8" s="56">
        <v>7</v>
      </c>
      <c r="B8" s="56" t="e">
        <f>$B$1&amp;'Phân công'!#REF!&amp;CHAR(10)&amp;Sheet1!$C$1&amp;'Phân công'!#REF!&amp;CHAR(10)&amp;Sheet1!$D$1&amp;'Phân công'!#REF!&amp;CHAR(10)&amp;Sheet1!$E$1&amp;'Phân công'!#REF!&amp;CHAR(10)&amp;Sheet1!$F$1&amp;'Phân công'!#REF!</f>
        <v>#REF!</v>
      </c>
      <c r="C8" s="56" t="e">
        <f>$G$1&amp;'Phân công'!#REF!&amp;CHAR(10)&amp;Sheet1!$H$1&amp;'Phân công'!#REF!&amp;CHAR(10)&amp;Sheet1!$I$1&amp;'Phân công'!#REF!&amp;CHAR(10)&amp;Sheet1!$J$1&amp;'Phân công'!#REF!&amp;CHAR(10)&amp;$K$1&amp;'Phân công'!#REF!</f>
        <v>#REF!</v>
      </c>
    </row>
    <row r="9" spans="1:12" ht="98.25" customHeight="1" x14ac:dyDescent="0.25">
      <c r="A9" s="56">
        <v>8</v>
      </c>
      <c r="B9" s="56" t="e">
        <f>$B$1&amp;'Phân công'!#REF!&amp;CHAR(10)&amp;Sheet1!$C$1&amp;'Phân công'!#REF!&amp;CHAR(10)&amp;Sheet1!$D$1&amp;'Phân công'!#REF!&amp;CHAR(10)&amp;Sheet1!$E$1&amp;'Phân công'!#REF!&amp;CHAR(10)&amp;Sheet1!$F$1&amp;'Phân công'!#REF!</f>
        <v>#REF!</v>
      </c>
      <c r="C9" s="56" t="e">
        <f>$G$1&amp;'Phân công'!#REF!&amp;CHAR(10)&amp;Sheet1!$H$1&amp;'Phân công'!#REF!&amp;CHAR(10)&amp;Sheet1!$I$1&amp;'Phân công'!#REF!&amp;CHAR(10)&amp;Sheet1!$J$1&amp;'Phân công'!#REF!&amp;CHAR(10)&amp;$K$1&amp;'Phân công'!#REF!</f>
        <v>#REF!</v>
      </c>
    </row>
    <row r="10" spans="1:12" ht="98.25" customHeight="1" x14ac:dyDescent="0.25">
      <c r="A10" s="56">
        <v>9</v>
      </c>
      <c r="B10" s="56" t="e">
        <f>$B$1&amp;'Phân công'!#REF!&amp;CHAR(10)&amp;Sheet1!$C$1&amp;'Phân công'!#REF!&amp;CHAR(10)&amp;Sheet1!$D$1&amp;'Phân công'!#REF!&amp;CHAR(10)&amp;Sheet1!$E$1&amp;'Phân công'!#REF!&amp;CHAR(10)&amp;Sheet1!$F$1&amp;'Phân công'!#REF!</f>
        <v>#REF!</v>
      </c>
      <c r="C10" s="56" t="e">
        <f>$G$1&amp;'Phân công'!#REF!&amp;CHAR(10)&amp;Sheet1!$H$1&amp;'Phân công'!#REF!&amp;CHAR(10)&amp;Sheet1!$I$1&amp;'Phân công'!#REF!&amp;CHAR(10)&amp;Sheet1!$J$1&amp;'Phân công'!#REF!&amp;CHAR(10)&amp;$K$1&amp;'Phân công'!#REF!</f>
        <v>#REF!</v>
      </c>
    </row>
    <row r="11" spans="1:12" ht="98.25" customHeight="1" x14ac:dyDescent="0.25">
      <c r="A11" s="56">
        <v>10</v>
      </c>
      <c r="B11" s="56" t="e">
        <f>$B$1&amp;'Phân công'!#REF!&amp;CHAR(10)&amp;Sheet1!$C$1&amp;'Phân công'!A7&amp;CHAR(10)&amp;Sheet1!$D$1&amp;'Phân công'!#REF!&amp;CHAR(10)&amp;Sheet1!$E$1&amp;'Phân công'!#REF!&amp;CHAR(10)&amp;Sheet1!$F$1&amp;'Phân công'!#REF!</f>
        <v>#REF!</v>
      </c>
      <c r="C11" s="56" t="e">
        <f>$G$1&amp;'Phân công'!#REF!&amp;CHAR(10)&amp;Sheet1!$H$1&amp;'Phân công'!#REF!&amp;CHAR(10)&amp;Sheet1!$I$1&amp;'Phân công'!#REF!&amp;CHAR(10)&amp;Sheet1!$J$1&amp;'Phân công'!#REF!&amp;CHAR(10)&amp;$K$1&amp;'Phân công'!#REF!</f>
        <v>#REF!</v>
      </c>
    </row>
    <row r="12" spans="1:12" ht="98.25" customHeight="1" x14ac:dyDescent="0.25">
      <c r="A12" s="56">
        <v>11</v>
      </c>
      <c r="B12" s="56" t="e">
        <f>$B$1&amp;'Phân công'!#REF!&amp;CHAR(10)&amp;Sheet1!$C$1&amp;'Phân công'!A8&amp;CHAR(10)&amp;Sheet1!$D$1&amp;'Phân công'!#REF!&amp;CHAR(10)&amp;Sheet1!$E$1&amp;'Phân công'!#REF!&amp;CHAR(10)&amp;Sheet1!$F$1&amp;'Phân công'!#REF!</f>
        <v>#REF!</v>
      </c>
      <c r="C12" s="56" t="e">
        <f>$G$1&amp;'Phân công'!#REF!&amp;CHAR(10)&amp;Sheet1!$H$1&amp;'Phân công'!#REF!&amp;CHAR(10)&amp;Sheet1!$I$1&amp;'Phân công'!#REF!&amp;CHAR(10)&amp;Sheet1!$J$1&amp;'Phân công'!#REF!&amp;CHAR(10)&amp;$K$1&amp;'Phân công'!#REF!</f>
        <v>#REF!</v>
      </c>
    </row>
    <row r="13" spans="1:12" ht="98.25" customHeight="1" x14ac:dyDescent="0.25">
      <c r="A13" s="56">
        <v>12</v>
      </c>
      <c r="B13" s="56" t="e">
        <f>$B$1&amp;'Phân công'!#REF!&amp;CHAR(10)&amp;Sheet1!$C$1&amp;'Phân công'!A9&amp;CHAR(10)&amp;Sheet1!$D$1&amp;'Phân công'!#REF!&amp;CHAR(10)&amp;Sheet1!$E$1&amp;'Phân công'!#REF!&amp;CHAR(10)&amp;Sheet1!$F$1&amp;'Phân công'!#REF!</f>
        <v>#REF!</v>
      </c>
      <c r="C13" s="56" t="e">
        <f>$G$1&amp;'Phân công'!#REF!&amp;CHAR(10)&amp;Sheet1!$H$1&amp;'Phân công'!#REF!&amp;CHAR(10)&amp;Sheet1!$I$1&amp;'Phân công'!#REF!&amp;CHAR(10)&amp;Sheet1!$J$1&amp;'Phân công'!#REF!&amp;CHAR(10)&amp;$K$1&amp;'Phân công'!#REF!</f>
        <v>#REF!</v>
      </c>
    </row>
    <row r="14" spans="1:12" ht="98.25" customHeight="1" x14ac:dyDescent="0.25">
      <c r="A14" s="56">
        <v>13</v>
      </c>
      <c r="B14" s="56" t="e">
        <f>$B$1&amp;'Phân công'!#REF!&amp;CHAR(10)&amp;Sheet1!$C$1&amp;'Phân công'!A10&amp;CHAR(10)&amp;Sheet1!$D$1&amp;'Phân công'!#REF!&amp;CHAR(10)&amp;Sheet1!$E$1&amp;'Phân công'!#REF!&amp;CHAR(10)&amp;Sheet1!$F$1&amp;'Phân công'!#REF!</f>
        <v>#REF!</v>
      </c>
      <c r="C14" s="56" t="e">
        <f>$G$1&amp;'Phân công'!#REF!&amp;CHAR(10)&amp;Sheet1!$H$1&amp;'Phân công'!#REF!&amp;CHAR(10)&amp;Sheet1!$I$1&amp;'Phân công'!#REF!&amp;CHAR(10)&amp;Sheet1!$J$1&amp;'Phân công'!#REF!&amp;CHAR(10)&amp;$K$1&amp;'Phân công'!#REF!</f>
        <v>#REF!</v>
      </c>
    </row>
    <row r="15" spans="1:12" ht="98.25" customHeight="1" x14ac:dyDescent="0.25">
      <c r="A15" s="56">
        <v>14</v>
      </c>
      <c r="B15" s="56" t="e">
        <f>$B$1&amp;'Phân công'!#REF!&amp;CHAR(10)&amp;Sheet1!$C$1&amp;'Phân công'!A11&amp;CHAR(10)&amp;Sheet1!$D$1&amp;'Phân công'!#REF!&amp;CHAR(10)&amp;Sheet1!$E$1&amp;'Phân công'!#REF!&amp;CHAR(10)&amp;Sheet1!$F$1&amp;'Phân công'!#REF!</f>
        <v>#REF!</v>
      </c>
      <c r="C15" s="56" t="e">
        <f>$G$1&amp;'Phân công'!#REF!&amp;CHAR(10)&amp;Sheet1!$H$1&amp;'Phân công'!#REF!&amp;CHAR(10)&amp;Sheet1!$I$1&amp;'Phân công'!#REF!&amp;CHAR(10)&amp;Sheet1!$J$1&amp;'Phân công'!#REF!&amp;CHAR(10)&amp;$K$1&amp;'Phân công'!#REF!</f>
        <v>#REF!</v>
      </c>
    </row>
    <row r="16" spans="1:12" ht="98.25" customHeight="1" x14ac:dyDescent="0.25">
      <c r="A16" s="56">
        <v>15</v>
      </c>
      <c r="B16" s="56" t="e">
        <f>$B$1&amp;'Phân công'!#REF!&amp;CHAR(10)&amp;Sheet1!$C$1&amp;'Phân công'!A12&amp;CHAR(10)&amp;Sheet1!$D$1&amp;'Phân công'!#REF!&amp;CHAR(10)&amp;Sheet1!$E$1&amp;'Phân công'!#REF!&amp;CHAR(10)&amp;Sheet1!$F$1&amp;'Phân công'!#REF!</f>
        <v>#REF!</v>
      </c>
      <c r="C16" s="56" t="e">
        <f>$G$1&amp;'Phân công'!#REF!&amp;CHAR(10)&amp;Sheet1!$H$1&amp;'Phân công'!#REF!&amp;CHAR(10)&amp;Sheet1!$I$1&amp;'Phân công'!#REF!&amp;CHAR(10)&amp;Sheet1!$J$1&amp;'Phân công'!#REF!&amp;CHAR(10)&amp;$K$1&amp;'Phân công'!#REF!</f>
        <v>#REF!</v>
      </c>
    </row>
    <row r="17" spans="1:3" ht="98.25" customHeight="1" x14ac:dyDescent="0.25">
      <c r="A17" s="56">
        <v>16</v>
      </c>
      <c r="B17" s="56" t="e">
        <f>$B$1&amp;'Phân công'!#REF!&amp;CHAR(10)&amp;Sheet1!$C$1&amp;'Phân công'!A13&amp;CHAR(10)&amp;Sheet1!$D$1&amp;'Phân công'!#REF!&amp;CHAR(10)&amp;Sheet1!$E$1&amp;'Phân công'!#REF!&amp;CHAR(10)&amp;Sheet1!$F$1&amp;'Phân công'!#REF!</f>
        <v>#REF!</v>
      </c>
      <c r="C17" s="56" t="e">
        <f>$G$1&amp;'Phân công'!#REF!&amp;CHAR(10)&amp;Sheet1!$H$1&amp;'Phân công'!#REF!&amp;CHAR(10)&amp;Sheet1!$I$1&amp;'Phân công'!#REF!&amp;CHAR(10)&amp;Sheet1!$J$1&amp;'Phân công'!#REF!&amp;CHAR(10)&amp;$K$1&amp;'Phân công'!#REF!</f>
        <v>#REF!</v>
      </c>
    </row>
    <row r="18" spans="1:3" ht="98.25" customHeight="1" x14ac:dyDescent="0.25">
      <c r="A18" s="56">
        <v>17</v>
      </c>
      <c r="B18" s="56" t="e">
        <f>$B$1&amp;'Phân công'!#REF!&amp;CHAR(10)&amp;Sheet1!$C$1&amp;'Phân công'!A14&amp;CHAR(10)&amp;Sheet1!$D$1&amp;'Phân công'!#REF!&amp;CHAR(10)&amp;Sheet1!$E$1&amp;'Phân công'!#REF!&amp;CHAR(10)&amp;Sheet1!$F$1&amp;'Phân công'!#REF!</f>
        <v>#REF!</v>
      </c>
      <c r="C18" s="56" t="e">
        <f>$G$1&amp;'Phân công'!#REF!&amp;CHAR(10)&amp;Sheet1!$H$1&amp;'Phân công'!#REF!&amp;CHAR(10)&amp;Sheet1!$I$1&amp;'Phân công'!#REF!&amp;CHAR(10)&amp;Sheet1!$J$1&amp;'Phân công'!#REF!&amp;CHAR(10)&amp;$K$1&amp;'Phân công'!#REF!</f>
        <v>#REF!</v>
      </c>
    </row>
    <row r="19" spans="1:3" ht="98.25" customHeight="1" x14ac:dyDescent="0.25">
      <c r="A19" s="56">
        <v>18</v>
      </c>
      <c r="B19" s="56" t="e">
        <f>$B$1&amp;'Phân công'!#REF!&amp;CHAR(10)&amp;Sheet1!$C$1&amp;'Phân công'!A15&amp;CHAR(10)&amp;Sheet1!$D$1&amp;'Phân công'!#REF!&amp;CHAR(10)&amp;Sheet1!$E$1&amp;'Phân công'!#REF!&amp;CHAR(10)&amp;Sheet1!$F$1&amp;'Phân công'!#REF!</f>
        <v>#REF!</v>
      </c>
      <c r="C19" s="56" t="e">
        <f>$G$1&amp;'Phân công'!#REF!&amp;CHAR(10)&amp;Sheet1!$H$1&amp;'Phân công'!#REF!&amp;CHAR(10)&amp;Sheet1!$I$1&amp;'Phân công'!#REF!&amp;CHAR(10)&amp;Sheet1!$J$1&amp;'Phân công'!#REF!&amp;CHAR(10)&amp;$K$1&amp;'Phân công'!#REF!</f>
        <v>#REF!</v>
      </c>
    </row>
    <row r="20" spans="1:3" ht="98.25" customHeight="1" x14ac:dyDescent="0.25">
      <c r="A20" s="56">
        <v>19</v>
      </c>
      <c r="B20" s="56" t="e">
        <f>$B$1&amp;'Phân công'!#REF!&amp;CHAR(10)&amp;Sheet1!$C$1&amp;'Phân công'!A16&amp;CHAR(10)&amp;Sheet1!$D$1&amp;'Phân công'!#REF!&amp;CHAR(10)&amp;Sheet1!$E$1&amp;'Phân công'!#REF!&amp;CHAR(10)&amp;Sheet1!$F$1&amp;'Phân công'!#REF!</f>
        <v>#REF!</v>
      </c>
      <c r="C20" s="56" t="e">
        <f>$G$1&amp;'Phân công'!#REF!&amp;CHAR(10)&amp;Sheet1!$H$1&amp;'Phân công'!#REF!&amp;CHAR(10)&amp;Sheet1!$I$1&amp;'Phân công'!#REF!&amp;CHAR(10)&amp;Sheet1!$J$1&amp;'Phân công'!#REF!&amp;CHAR(10)&amp;$K$1&amp;'Phân công'!#REF!</f>
        <v>#REF!</v>
      </c>
    </row>
    <row r="21" spans="1:3" ht="98.25" customHeight="1" x14ac:dyDescent="0.25">
      <c r="A21" s="56">
        <v>20</v>
      </c>
      <c r="B21" s="56" t="e">
        <f>$B$1&amp;'Phân công'!#REF!&amp;CHAR(10)&amp;Sheet1!$C$1&amp;'Phân công'!A17&amp;CHAR(10)&amp;Sheet1!$D$1&amp;'Phân công'!#REF!&amp;CHAR(10)&amp;Sheet1!$E$1&amp;'Phân công'!#REF!&amp;CHAR(10)&amp;Sheet1!$F$1&amp;'Phân công'!#REF!</f>
        <v>#REF!</v>
      </c>
      <c r="C21" s="56" t="e">
        <f>$G$1&amp;'Phân công'!#REF!&amp;CHAR(10)&amp;Sheet1!$H$1&amp;'Phân công'!#REF!&amp;CHAR(10)&amp;Sheet1!$I$1&amp;'Phân công'!#REF!&amp;CHAR(10)&amp;Sheet1!$J$1&amp;'Phân công'!#REF!&amp;CHAR(10)&amp;$K$1&amp;'Phân công'!#REF!</f>
        <v>#REF!</v>
      </c>
    </row>
    <row r="22" spans="1:3" ht="98.25" customHeight="1" x14ac:dyDescent="0.25">
      <c r="A22" s="56">
        <v>21</v>
      </c>
      <c r="B22" s="56" t="e">
        <f>$B$1&amp;'Phân công'!#REF!&amp;CHAR(10)&amp;Sheet1!$C$1&amp;'Phân công'!A18&amp;CHAR(10)&amp;Sheet1!$D$1&amp;'Phân công'!#REF!&amp;CHAR(10)&amp;Sheet1!$E$1&amp;'Phân công'!#REF!&amp;CHAR(10)&amp;Sheet1!$F$1&amp;'Phân công'!#REF!</f>
        <v>#REF!</v>
      </c>
      <c r="C22" s="56" t="e">
        <f>$G$1&amp;'Phân công'!#REF!&amp;CHAR(10)&amp;Sheet1!$H$1&amp;'Phân công'!#REF!&amp;CHAR(10)&amp;Sheet1!$I$1&amp;'Phân công'!#REF!&amp;CHAR(10)&amp;Sheet1!$J$1&amp;'Phân công'!#REF!&amp;CHAR(10)&amp;$K$1&amp;'Phân công'!#REF!</f>
        <v>#REF!</v>
      </c>
    </row>
    <row r="23" spans="1:3" ht="98.25" customHeight="1" x14ac:dyDescent="0.25">
      <c r="A23" s="56">
        <v>22</v>
      </c>
      <c r="B23" s="56" t="e">
        <f>$B$1&amp;'Phân công'!#REF!&amp;CHAR(10)&amp;Sheet1!$C$1&amp;'Phân công'!A19&amp;CHAR(10)&amp;Sheet1!$D$1&amp;'Phân công'!#REF!&amp;CHAR(10)&amp;Sheet1!$E$1&amp;'Phân công'!#REF!&amp;CHAR(10)&amp;Sheet1!$F$1&amp;'Phân công'!#REF!</f>
        <v>#REF!</v>
      </c>
      <c r="C23" s="56" t="e">
        <f>$G$1&amp;'Phân công'!#REF!&amp;CHAR(10)&amp;Sheet1!$H$1&amp;'Phân công'!#REF!&amp;CHAR(10)&amp;Sheet1!$I$1&amp;'Phân công'!#REF!&amp;CHAR(10)&amp;Sheet1!$J$1&amp;'Phân công'!#REF!&amp;CHAR(10)&amp;$K$1&amp;'Phân công'!#REF!</f>
        <v>#REF!</v>
      </c>
    </row>
    <row r="24" spans="1:3" ht="98.25" customHeight="1" x14ac:dyDescent="0.25">
      <c r="A24" s="56">
        <v>23</v>
      </c>
      <c r="B24" s="56" t="e">
        <f>$B$1&amp;'Phân công'!#REF!&amp;CHAR(10)&amp;Sheet1!$C$1&amp;'Phân công'!A20&amp;CHAR(10)&amp;Sheet1!$D$1&amp;'Phân công'!#REF!&amp;CHAR(10)&amp;Sheet1!$E$1&amp;'Phân công'!#REF!&amp;CHAR(10)&amp;Sheet1!$F$1&amp;'Phân công'!#REF!</f>
        <v>#REF!</v>
      </c>
      <c r="C24" s="56" t="e">
        <f>$G$1&amp;'Phân công'!#REF!&amp;CHAR(10)&amp;Sheet1!$H$1&amp;'Phân công'!#REF!&amp;CHAR(10)&amp;Sheet1!$I$1&amp;'Phân công'!#REF!&amp;CHAR(10)&amp;Sheet1!$J$1&amp;'Phân công'!#REF!&amp;CHAR(10)&amp;$K$1&amp;'Phân công'!#REF!</f>
        <v>#REF!</v>
      </c>
    </row>
    <row r="25" spans="1:3" ht="98.25" customHeight="1" x14ac:dyDescent="0.25">
      <c r="A25" s="56">
        <v>24</v>
      </c>
      <c r="B25" s="56" t="e">
        <f>$B$1&amp;'Phân công'!#REF!&amp;CHAR(10)&amp;Sheet1!$C$1&amp;'Phân công'!A21&amp;CHAR(10)&amp;Sheet1!$D$1&amp;'Phân công'!#REF!&amp;CHAR(10)&amp;Sheet1!$E$1&amp;'Phân công'!#REF!&amp;CHAR(10)&amp;Sheet1!$F$1&amp;'Phân công'!#REF!</f>
        <v>#REF!</v>
      </c>
      <c r="C25" s="56" t="e">
        <f>$G$1&amp;'Phân công'!#REF!&amp;CHAR(10)&amp;Sheet1!$H$1&amp;'Phân công'!#REF!&amp;CHAR(10)&amp;Sheet1!$I$1&amp;'Phân công'!#REF!&amp;CHAR(10)&amp;Sheet1!$J$1&amp;'Phân công'!#REF!&amp;CHAR(10)&amp;$K$1&amp;'Phân công'!#REF!</f>
        <v>#REF!</v>
      </c>
    </row>
    <row r="26" spans="1:3" ht="98.25" customHeight="1" x14ac:dyDescent="0.25">
      <c r="A26" s="56">
        <v>25</v>
      </c>
      <c r="B26" s="56" t="e">
        <f>$B$1&amp;'Phân công'!#REF!&amp;CHAR(10)&amp;Sheet1!$C$1&amp;'Phân công'!A22&amp;CHAR(10)&amp;Sheet1!$D$1&amp;'Phân công'!#REF!&amp;CHAR(10)&amp;Sheet1!$E$1&amp;'Phân công'!#REF!&amp;CHAR(10)&amp;Sheet1!$F$1&amp;'Phân công'!#REF!</f>
        <v>#REF!</v>
      </c>
      <c r="C26" s="56" t="e">
        <f>$G$1&amp;'Phân công'!#REF!&amp;CHAR(10)&amp;Sheet1!$H$1&amp;'Phân công'!#REF!&amp;CHAR(10)&amp;Sheet1!$I$1&amp;'Phân công'!#REF!&amp;CHAR(10)&amp;Sheet1!$J$1&amp;'Phân công'!#REF!&amp;CHAR(10)&amp;$K$1&amp;'Phân công'!#REF!</f>
        <v>#REF!</v>
      </c>
    </row>
    <row r="27" spans="1:3" ht="98.25" customHeight="1" x14ac:dyDescent="0.25">
      <c r="A27" s="56">
        <v>26</v>
      </c>
      <c r="B27" s="56" t="e">
        <f>$B$1&amp;'Phân công'!#REF!&amp;CHAR(10)&amp;Sheet1!$C$1&amp;'Phân công'!A23&amp;CHAR(10)&amp;Sheet1!$D$1&amp;'Phân công'!#REF!&amp;CHAR(10)&amp;Sheet1!$E$1&amp;'Phân công'!#REF!&amp;CHAR(10)&amp;Sheet1!$F$1&amp;'Phân công'!#REF!</f>
        <v>#REF!</v>
      </c>
      <c r="C27" s="56" t="e">
        <f>$G$1&amp;'Phân công'!#REF!&amp;CHAR(10)&amp;Sheet1!$H$1&amp;'Phân công'!#REF!&amp;CHAR(10)&amp;Sheet1!$I$1&amp;'Phân công'!#REF!&amp;CHAR(10)&amp;Sheet1!$J$1&amp;'Phân công'!#REF!&amp;CHAR(10)&amp;$K$1&amp;'Phân công'!#REF!</f>
        <v>#REF!</v>
      </c>
    </row>
    <row r="28" spans="1:3" ht="98.25" customHeight="1" x14ac:dyDescent="0.25">
      <c r="A28" s="56">
        <v>27</v>
      </c>
      <c r="B28" s="56" t="e">
        <f>$B$1&amp;'Phân công'!#REF!&amp;CHAR(10)&amp;Sheet1!$C$1&amp;'Phân công'!A24&amp;CHAR(10)&amp;Sheet1!$D$1&amp;'Phân công'!#REF!&amp;CHAR(10)&amp;Sheet1!$E$1&amp;'Phân công'!#REF!&amp;CHAR(10)&amp;Sheet1!$F$1&amp;'Phân công'!#REF!</f>
        <v>#REF!</v>
      </c>
      <c r="C28" s="56" t="e">
        <f>$G$1&amp;'Phân công'!#REF!&amp;CHAR(10)&amp;Sheet1!$H$1&amp;'Phân công'!#REF!&amp;CHAR(10)&amp;Sheet1!$I$1&amp;'Phân công'!#REF!&amp;CHAR(10)&amp;Sheet1!$J$1&amp;'Phân công'!#REF!&amp;CHAR(10)&amp;$K$1&amp;'Phân công'!#REF!</f>
        <v>#REF!</v>
      </c>
    </row>
    <row r="29" spans="1:3" ht="98.25" customHeight="1" x14ac:dyDescent="0.25">
      <c r="A29" s="56">
        <v>28</v>
      </c>
      <c r="B29" s="56" t="e">
        <f>$B$1&amp;'Phân công'!#REF!&amp;CHAR(10)&amp;Sheet1!$C$1&amp;'Phân công'!A25&amp;CHAR(10)&amp;Sheet1!$D$1&amp;'Phân công'!#REF!&amp;CHAR(10)&amp;Sheet1!$E$1&amp;'Phân công'!#REF!&amp;CHAR(10)&amp;Sheet1!$F$1&amp;'Phân công'!#REF!</f>
        <v>#REF!</v>
      </c>
      <c r="C29" s="56" t="e">
        <f>$G$1&amp;'Phân công'!#REF!&amp;CHAR(10)&amp;Sheet1!$H$1&amp;'Phân công'!#REF!&amp;CHAR(10)&amp;Sheet1!$I$1&amp;'Phân công'!#REF!&amp;CHAR(10)&amp;Sheet1!$J$1&amp;'Phân công'!#REF!&amp;CHAR(10)&amp;$K$1&amp;'Phân công'!#REF!</f>
        <v>#REF!</v>
      </c>
    </row>
    <row r="30" spans="1:3" ht="98.25" customHeight="1" x14ac:dyDescent="0.25">
      <c r="A30" s="56">
        <v>29</v>
      </c>
      <c r="B30" s="56" t="e">
        <f>$B$1&amp;'Phân công'!#REF!&amp;CHAR(10)&amp;Sheet1!$C$1&amp;'Phân công'!A26&amp;CHAR(10)&amp;Sheet1!$D$1&amp;'Phân công'!#REF!&amp;CHAR(10)&amp;Sheet1!$E$1&amp;'Phân công'!#REF!&amp;CHAR(10)&amp;Sheet1!$F$1&amp;'Phân công'!#REF!</f>
        <v>#REF!</v>
      </c>
      <c r="C30" s="56" t="e">
        <f>$G$1&amp;'Phân công'!#REF!&amp;CHAR(10)&amp;Sheet1!$H$1&amp;'Phân công'!#REF!&amp;CHAR(10)&amp;Sheet1!$I$1&amp;'Phân công'!#REF!&amp;CHAR(10)&amp;Sheet1!$J$1&amp;'Phân công'!#REF!&amp;CHAR(10)&amp;$K$1&amp;'Phân công'!#REF!</f>
        <v>#REF!</v>
      </c>
    </row>
    <row r="31" spans="1:3" ht="98.25" customHeight="1" x14ac:dyDescent="0.25">
      <c r="A31" s="56">
        <v>30</v>
      </c>
      <c r="B31" s="56" t="e">
        <f>$B$1&amp;'Phân công'!#REF!&amp;CHAR(10)&amp;Sheet1!$C$1&amp;'Phân công'!A27&amp;CHAR(10)&amp;Sheet1!$D$1&amp;'Phân công'!#REF!&amp;CHAR(10)&amp;Sheet1!$E$1&amp;'Phân công'!#REF!&amp;CHAR(10)&amp;Sheet1!$F$1&amp;'Phân công'!#REF!</f>
        <v>#REF!</v>
      </c>
      <c r="C31" s="56" t="e">
        <f>$G$1&amp;'Phân công'!#REF!&amp;CHAR(10)&amp;Sheet1!$H$1&amp;'Phân công'!#REF!&amp;CHAR(10)&amp;Sheet1!$I$1&amp;'Phân công'!#REF!&amp;CHAR(10)&amp;Sheet1!$J$1&amp;'Phân công'!#REF!&amp;CHAR(10)&amp;$K$1&amp;'Phân công'!#REF!</f>
        <v>#REF!</v>
      </c>
    </row>
    <row r="32" spans="1:3" ht="98.25" customHeight="1" x14ac:dyDescent="0.25">
      <c r="A32" s="56">
        <v>31</v>
      </c>
      <c r="B32" s="56" t="e">
        <f>$B$1&amp;'Phân công'!#REF!&amp;CHAR(10)&amp;Sheet1!$C$1&amp;'Phân công'!A28&amp;CHAR(10)&amp;Sheet1!$D$1&amp;'Phân công'!#REF!&amp;CHAR(10)&amp;Sheet1!$E$1&amp;'Phân công'!#REF!&amp;CHAR(10)&amp;Sheet1!$F$1&amp;'Phân công'!#REF!</f>
        <v>#REF!</v>
      </c>
      <c r="C32" s="56" t="e">
        <f>$G$1&amp;'Phân công'!#REF!&amp;CHAR(10)&amp;Sheet1!$H$1&amp;'Phân công'!#REF!&amp;CHAR(10)&amp;Sheet1!$I$1&amp;'Phân công'!#REF!&amp;CHAR(10)&amp;Sheet1!$J$1&amp;'Phân công'!#REF!&amp;CHAR(10)&amp;$K$1&amp;'Phân công'!#REF!</f>
        <v>#REF!</v>
      </c>
    </row>
    <row r="33" spans="1:3" ht="98.25" customHeight="1" x14ac:dyDescent="0.25">
      <c r="A33" s="56">
        <v>32</v>
      </c>
      <c r="B33" s="56" t="e">
        <f>$B$1&amp;'Phân công'!#REF!&amp;CHAR(10)&amp;Sheet1!$C$1&amp;'Phân công'!A29&amp;CHAR(10)&amp;Sheet1!$D$1&amp;'Phân công'!#REF!&amp;CHAR(10)&amp;Sheet1!$E$1&amp;'Phân công'!#REF!&amp;CHAR(10)&amp;Sheet1!$F$1&amp;'Phân công'!#REF!</f>
        <v>#REF!</v>
      </c>
      <c r="C33" s="56" t="e">
        <f>$G$1&amp;'Phân công'!#REF!&amp;CHAR(10)&amp;Sheet1!$H$1&amp;'Phân công'!#REF!&amp;CHAR(10)&amp;Sheet1!$I$1&amp;'Phân công'!#REF!&amp;CHAR(10)&amp;Sheet1!$J$1&amp;'Phân công'!#REF!&amp;CHAR(10)&amp;$K$1&amp;'Phân công'!#REF!</f>
        <v>#REF!</v>
      </c>
    </row>
    <row r="34" spans="1:3" ht="98.25" customHeight="1" x14ac:dyDescent="0.25">
      <c r="A34" s="56">
        <v>33</v>
      </c>
      <c r="B34" s="56" t="e">
        <f>$B$1&amp;'Phân công'!#REF!&amp;CHAR(10)&amp;Sheet1!$C$1&amp;'Phân công'!A30&amp;CHAR(10)&amp;Sheet1!$D$1&amp;'Phân công'!#REF!&amp;CHAR(10)&amp;Sheet1!$E$1&amp;'Phân công'!#REF!&amp;CHAR(10)&amp;Sheet1!$F$1&amp;'Phân công'!#REF!</f>
        <v>#REF!</v>
      </c>
      <c r="C34" s="56" t="e">
        <f>$G$1&amp;'Phân công'!#REF!&amp;CHAR(10)&amp;Sheet1!$H$1&amp;'Phân công'!#REF!&amp;CHAR(10)&amp;Sheet1!$I$1&amp;'Phân công'!#REF!&amp;CHAR(10)&amp;Sheet1!$J$1&amp;'Phân công'!#REF!&amp;CHAR(10)&amp;$K$1&amp;'Phân công'!#REF!</f>
        <v>#REF!</v>
      </c>
    </row>
    <row r="35" spans="1:3" ht="98.25" customHeight="1" x14ac:dyDescent="0.25">
      <c r="A35" s="56">
        <v>34</v>
      </c>
      <c r="B35" s="56" t="e">
        <f>$B$1&amp;'Phân công'!#REF!&amp;CHAR(10)&amp;Sheet1!$C$1&amp;'Phân công'!#REF!&amp;CHAR(10)&amp;Sheet1!$D$1&amp;'Phân công'!#REF!&amp;CHAR(10)&amp;Sheet1!$E$1&amp;'Phân công'!#REF!&amp;CHAR(10)&amp;Sheet1!$F$1&amp;'Phân công'!#REF!</f>
        <v>#REF!</v>
      </c>
      <c r="C35" s="56" t="e">
        <f>$G$1&amp;'Phân công'!#REF!&amp;CHAR(10)&amp;Sheet1!$H$1&amp;'Phân công'!#REF!&amp;CHAR(10)&amp;Sheet1!$I$1&amp;'Phân công'!#REF!&amp;CHAR(10)&amp;Sheet1!$J$1&amp;'Phân công'!#REF!&amp;CHAR(10)&amp;$K$1&amp;'Phân công'!#REF!</f>
        <v>#REF!</v>
      </c>
    </row>
    <row r="36" spans="1:3" ht="98.25" customHeight="1" x14ac:dyDescent="0.25">
      <c r="A36" s="56">
        <v>35</v>
      </c>
      <c r="B36" s="56" t="e">
        <f>$B$1&amp;'Phân công'!#REF!&amp;CHAR(10)&amp;Sheet1!$C$1&amp;'Phân công'!#REF!&amp;CHAR(10)&amp;Sheet1!$D$1&amp;'Phân công'!#REF!&amp;CHAR(10)&amp;Sheet1!$E$1&amp;'Phân công'!#REF!&amp;CHAR(10)&amp;Sheet1!$F$1&amp;'Phân công'!#REF!</f>
        <v>#REF!</v>
      </c>
      <c r="C36" s="56" t="e">
        <f>$G$1&amp;'Phân công'!#REF!&amp;CHAR(10)&amp;Sheet1!$H$1&amp;'Phân công'!#REF!&amp;CHAR(10)&amp;Sheet1!$I$1&amp;'Phân công'!#REF!&amp;CHAR(10)&amp;Sheet1!$J$1&amp;'Phân công'!#REF!&amp;CHAR(10)&amp;$K$1&amp;'Phân công'!#REF!</f>
        <v>#REF!</v>
      </c>
    </row>
    <row r="37" spans="1:3" ht="98.25" customHeight="1" x14ac:dyDescent="0.25">
      <c r="A37" s="56">
        <v>36</v>
      </c>
      <c r="B37" s="56" t="e">
        <f>$B$1&amp;'Phân công'!#REF!&amp;CHAR(10)&amp;Sheet1!$C$1&amp;'Phân công'!#REF!&amp;CHAR(10)&amp;Sheet1!$D$1&amp;'Phân công'!#REF!&amp;CHAR(10)&amp;Sheet1!$E$1&amp;'Phân công'!#REF!&amp;CHAR(10)&amp;Sheet1!$F$1&amp;'Phân công'!#REF!</f>
        <v>#REF!</v>
      </c>
      <c r="C37" s="56" t="e">
        <f>$G$1&amp;'Phân công'!#REF!&amp;CHAR(10)&amp;Sheet1!$H$1&amp;'Phân công'!#REF!&amp;CHAR(10)&amp;Sheet1!$I$1&amp;'Phân công'!#REF!&amp;CHAR(10)&amp;Sheet1!$J$1&amp;'Phân công'!#REF!&amp;CHAR(10)&amp;$K$1&amp;'Phân công'!#REF!</f>
        <v>#REF!</v>
      </c>
    </row>
    <row r="38" spans="1:3" ht="98.25" customHeight="1" x14ac:dyDescent="0.25">
      <c r="A38" s="56">
        <v>37</v>
      </c>
      <c r="B38" s="56" t="e">
        <f>$B$1&amp;'Phân công'!#REF!&amp;CHAR(10)&amp;Sheet1!$C$1&amp;'Phân công'!#REF!&amp;CHAR(10)&amp;Sheet1!$D$1&amp;'Phân công'!#REF!&amp;CHAR(10)&amp;Sheet1!$E$1&amp;'Phân công'!#REF!&amp;CHAR(10)&amp;Sheet1!$F$1&amp;'Phân công'!#REF!</f>
        <v>#REF!</v>
      </c>
      <c r="C38" s="56" t="e">
        <f>$G$1&amp;'Phân công'!#REF!&amp;CHAR(10)&amp;Sheet1!$H$1&amp;'Phân công'!#REF!&amp;CHAR(10)&amp;Sheet1!$I$1&amp;'Phân công'!#REF!&amp;CHAR(10)&amp;Sheet1!$J$1&amp;'Phân công'!#REF!&amp;CHAR(10)&amp;$K$1&amp;'Phân công'!#REF!</f>
        <v>#REF!</v>
      </c>
    </row>
    <row r="39" spans="1:3" ht="98.25" customHeight="1" x14ac:dyDescent="0.25">
      <c r="A39" s="56">
        <v>38</v>
      </c>
      <c r="B39" s="56" t="e">
        <f>$B$1&amp;'Phân công'!#REF!&amp;CHAR(10)&amp;Sheet1!$C$1&amp;'Phân công'!#REF!&amp;CHAR(10)&amp;Sheet1!$D$1&amp;'Phân công'!#REF!&amp;CHAR(10)&amp;Sheet1!$E$1&amp;'Phân công'!#REF!&amp;CHAR(10)&amp;Sheet1!$F$1&amp;'Phân công'!#REF!</f>
        <v>#REF!</v>
      </c>
      <c r="C39" s="56" t="e">
        <f>$G$1&amp;'Phân công'!#REF!&amp;CHAR(10)&amp;Sheet1!$H$1&amp;'Phân công'!#REF!&amp;CHAR(10)&amp;Sheet1!$I$1&amp;'Phân công'!#REF!&amp;CHAR(10)&amp;Sheet1!$J$1&amp;'Phân công'!#REF!&amp;CHAR(10)&amp;$K$1&amp;'Phân công'!#REF!</f>
        <v>#REF!</v>
      </c>
    </row>
    <row r="40" spans="1:3" ht="98.25" customHeight="1" x14ac:dyDescent="0.25">
      <c r="A40" s="56">
        <v>39</v>
      </c>
      <c r="B40" s="56" t="e">
        <f>$B$1&amp;'Phân công'!#REF!&amp;CHAR(10)&amp;Sheet1!$C$1&amp;'Phân công'!#REF!&amp;CHAR(10)&amp;Sheet1!$D$1&amp;'Phân công'!#REF!&amp;CHAR(10)&amp;Sheet1!$E$1&amp;'Phân công'!#REF!&amp;CHAR(10)&amp;Sheet1!$F$1&amp;'Phân công'!#REF!</f>
        <v>#REF!</v>
      </c>
      <c r="C40" s="56" t="e">
        <f>$G$1&amp;'Phân công'!#REF!&amp;CHAR(10)&amp;Sheet1!$H$1&amp;'Phân công'!#REF!&amp;CHAR(10)&amp;Sheet1!$I$1&amp;'Phân công'!#REF!&amp;CHAR(10)&amp;Sheet1!$J$1&amp;'Phân công'!#REF!&amp;CHAR(10)&amp;$K$1&amp;'Phân công'!#REF!</f>
        <v>#REF!</v>
      </c>
    </row>
    <row r="41" spans="1:3" ht="98.25" customHeight="1" x14ac:dyDescent="0.25">
      <c r="A41" s="56">
        <v>40</v>
      </c>
      <c r="B41" s="56" t="e">
        <f>$B$1&amp;'Phân công'!#REF!&amp;CHAR(10)&amp;Sheet1!$C$1&amp;'Phân công'!A31&amp;CHAR(10)&amp;Sheet1!$D$1&amp;'Phân công'!#REF!&amp;CHAR(10)&amp;Sheet1!$E$1&amp;'Phân công'!#REF!&amp;CHAR(10)&amp;Sheet1!$F$1&amp;'Phân công'!#REF!</f>
        <v>#REF!</v>
      </c>
      <c r="C41" s="56" t="e">
        <f>$G$1&amp;'Phân công'!#REF!&amp;CHAR(10)&amp;Sheet1!$H$1&amp;'Phân công'!#REF!&amp;CHAR(10)&amp;Sheet1!$I$1&amp;'Phân công'!#REF!&amp;CHAR(10)&amp;Sheet1!$J$1&amp;'Phân công'!#REF!&amp;CHAR(10)&amp;$K$1&amp;'Phân công'!#REF!</f>
        <v>#REF!</v>
      </c>
    </row>
    <row r="42" spans="1:3" ht="98.25" customHeight="1" x14ac:dyDescent="0.25">
      <c r="A42" s="56">
        <v>41</v>
      </c>
      <c r="B42" s="56" t="e">
        <f>$B$1&amp;'Phân công'!#REF!&amp;CHAR(10)&amp;Sheet1!$C$1&amp;'Phân công'!A32&amp;CHAR(10)&amp;Sheet1!$D$1&amp;'Phân công'!#REF!&amp;CHAR(10)&amp;Sheet1!$E$1&amp;'Phân công'!#REF!&amp;CHAR(10)&amp;Sheet1!$F$1&amp;'Phân công'!#REF!</f>
        <v>#REF!</v>
      </c>
      <c r="C42" s="56" t="e">
        <f>$G$1&amp;'Phân công'!#REF!&amp;CHAR(10)&amp;Sheet1!$H$1&amp;'Phân công'!#REF!&amp;CHAR(10)&amp;Sheet1!$I$1&amp;'Phân công'!#REF!&amp;CHAR(10)&amp;Sheet1!$J$1&amp;'Phân công'!#REF!&amp;CHAR(10)&amp;$K$1&amp;'Phân công'!#REF!</f>
        <v>#REF!</v>
      </c>
    </row>
    <row r="43" spans="1:3" ht="98.25" customHeight="1" x14ac:dyDescent="0.25">
      <c r="A43" s="56">
        <v>42</v>
      </c>
      <c r="B43" s="56" t="e">
        <f>$B$1&amp;'Phân công'!#REF!&amp;CHAR(10)&amp;Sheet1!$C$1&amp;'Phân công'!A33&amp;CHAR(10)&amp;Sheet1!$D$1&amp;'Phân công'!#REF!&amp;CHAR(10)&amp;Sheet1!$E$1&amp;'Phân công'!#REF!&amp;CHAR(10)&amp;Sheet1!$F$1&amp;'Phân công'!#REF!</f>
        <v>#REF!</v>
      </c>
      <c r="C43" s="56" t="e">
        <f>$G$1&amp;'Phân công'!#REF!&amp;CHAR(10)&amp;Sheet1!$H$1&amp;'Phân công'!#REF!&amp;CHAR(10)&amp;Sheet1!$I$1&amp;'Phân công'!#REF!&amp;CHAR(10)&amp;Sheet1!$J$1&amp;'Phân công'!#REF!&amp;CHAR(10)&amp;$K$1&amp;'Phân công'!#REF!</f>
        <v>#REF!</v>
      </c>
    </row>
    <row r="44" spans="1:3" ht="98.25" customHeight="1" x14ac:dyDescent="0.25">
      <c r="A44" s="56">
        <v>43</v>
      </c>
      <c r="B44" s="56" t="e">
        <f>$B$1&amp;'Phân công'!#REF!&amp;CHAR(10)&amp;Sheet1!$C$1&amp;'Phân công'!A34&amp;CHAR(10)&amp;Sheet1!$D$1&amp;'Phân công'!#REF!&amp;CHAR(10)&amp;Sheet1!$E$1&amp;'Phân công'!#REF!&amp;CHAR(10)&amp;Sheet1!$F$1&amp;'Phân công'!#REF!</f>
        <v>#REF!</v>
      </c>
      <c r="C44" s="56" t="e">
        <f>$G$1&amp;'Phân công'!#REF!&amp;CHAR(10)&amp;Sheet1!$H$1&amp;'Phân công'!#REF!&amp;CHAR(10)&amp;Sheet1!$I$1&amp;'Phân công'!#REF!&amp;CHAR(10)&amp;Sheet1!$J$1&amp;'Phân công'!#REF!&amp;CHAR(10)&amp;$K$1&amp;'Phân công'!#REF!</f>
        <v>#REF!</v>
      </c>
    </row>
    <row r="45" spans="1:3" ht="98.25" customHeight="1" x14ac:dyDescent="0.25">
      <c r="A45" s="56">
        <v>44</v>
      </c>
      <c r="B45" s="56" t="e">
        <f>$B$1&amp;'Phân công'!#REF!&amp;CHAR(10)&amp;Sheet1!$C$1&amp;'Phân công'!A35&amp;CHAR(10)&amp;Sheet1!$D$1&amp;'Phân công'!#REF!&amp;CHAR(10)&amp;Sheet1!$E$1&amp;'Phân công'!#REF!&amp;CHAR(10)&amp;Sheet1!$F$1&amp;'Phân công'!#REF!</f>
        <v>#REF!</v>
      </c>
      <c r="C45" s="56" t="e">
        <f>$G$1&amp;'Phân công'!#REF!&amp;CHAR(10)&amp;Sheet1!$H$1&amp;'Phân công'!#REF!&amp;CHAR(10)&amp;Sheet1!$I$1&amp;'Phân công'!#REF!&amp;CHAR(10)&amp;Sheet1!$J$1&amp;'Phân công'!#REF!&amp;CHAR(10)&amp;$K$1&amp;'Phân công'!#REF!</f>
        <v>#REF!</v>
      </c>
    </row>
    <row r="46" spans="1:3" ht="98.25" customHeight="1" x14ac:dyDescent="0.25">
      <c r="A46" s="56">
        <v>45</v>
      </c>
      <c r="B46" s="56" t="e">
        <f>$B$1&amp;'Phân công'!#REF!&amp;CHAR(10)&amp;Sheet1!$C$1&amp;'Phân công'!A36&amp;CHAR(10)&amp;Sheet1!$D$1&amp;'Phân công'!#REF!&amp;CHAR(10)&amp;Sheet1!$E$1&amp;'Phân công'!#REF!&amp;CHAR(10)&amp;Sheet1!$F$1&amp;'Phân công'!#REF!</f>
        <v>#REF!</v>
      </c>
      <c r="C46" s="56" t="e">
        <f>$G$1&amp;'Phân công'!#REF!&amp;CHAR(10)&amp;Sheet1!$H$1&amp;'Phân công'!#REF!&amp;CHAR(10)&amp;Sheet1!$I$1&amp;'Phân công'!#REF!&amp;CHAR(10)&amp;Sheet1!$J$1&amp;'Phân công'!#REF!&amp;CHAR(10)&amp;$K$1&amp;'Phân công'!#REF!</f>
        <v>#REF!</v>
      </c>
    </row>
    <row r="47" spans="1:3" ht="98.25" customHeight="1" x14ac:dyDescent="0.25">
      <c r="A47" s="56">
        <v>46</v>
      </c>
      <c r="B47" s="56" t="e">
        <f>$B$1&amp;'Phân công'!#REF!&amp;CHAR(10)&amp;Sheet1!$C$1&amp;'Phân công'!#REF!&amp;CHAR(10)&amp;Sheet1!$D$1&amp;'Phân công'!#REF!&amp;CHAR(10)&amp;Sheet1!$E$1&amp;'Phân công'!#REF!&amp;CHAR(10)&amp;Sheet1!$F$1&amp;'Phân công'!#REF!</f>
        <v>#REF!</v>
      </c>
      <c r="C47" s="56" t="e">
        <f>$G$1&amp;'Phân công'!#REF!&amp;CHAR(10)&amp;Sheet1!$H$1&amp;'Phân công'!#REF!&amp;CHAR(10)&amp;Sheet1!$I$1&amp;'Phân công'!#REF!&amp;CHAR(10)&amp;Sheet1!$J$1&amp;'Phân công'!#REF!&amp;CHAR(10)&amp;$K$1&amp;'Phân công'!#REF!</f>
        <v>#REF!</v>
      </c>
    </row>
    <row r="48" spans="1:3" ht="98.25" customHeight="1" x14ac:dyDescent="0.25">
      <c r="A48" s="56">
        <v>47</v>
      </c>
      <c r="B48" s="56" t="e">
        <f>$B$1&amp;'Phân công'!#REF!&amp;CHAR(10)&amp;Sheet1!$C$1&amp;'Phân công'!#REF!&amp;CHAR(10)&amp;Sheet1!$D$1&amp;'Phân công'!#REF!&amp;CHAR(10)&amp;Sheet1!$E$1&amp;'Phân công'!#REF!&amp;CHAR(10)&amp;Sheet1!$F$1&amp;'Phân công'!#REF!</f>
        <v>#REF!</v>
      </c>
      <c r="C48" s="56" t="e">
        <f>$G$1&amp;'Phân công'!#REF!&amp;CHAR(10)&amp;Sheet1!$H$1&amp;'Phân công'!#REF!&amp;CHAR(10)&amp;Sheet1!$I$1&amp;'Phân công'!#REF!&amp;CHAR(10)&amp;Sheet1!$J$1&amp;'Phân công'!#REF!&amp;CHAR(10)&amp;$K$1&amp;'Phân công'!#REF!</f>
        <v>#REF!</v>
      </c>
    </row>
    <row r="49" spans="1:3" ht="98.25" customHeight="1" x14ac:dyDescent="0.25">
      <c r="A49" s="56">
        <v>48</v>
      </c>
      <c r="B49" s="56" t="e">
        <f>$B$1&amp;'Phân công'!#REF!&amp;CHAR(10)&amp;Sheet1!$C$1&amp;'Phân công'!#REF!&amp;CHAR(10)&amp;Sheet1!$D$1&amp;'Phân công'!#REF!&amp;CHAR(10)&amp;Sheet1!$E$1&amp;'Phân công'!#REF!&amp;CHAR(10)&amp;Sheet1!$F$1&amp;'Phân công'!#REF!</f>
        <v>#REF!</v>
      </c>
      <c r="C49" s="56" t="e">
        <f>$G$1&amp;'Phân công'!#REF!&amp;CHAR(10)&amp;Sheet1!$H$1&amp;'Phân công'!#REF!&amp;CHAR(10)&amp;Sheet1!$I$1&amp;'Phân công'!#REF!&amp;CHAR(10)&amp;Sheet1!$J$1&amp;'Phân công'!#REF!&amp;CHAR(10)&amp;$K$1&amp;'Phân công'!#REF!</f>
        <v>#REF!</v>
      </c>
    </row>
    <row r="50" spans="1:3" ht="98.25" customHeight="1" x14ac:dyDescent="0.25">
      <c r="A50" s="56">
        <v>49</v>
      </c>
      <c r="B50" s="56" t="e">
        <f>$B$1&amp;'Phân công'!#REF!&amp;CHAR(10)&amp;Sheet1!$C$1&amp;'Phân công'!#REF!&amp;CHAR(10)&amp;Sheet1!$D$1&amp;'Phân công'!#REF!&amp;CHAR(10)&amp;Sheet1!$E$1&amp;'Phân công'!#REF!&amp;CHAR(10)&amp;Sheet1!$F$1&amp;'Phân công'!#REF!</f>
        <v>#REF!</v>
      </c>
      <c r="C50" s="56" t="e">
        <f>$G$1&amp;'Phân công'!#REF!&amp;CHAR(10)&amp;Sheet1!$H$1&amp;'Phân công'!#REF!&amp;CHAR(10)&amp;Sheet1!$I$1&amp;'Phân công'!#REF!&amp;CHAR(10)&amp;Sheet1!$J$1&amp;'Phân công'!#REF!&amp;CHAR(10)&amp;$K$1&amp;'Phân công'!#REF!</f>
        <v>#REF!</v>
      </c>
    </row>
    <row r="51" spans="1:3" ht="98.25" customHeight="1" x14ac:dyDescent="0.25">
      <c r="A51" s="56">
        <v>50</v>
      </c>
      <c r="B51" s="56" t="e">
        <f>$B$1&amp;'Phân công'!#REF!&amp;CHAR(10)&amp;Sheet1!$C$1&amp;'Phân công'!#REF!&amp;CHAR(10)&amp;Sheet1!$D$1&amp;'Phân công'!#REF!&amp;CHAR(10)&amp;Sheet1!$E$1&amp;'Phân công'!#REF!&amp;CHAR(10)&amp;Sheet1!$F$1&amp;'Phân công'!#REF!</f>
        <v>#REF!</v>
      </c>
      <c r="C51" s="56" t="e">
        <f>$G$1&amp;'Phân công'!#REF!&amp;CHAR(10)&amp;Sheet1!$H$1&amp;'Phân công'!#REF!&amp;CHAR(10)&amp;Sheet1!$I$1&amp;'Phân công'!#REF!&amp;CHAR(10)&amp;Sheet1!$J$1&amp;'Phân công'!#REF!&amp;CHAR(10)&amp;$K$1&amp;'Phân công'!#REF!</f>
        <v>#REF!</v>
      </c>
    </row>
    <row r="52" spans="1:3" ht="98.25" customHeight="1" x14ac:dyDescent="0.25">
      <c r="A52" s="56">
        <v>51</v>
      </c>
      <c r="B52" s="56" t="e">
        <f>$B$1&amp;'Phân công'!#REF!&amp;CHAR(10)&amp;Sheet1!$C$1&amp;'Phân công'!A37&amp;CHAR(10)&amp;Sheet1!$D$1&amp;'Phân công'!#REF!&amp;CHAR(10)&amp;Sheet1!$E$1&amp;'Phân công'!#REF!&amp;CHAR(10)&amp;Sheet1!$F$1&amp;'Phân công'!#REF!</f>
        <v>#REF!</v>
      </c>
      <c r="C52" s="56" t="e">
        <f>$G$1&amp;'Phân công'!#REF!&amp;CHAR(10)&amp;Sheet1!$H$1&amp;'Phân công'!#REF!&amp;CHAR(10)&amp;Sheet1!$I$1&amp;'Phân công'!#REF!&amp;CHAR(10)&amp;Sheet1!$J$1&amp;'Phân công'!#REF!&amp;CHAR(10)&amp;$K$1&amp;'Phân công'!#REF!</f>
        <v>#REF!</v>
      </c>
    </row>
    <row r="53" spans="1:3" ht="98.25" customHeight="1" x14ac:dyDescent="0.25">
      <c r="A53" s="56">
        <v>52</v>
      </c>
      <c r="B53" s="56" t="e">
        <f>$B$1&amp;'Phân công'!#REF!&amp;CHAR(10)&amp;Sheet1!$C$1&amp;'Phân công'!A38&amp;CHAR(10)&amp;Sheet1!$D$1&amp;'Phân công'!#REF!&amp;CHAR(10)&amp;Sheet1!$E$1&amp;'Phân công'!#REF!&amp;CHAR(10)&amp;Sheet1!$F$1&amp;'Phân công'!#REF!</f>
        <v>#REF!</v>
      </c>
      <c r="C53" s="56" t="e">
        <f>$G$1&amp;'Phân công'!#REF!&amp;CHAR(10)&amp;Sheet1!$H$1&amp;'Phân công'!#REF!&amp;CHAR(10)&amp;Sheet1!$I$1&amp;'Phân công'!#REF!&amp;CHAR(10)&amp;Sheet1!$J$1&amp;'Phân công'!#REF!&amp;CHAR(10)&amp;$K$1&amp;'Phân công'!#REF!</f>
        <v>#REF!</v>
      </c>
    </row>
    <row r="54" spans="1:3" ht="98.25" customHeight="1" x14ac:dyDescent="0.25">
      <c r="A54" s="56">
        <v>53</v>
      </c>
      <c r="B54" s="56" t="e">
        <f>$B$1&amp;'Phân công'!#REF!&amp;CHAR(10)&amp;Sheet1!$C$1&amp;'Phân công'!A39&amp;CHAR(10)&amp;Sheet1!$D$1&amp;'Phân công'!#REF!&amp;CHAR(10)&amp;Sheet1!$E$1&amp;'Phân công'!#REF!&amp;CHAR(10)&amp;Sheet1!$F$1&amp;'Phân công'!#REF!</f>
        <v>#REF!</v>
      </c>
      <c r="C54" s="56" t="e">
        <f>$G$1&amp;'Phân công'!#REF!&amp;CHAR(10)&amp;Sheet1!$H$1&amp;'Phân công'!#REF!&amp;CHAR(10)&amp;Sheet1!$I$1&amp;'Phân công'!#REF!&amp;CHAR(10)&amp;Sheet1!$J$1&amp;'Phân công'!#REF!&amp;CHAR(10)&amp;$K$1&amp;'Phân công'!#REF!</f>
        <v>#REF!</v>
      </c>
    </row>
    <row r="55" spans="1:3" ht="98.25" customHeight="1" x14ac:dyDescent="0.25">
      <c r="A55" s="56">
        <v>54</v>
      </c>
      <c r="B55" s="56" t="e">
        <f>$B$1&amp;'Phân công'!#REF!&amp;CHAR(10)&amp;Sheet1!$C$1&amp;'Phân công'!A40&amp;CHAR(10)&amp;Sheet1!$D$1&amp;'Phân công'!#REF!&amp;CHAR(10)&amp;Sheet1!$E$1&amp;'Phân công'!#REF!&amp;CHAR(10)&amp;Sheet1!$F$1&amp;'Phân công'!#REF!</f>
        <v>#REF!</v>
      </c>
      <c r="C55" s="56" t="e">
        <f>$G$1&amp;'Phân công'!#REF!&amp;CHAR(10)&amp;Sheet1!$H$1&amp;'Phân công'!#REF!&amp;CHAR(10)&amp;Sheet1!$I$1&amp;'Phân công'!#REF!&amp;CHAR(10)&amp;Sheet1!$J$1&amp;'Phân công'!#REF!&amp;CHAR(10)&amp;$K$1&amp;'Phân công'!#REF!</f>
        <v>#REF!</v>
      </c>
    </row>
    <row r="56" spans="1:3" ht="98.25" customHeight="1" x14ac:dyDescent="0.25">
      <c r="A56" s="56">
        <v>55</v>
      </c>
      <c r="B56" s="56" t="e">
        <f>$B$1&amp;'Phân công'!#REF!&amp;CHAR(10)&amp;Sheet1!$C$1&amp;'Phân công'!A41&amp;CHAR(10)&amp;Sheet1!$D$1&amp;'Phân công'!#REF!&amp;CHAR(10)&amp;Sheet1!$E$1&amp;'Phân công'!#REF!&amp;CHAR(10)&amp;Sheet1!$F$1&amp;'Phân công'!#REF!</f>
        <v>#REF!</v>
      </c>
      <c r="C56" s="56" t="e">
        <f>$G$1&amp;'Phân công'!#REF!&amp;CHAR(10)&amp;Sheet1!$H$1&amp;'Phân công'!#REF!&amp;CHAR(10)&amp;Sheet1!$I$1&amp;'Phân công'!#REF!&amp;CHAR(10)&amp;Sheet1!$J$1&amp;'Phân công'!#REF!&amp;CHAR(10)&amp;$K$1&amp;'Phân công'!#REF!</f>
        <v>#REF!</v>
      </c>
    </row>
    <row r="57" spans="1:3" ht="98.25" customHeight="1" x14ac:dyDescent="0.25">
      <c r="A57" s="56">
        <v>56</v>
      </c>
      <c r="B57" s="56" t="e">
        <f>$B$1&amp;'Phân công'!#REF!&amp;CHAR(10)&amp;Sheet1!$C$1&amp;'Phân công'!#REF!&amp;CHAR(10)&amp;Sheet1!$D$1&amp;'Phân công'!#REF!&amp;CHAR(10)&amp;Sheet1!$E$1&amp;'Phân công'!#REF!&amp;CHAR(10)&amp;Sheet1!$F$1&amp;'Phân công'!#REF!</f>
        <v>#REF!</v>
      </c>
      <c r="C57" s="56" t="e">
        <f>$G$1&amp;'Phân công'!#REF!&amp;CHAR(10)&amp;Sheet1!$H$1&amp;'Phân công'!#REF!&amp;CHAR(10)&amp;Sheet1!$I$1&amp;'Phân công'!#REF!&amp;CHAR(10)&amp;Sheet1!$J$1&amp;'Phân công'!#REF!&amp;CHAR(10)&amp;$K$1&amp;'Phân công'!#REF!</f>
        <v>#REF!</v>
      </c>
    </row>
    <row r="58" spans="1:3" ht="98.25" customHeight="1" x14ac:dyDescent="0.25">
      <c r="A58" s="56">
        <v>57</v>
      </c>
      <c r="B58" s="56" t="e">
        <f>$B$1&amp;'Phân công'!#REF!&amp;CHAR(10)&amp;Sheet1!$C$1&amp;'Phân công'!#REF!&amp;CHAR(10)&amp;Sheet1!$D$1&amp;'Phân công'!#REF!&amp;CHAR(10)&amp;Sheet1!$E$1&amp;'Phân công'!#REF!&amp;CHAR(10)&amp;Sheet1!$F$1&amp;'Phân công'!#REF!</f>
        <v>#REF!</v>
      </c>
      <c r="C58" s="56" t="e">
        <f>$G$1&amp;'Phân công'!#REF!&amp;CHAR(10)&amp;Sheet1!$H$1&amp;'Phân công'!#REF!&amp;CHAR(10)&amp;Sheet1!$I$1&amp;'Phân công'!#REF!&amp;CHAR(10)&amp;Sheet1!$J$1&amp;'Phân công'!#REF!&amp;CHAR(10)&amp;$K$1&amp;'Phân công'!#REF!</f>
        <v>#REF!</v>
      </c>
    </row>
    <row r="59" spans="1:3" ht="98.25" customHeight="1" x14ac:dyDescent="0.25">
      <c r="A59" s="56">
        <v>58</v>
      </c>
      <c r="B59" s="56" t="e">
        <f>$B$1&amp;'Phân công'!#REF!&amp;CHAR(10)&amp;Sheet1!$C$1&amp;'Phân công'!#REF!&amp;CHAR(10)&amp;Sheet1!$D$1&amp;'Phân công'!#REF!&amp;CHAR(10)&amp;Sheet1!$E$1&amp;'Phân công'!#REF!&amp;CHAR(10)&amp;Sheet1!$F$1&amp;'Phân công'!#REF!</f>
        <v>#REF!</v>
      </c>
      <c r="C59" s="56" t="e">
        <f>$G$1&amp;'Phân công'!#REF!&amp;CHAR(10)&amp;Sheet1!$H$1&amp;'Phân công'!#REF!&amp;CHAR(10)&amp;Sheet1!$I$1&amp;'Phân công'!#REF!&amp;CHAR(10)&amp;Sheet1!$J$1&amp;'Phân công'!#REF!&amp;CHAR(10)&amp;$K$1&amp;'Phân công'!#REF!</f>
        <v>#REF!</v>
      </c>
    </row>
    <row r="60" spans="1:3" ht="98.25" customHeight="1" x14ac:dyDescent="0.25">
      <c r="A60" s="56">
        <v>59</v>
      </c>
      <c r="B60" s="56" t="e">
        <f>$B$1&amp;'Phân công'!#REF!&amp;CHAR(10)&amp;Sheet1!$C$1&amp;'Phân công'!#REF!&amp;CHAR(10)&amp;Sheet1!$D$1&amp;'Phân công'!#REF!&amp;CHAR(10)&amp;Sheet1!$E$1&amp;'Phân công'!#REF!&amp;CHAR(10)&amp;Sheet1!$F$1&amp;'Phân công'!#REF!</f>
        <v>#REF!</v>
      </c>
      <c r="C60" s="56" t="e">
        <f>$G$1&amp;'Phân công'!#REF!&amp;CHAR(10)&amp;Sheet1!$H$1&amp;'Phân công'!#REF!&amp;CHAR(10)&amp;Sheet1!$I$1&amp;'Phân công'!#REF!&amp;CHAR(10)&amp;Sheet1!$J$1&amp;'Phân công'!#REF!&amp;CHAR(10)&amp;$K$1&amp;'Phân công'!#REF!</f>
        <v>#REF!</v>
      </c>
    </row>
    <row r="61" spans="1:3" ht="98.25" customHeight="1" x14ac:dyDescent="0.25">
      <c r="A61" s="56">
        <v>60</v>
      </c>
      <c r="B61" s="56" t="e">
        <f>$B$1&amp;'Phân công'!#REF!&amp;CHAR(10)&amp;Sheet1!$C$1&amp;'Phân công'!#REF!&amp;CHAR(10)&amp;Sheet1!$D$1&amp;'Phân công'!#REF!&amp;CHAR(10)&amp;Sheet1!$E$1&amp;'Phân công'!#REF!&amp;CHAR(10)&amp;Sheet1!$F$1&amp;'Phân công'!#REF!</f>
        <v>#REF!</v>
      </c>
      <c r="C61" s="56" t="e">
        <f>$G$1&amp;'Phân công'!#REF!&amp;CHAR(10)&amp;Sheet1!$H$1&amp;'Phân công'!#REF!&amp;CHAR(10)&amp;Sheet1!$I$1&amp;'Phân công'!#REF!&amp;CHAR(10)&amp;Sheet1!$J$1&amp;'Phân công'!#REF!&amp;CHAR(10)&amp;$K$1&amp;'Phân công'!#REF!</f>
        <v>#REF!</v>
      </c>
    </row>
    <row r="62" spans="1:3" ht="98.25" customHeight="1" x14ac:dyDescent="0.25">
      <c r="A62" s="56">
        <v>61</v>
      </c>
      <c r="B62" s="56" t="e">
        <f>$B$1&amp;'Phân công'!#REF!&amp;CHAR(10)&amp;Sheet1!$C$1&amp;'Phân công'!#REF!&amp;CHAR(10)&amp;Sheet1!$D$1&amp;'Phân công'!#REF!&amp;CHAR(10)&amp;Sheet1!$E$1&amp;'Phân công'!#REF!&amp;CHAR(10)&amp;Sheet1!$F$1&amp;'Phân công'!#REF!</f>
        <v>#REF!</v>
      </c>
      <c r="C62" s="56" t="e">
        <f>$G$1&amp;'Phân công'!#REF!&amp;CHAR(10)&amp;Sheet1!$H$1&amp;'Phân công'!#REF!&amp;CHAR(10)&amp;Sheet1!$I$1&amp;'Phân công'!#REF!&amp;CHAR(10)&amp;Sheet1!$J$1&amp;'Phân công'!#REF!&amp;CHAR(10)&amp;$K$1&amp;'Phân công'!#REF!</f>
        <v>#REF!</v>
      </c>
    </row>
    <row r="63" spans="1:3" ht="98.25" customHeight="1" x14ac:dyDescent="0.25">
      <c r="A63" s="56">
        <v>62</v>
      </c>
      <c r="B63" s="56" t="e">
        <f>$B$1&amp;'Phân công'!#REF!&amp;CHAR(10)&amp;Sheet1!$C$1&amp;'Phân công'!A42&amp;CHAR(10)&amp;Sheet1!$D$1&amp;'Phân công'!#REF!&amp;CHAR(10)&amp;Sheet1!$E$1&amp;'Phân công'!#REF!&amp;CHAR(10)&amp;Sheet1!$F$1&amp;'Phân công'!#REF!</f>
        <v>#REF!</v>
      </c>
      <c r="C63" s="56" t="e">
        <f>$G$1&amp;'Phân công'!#REF!&amp;CHAR(10)&amp;Sheet1!$H$1&amp;'Phân công'!#REF!&amp;CHAR(10)&amp;Sheet1!$I$1&amp;'Phân công'!#REF!&amp;CHAR(10)&amp;Sheet1!$J$1&amp;'Phân công'!#REF!&amp;CHAR(10)&amp;$K$1&amp;'Phân công'!#REF!</f>
        <v>#REF!</v>
      </c>
    </row>
    <row r="64" spans="1:3" ht="98.25" customHeight="1" x14ac:dyDescent="0.25">
      <c r="A64" s="56">
        <v>63</v>
      </c>
      <c r="B64" s="56" t="e">
        <f>$B$1&amp;'Phân công'!#REF!&amp;CHAR(10)&amp;Sheet1!$C$1&amp;'Phân công'!A43&amp;CHAR(10)&amp;Sheet1!$D$1&amp;'Phân công'!#REF!&amp;CHAR(10)&amp;Sheet1!$E$1&amp;'Phân công'!#REF!&amp;CHAR(10)&amp;Sheet1!$F$1&amp;'Phân công'!#REF!</f>
        <v>#REF!</v>
      </c>
      <c r="C64" s="56" t="e">
        <f>$G$1&amp;'Phân công'!#REF!&amp;CHAR(10)&amp;Sheet1!$H$1&amp;'Phân công'!#REF!&amp;CHAR(10)&amp;Sheet1!$I$1&amp;'Phân công'!#REF!&amp;CHAR(10)&amp;Sheet1!$J$1&amp;'Phân công'!#REF!&amp;CHAR(10)&amp;$K$1&amp;'Phân công'!#REF!</f>
        <v>#REF!</v>
      </c>
    </row>
    <row r="65" spans="1:3" ht="98.25" customHeight="1" x14ac:dyDescent="0.25">
      <c r="A65" s="56">
        <v>64</v>
      </c>
      <c r="B65" s="56" t="e">
        <f>$B$1&amp;'Phân công'!#REF!&amp;CHAR(10)&amp;Sheet1!$C$1&amp;'Phân công'!A44&amp;CHAR(10)&amp;Sheet1!$D$1&amp;'Phân công'!#REF!&amp;CHAR(10)&amp;Sheet1!$E$1&amp;'Phân công'!#REF!&amp;CHAR(10)&amp;Sheet1!$F$1&amp;'Phân công'!#REF!</f>
        <v>#REF!</v>
      </c>
      <c r="C65" s="56" t="e">
        <f>$G$1&amp;'Phân công'!#REF!&amp;CHAR(10)&amp;Sheet1!$H$1&amp;'Phân công'!#REF!&amp;CHAR(10)&amp;Sheet1!$I$1&amp;'Phân công'!#REF!&amp;CHAR(10)&amp;Sheet1!$J$1&amp;'Phân công'!#REF!&amp;CHAR(10)&amp;$K$1&amp;'Phân công'!#REF!</f>
        <v>#REF!</v>
      </c>
    </row>
    <row r="66" spans="1:3" ht="98.25" customHeight="1" x14ac:dyDescent="0.25">
      <c r="A66" s="56">
        <v>65</v>
      </c>
      <c r="B66" s="56" t="e">
        <f>$B$1&amp;'Phân công'!#REF!&amp;CHAR(10)&amp;Sheet1!$C$1&amp;'Phân công'!#REF!&amp;CHAR(10)&amp;Sheet1!$D$1&amp;'Phân công'!#REF!&amp;CHAR(10)&amp;Sheet1!$E$1&amp;'Phân công'!#REF!&amp;CHAR(10)&amp;Sheet1!$F$1&amp;'Phân công'!#REF!</f>
        <v>#REF!</v>
      </c>
      <c r="C66" s="56" t="e">
        <f>$G$1&amp;'Phân công'!#REF!&amp;CHAR(10)&amp;Sheet1!$H$1&amp;'Phân công'!#REF!&amp;CHAR(10)&amp;Sheet1!$I$1&amp;'Phân công'!#REF!&amp;CHAR(10)&amp;Sheet1!$J$1&amp;'Phân công'!#REF!&amp;CHAR(10)&amp;$K$1&amp;'Phân công'!#REF!</f>
        <v>#REF!</v>
      </c>
    </row>
    <row r="67" spans="1:3" ht="98.25" customHeight="1" x14ac:dyDescent="0.25">
      <c r="A67" s="56">
        <v>66</v>
      </c>
      <c r="B67" s="56" t="e">
        <f>$B$1&amp;'Phân công'!#REF!&amp;CHAR(10)&amp;Sheet1!$C$1&amp;'Phân công'!#REF!&amp;CHAR(10)&amp;Sheet1!$D$1&amp;'Phân công'!#REF!&amp;CHAR(10)&amp;Sheet1!$E$1&amp;'Phân công'!#REF!&amp;CHAR(10)&amp;Sheet1!$F$1&amp;'Phân công'!#REF!</f>
        <v>#REF!</v>
      </c>
      <c r="C67" s="56" t="e">
        <f>$G$1&amp;'Phân công'!#REF!&amp;CHAR(10)&amp;Sheet1!$H$1&amp;'Phân công'!#REF!&amp;CHAR(10)&amp;Sheet1!$I$1&amp;'Phân công'!#REF!&amp;CHAR(10)&amp;Sheet1!$J$1&amp;'Phân công'!#REF!&amp;CHAR(10)&amp;$K$1&amp;'Phân công'!#REF!</f>
        <v>#REF!</v>
      </c>
    </row>
    <row r="68" spans="1:3" ht="98.25" customHeight="1" x14ac:dyDescent="0.25">
      <c r="A68" s="56">
        <v>67</v>
      </c>
      <c r="B68" s="56" t="e">
        <f>$B$1&amp;'Phân công'!#REF!&amp;CHAR(10)&amp;Sheet1!$C$1&amp;'Phân công'!#REF!&amp;CHAR(10)&amp;Sheet1!$D$1&amp;'Phân công'!#REF!&amp;CHAR(10)&amp;Sheet1!$E$1&amp;'Phân công'!#REF!&amp;CHAR(10)&amp;Sheet1!$F$1&amp;'Phân công'!#REF!</f>
        <v>#REF!</v>
      </c>
      <c r="C68" s="56" t="e">
        <f>$G$1&amp;'Phân công'!#REF!&amp;CHAR(10)&amp;Sheet1!$H$1&amp;'Phân công'!#REF!&amp;CHAR(10)&amp;Sheet1!$I$1&amp;'Phân công'!#REF!&amp;CHAR(10)&amp;Sheet1!$J$1&amp;'Phân công'!#REF!&amp;CHAR(10)&amp;$K$1&amp;'Phân công'!#REF!</f>
        <v>#REF!</v>
      </c>
    </row>
    <row r="69" spans="1:3" ht="98.25" customHeight="1" x14ac:dyDescent="0.25">
      <c r="A69" s="56">
        <v>68</v>
      </c>
      <c r="B69" s="56" t="e">
        <f>$B$1&amp;'Phân công'!#REF!&amp;CHAR(10)&amp;Sheet1!$C$1&amp;'Phân công'!#REF!&amp;CHAR(10)&amp;Sheet1!$D$1&amp;'Phân công'!#REF!&amp;CHAR(10)&amp;Sheet1!$E$1&amp;'Phân công'!#REF!&amp;CHAR(10)&amp;Sheet1!$F$1&amp;'Phân công'!#REF!</f>
        <v>#REF!</v>
      </c>
      <c r="C69" s="56" t="e">
        <f>$G$1&amp;'Phân công'!#REF!&amp;CHAR(10)&amp;Sheet1!$H$1&amp;'Phân công'!#REF!&amp;CHAR(10)&amp;Sheet1!$I$1&amp;'Phân công'!#REF!&amp;CHAR(10)&amp;Sheet1!$J$1&amp;'Phân công'!#REF!&amp;CHAR(10)&amp;$K$1&amp;'Phân công'!#REF!</f>
        <v>#REF!</v>
      </c>
    </row>
    <row r="70" spans="1:3" ht="98.25" customHeight="1" x14ac:dyDescent="0.25">
      <c r="A70" s="56">
        <v>69</v>
      </c>
      <c r="B70" s="56" t="e">
        <f>$B$1&amp;'Phân công'!#REF!&amp;CHAR(10)&amp;Sheet1!$C$1&amp;'Phân công'!#REF!&amp;CHAR(10)&amp;Sheet1!$D$1&amp;'Phân công'!#REF!&amp;CHAR(10)&amp;Sheet1!$E$1&amp;'Phân công'!#REF!&amp;CHAR(10)&amp;Sheet1!$F$1&amp;'Phân công'!#REF!</f>
        <v>#REF!</v>
      </c>
      <c r="C70" s="56" t="e">
        <f>$G$1&amp;'Phân công'!#REF!&amp;CHAR(10)&amp;Sheet1!$H$1&amp;'Phân công'!#REF!&amp;CHAR(10)&amp;Sheet1!$I$1&amp;'Phân công'!#REF!&amp;CHAR(10)&amp;Sheet1!$J$1&amp;'Phân công'!#REF!&amp;CHAR(10)&amp;$K$1&amp;'Phân công'!#REF!</f>
        <v>#REF!</v>
      </c>
    </row>
    <row r="71" spans="1:3" ht="98.25" customHeight="1" x14ac:dyDescent="0.25">
      <c r="A71" s="56">
        <v>70</v>
      </c>
      <c r="B71" s="56" t="e">
        <f>$B$1&amp;'Phân công'!#REF!&amp;CHAR(10)&amp;Sheet1!$C$1&amp;'Phân công'!#REF!&amp;CHAR(10)&amp;Sheet1!$D$1&amp;'Phân công'!#REF!&amp;CHAR(10)&amp;Sheet1!$E$1&amp;'Phân công'!#REF!&amp;CHAR(10)&amp;Sheet1!$F$1&amp;'Phân công'!#REF!</f>
        <v>#REF!</v>
      </c>
      <c r="C71" s="56" t="e">
        <f>$G$1&amp;'Phân công'!#REF!&amp;CHAR(10)&amp;Sheet1!$H$1&amp;'Phân công'!#REF!&amp;CHAR(10)&amp;Sheet1!$I$1&amp;'Phân công'!#REF!&amp;CHAR(10)&amp;Sheet1!$J$1&amp;'Phân công'!#REF!&amp;CHAR(10)&amp;$K$1&amp;'Phân công'!#REF!</f>
        <v>#REF!</v>
      </c>
    </row>
    <row r="72" spans="1:3" ht="98.25" customHeight="1" x14ac:dyDescent="0.25">
      <c r="A72" s="56">
        <v>71</v>
      </c>
      <c r="B72" s="56" t="e">
        <f>$B$1&amp;'Phân công'!#REF!&amp;CHAR(10)&amp;Sheet1!$C$1&amp;'Phân công'!#REF!&amp;CHAR(10)&amp;Sheet1!$D$1&amp;'Phân công'!#REF!&amp;CHAR(10)&amp;Sheet1!$E$1&amp;'Phân công'!#REF!&amp;CHAR(10)&amp;Sheet1!$F$1&amp;'Phân công'!#REF!</f>
        <v>#REF!</v>
      </c>
      <c r="C72" s="56" t="e">
        <f>$G$1&amp;'Phân công'!#REF!&amp;CHAR(10)&amp;Sheet1!$H$1&amp;'Phân công'!#REF!&amp;CHAR(10)&amp;Sheet1!$I$1&amp;'Phân công'!#REF!&amp;CHAR(10)&amp;Sheet1!$J$1&amp;'Phân công'!#REF!&amp;CHAR(10)&amp;$K$1&amp;'Phân công'!#REF!</f>
        <v>#REF!</v>
      </c>
    </row>
    <row r="73" spans="1:3" ht="98.25" customHeight="1" x14ac:dyDescent="0.25">
      <c r="A73" s="56">
        <v>72</v>
      </c>
      <c r="B73" s="56" t="e">
        <f>$B$1&amp;'Phân công'!#REF!&amp;CHAR(10)&amp;Sheet1!$C$1&amp;'Phân công'!#REF!&amp;CHAR(10)&amp;Sheet1!$D$1&amp;'Phân công'!#REF!&amp;CHAR(10)&amp;Sheet1!$E$1&amp;'Phân công'!#REF!&amp;CHAR(10)&amp;Sheet1!$F$1&amp;'Phân công'!#REF!</f>
        <v>#REF!</v>
      </c>
      <c r="C73" s="56" t="e">
        <f>$G$1&amp;'Phân công'!#REF!&amp;CHAR(10)&amp;Sheet1!$H$1&amp;'Phân công'!#REF!&amp;CHAR(10)&amp;Sheet1!$I$1&amp;'Phân công'!#REF!&amp;CHAR(10)&amp;Sheet1!$J$1&amp;'Phân công'!#REF!&amp;CHAR(10)&amp;$K$1&amp;'Phân công'!#REF!</f>
        <v>#REF!</v>
      </c>
    </row>
    <row r="74" spans="1:3" ht="98.25" customHeight="1" x14ac:dyDescent="0.25">
      <c r="A74" s="56">
        <v>73</v>
      </c>
      <c r="B74" s="56" t="e">
        <f>$B$1&amp;'Phân công'!#REF!&amp;CHAR(10)&amp;Sheet1!$C$1&amp;'Phân công'!#REF!&amp;CHAR(10)&amp;Sheet1!$D$1&amp;'Phân công'!#REF!&amp;CHAR(10)&amp;Sheet1!$E$1&amp;'Phân công'!#REF!&amp;CHAR(10)&amp;Sheet1!$F$1&amp;'Phân công'!#REF!</f>
        <v>#REF!</v>
      </c>
      <c r="C74" s="56" t="e">
        <f>$G$1&amp;'Phân công'!#REF!&amp;CHAR(10)&amp;Sheet1!$H$1&amp;'Phân công'!#REF!&amp;CHAR(10)&amp;Sheet1!$I$1&amp;'Phân công'!#REF!&amp;CHAR(10)&amp;Sheet1!$J$1&amp;'Phân công'!#REF!&amp;CHAR(10)&amp;$K$1&amp;'Phân công'!#REF!</f>
        <v>#REF!</v>
      </c>
    </row>
    <row r="75" spans="1:3" ht="98.25" customHeight="1" x14ac:dyDescent="0.25">
      <c r="A75" s="56">
        <v>74</v>
      </c>
      <c r="B75" s="56" t="e">
        <f>$B$1&amp;'Phân công'!#REF!&amp;CHAR(10)&amp;Sheet1!$C$1&amp;'Phân công'!#REF!&amp;CHAR(10)&amp;Sheet1!$D$1&amp;'Phân công'!#REF!&amp;CHAR(10)&amp;Sheet1!$E$1&amp;'Phân công'!#REF!&amp;CHAR(10)&amp;Sheet1!$F$1&amp;'Phân công'!#REF!</f>
        <v>#REF!</v>
      </c>
      <c r="C75" s="56" t="e">
        <f>$G$1&amp;'Phân công'!#REF!&amp;CHAR(10)&amp;Sheet1!$H$1&amp;'Phân công'!#REF!&amp;CHAR(10)&amp;Sheet1!$I$1&amp;'Phân công'!#REF!&amp;CHAR(10)&amp;Sheet1!$J$1&amp;'Phân công'!#REF!&amp;CHAR(10)&amp;$K$1&amp;'Phân công'!#REF!</f>
        <v>#REF!</v>
      </c>
    </row>
    <row r="76" spans="1:3" ht="98.25" customHeight="1" x14ac:dyDescent="0.25">
      <c r="A76" s="56">
        <v>75</v>
      </c>
      <c r="B76" s="56" t="e">
        <f>$B$1&amp;'Phân công'!#REF!&amp;CHAR(10)&amp;Sheet1!$C$1&amp;'Phân công'!A45&amp;CHAR(10)&amp;Sheet1!$D$1&amp;'Phân công'!#REF!&amp;CHAR(10)&amp;Sheet1!$E$1&amp;'Phân công'!#REF!&amp;CHAR(10)&amp;Sheet1!$F$1&amp;'Phân công'!#REF!</f>
        <v>#REF!</v>
      </c>
      <c r="C76" s="56" t="e">
        <f>$G$1&amp;'Phân công'!#REF!&amp;CHAR(10)&amp;Sheet1!$H$1&amp;'Phân công'!#REF!&amp;CHAR(10)&amp;Sheet1!$I$1&amp;'Phân công'!#REF!&amp;CHAR(10)&amp;Sheet1!$J$1&amp;'Phân công'!#REF!&amp;CHAR(10)&amp;$K$1&amp;'Phân công'!#REF!</f>
        <v>#REF!</v>
      </c>
    </row>
    <row r="77" spans="1:3" ht="98.25" customHeight="1" x14ac:dyDescent="0.25">
      <c r="A77" s="56">
        <v>76</v>
      </c>
      <c r="B77" s="56" t="e">
        <f>$B$1&amp;'Phân công'!#REF!&amp;CHAR(10)&amp;Sheet1!$C$1&amp;'Phân công'!A46&amp;CHAR(10)&amp;Sheet1!$D$1&amp;'Phân công'!#REF!&amp;CHAR(10)&amp;Sheet1!$E$1&amp;'Phân công'!#REF!&amp;CHAR(10)&amp;Sheet1!$F$1&amp;'Phân công'!#REF!</f>
        <v>#REF!</v>
      </c>
      <c r="C77" s="56" t="e">
        <f>$G$1&amp;'Phân công'!#REF!&amp;CHAR(10)&amp;Sheet1!$H$1&amp;'Phân công'!#REF!&amp;CHAR(10)&amp;Sheet1!$I$1&amp;'Phân công'!#REF!&amp;CHAR(10)&amp;Sheet1!$J$1&amp;'Phân công'!#REF!&amp;CHAR(10)&amp;$K$1&amp;'Phân công'!#REF!</f>
        <v>#REF!</v>
      </c>
    </row>
    <row r="78" spans="1:3" ht="98.25" customHeight="1" x14ac:dyDescent="0.25">
      <c r="A78" s="56">
        <v>77</v>
      </c>
      <c r="B78" s="56" t="e">
        <f>$B$1&amp;'Phân công'!#REF!&amp;CHAR(10)&amp;Sheet1!$C$1&amp;'Phân công'!A47&amp;CHAR(10)&amp;Sheet1!$D$1&amp;'Phân công'!#REF!&amp;CHAR(10)&amp;Sheet1!$E$1&amp;'Phân công'!#REF!&amp;CHAR(10)&amp;Sheet1!$F$1&amp;'Phân công'!#REF!</f>
        <v>#REF!</v>
      </c>
      <c r="C78" s="56" t="e">
        <f>$G$1&amp;'Phân công'!#REF!&amp;CHAR(10)&amp;Sheet1!$H$1&amp;'Phân công'!#REF!&amp;CHAR(10)&amp;Sheet1!$I$1&amp;'Phân công'!#REF!&amp;CHAR(10)&amp;Sheet1!$J$1&amp;'Phân công'!#REF!&amp;CHAR(10)&amp;$K$1&amp;'Phân công'!#REF!</f>
        <v>#REF!</v>
      </c>
    </row>
    <row r="79" spans="1:3" ht="98.25" customHeight="1" x14ac:dyDescent="0.25">
      <c r="A79" s="56">
        <v>78</v>
      </c>
      <c r="B79" s="56" t="e">
        <f>$B$1&amp;'Phân công'!#REF!&amp;CHAR(10)&amp;Sheet1!$C$1&amp;'Phân công'!A48&amp;CHAR(10)&amp;Sheet1!$D$1&amp;'Phân công'!#REF!&amp;CHAR(10)&amp;Sheet1!$E$1&amp;'Phân công'!#REF!&amp;CHAR(10)&amp;Sheet1!$F$1&amp;'Phân công'!#REF!</f>
        <v>#REF!</v>
      </c>
      <c r="C79" s="56" t="e">
        <f>$G$1&amp;'Phân công'!#REF!&amp;CHAR(10)&amp;Sheet1!$H$1&amp;'Phân công'!#REF!&amp;CHAR(10)&amp;Sheet1!$I$1&amp;'Phân công'!#REF!&amp;CHAR(10)&amp;Sheet1!$J$1&amp;'Phân công'!#REF!&amp;CHAR(10)&amp;$K$1&amp;'Phân công'!#REF!</f>
        <v>#REF!</v>
      </c>
    </row>
    <row r="80" spans="1:3" ht="98.25" customHeight="1" x14ac:dyDescent="0.25">
      <c r="A80" s="56">
        <v>79</v>
      </c>
      <c r="B80" s="56" t="e">
        <f>$B$1&amp;'Phân công'!#REF!&amp;CHAR(10)&amp;Sheet1!$C$1&amp;'Phân công'!A49&amp;CHAR(10)&amp;Sheet1!$D$1&amp;'Phân công'!#REF!&amp;CHAR(10)&amp;Sheet1!$E$1&amp;'Phân công'!#REF!&amp;CHAR(10)&amp;Sheet1!$F$1&amp;'Phân công'!#REF!</f>
        <v>#REF!</v>
      </c>
      <c r="C80" s="56" t="e">
        <f>$G$1&amp;'Phân công'!#REF!&amp;CHAR(10)&amp;Sheet1!$H$1&amp;'Phân công'!#REF!&amp;CHAR(10)&amp;Sheet1!$I$1&amp;'Phân công'!#REF!&amp;CHAR(10)&amp;Sheet1!$J$1&amp;'Phân công'!#REF!&amp;CHAR(10)&amp;$K$1&amp;'Phân công'!#REF!</f>
        <v>#REF!</v>
      </c>
    </row>
    <row r="81" spans="1:3" ht="98.25" customHeight="1" x14ac:dyDescent="0.25">
      <c r="A81" s="56">
        <v>80</v>
      </c>
      <c r="B81" s="56" t="e">
        <f>$B$1&amp;'Phân công'!#REF!&amp;CHAR(10)&amp;Sheet1!$C$1&amp;'Phân công'!A50&amp;CHAR(10)&amp;Sheet1!$D$1&amp;'Phân công'!#REF!&amp;CHAR(10)&amp;Sheet1!$E$1&amp;'Phân công'!#REF!&amp;CHAR(10)&amp;Sheet1!$F$1&amp;'Phân công'!#REF!</f>
        <v>#REF!</v>
      </c>
      <c r="C81" s="56" t="e">
        <f>$G$1&amp;'Phân công'!#REF!&amp;CHAR(10)&amp;Sheet1!$H$1&amp;'Phân công'!#REF!&amp;CHAR(10)&amp;Sheet1!$I$1&amp;'Phân công'!#REF!&amp;CHAR(10)&amp;Sheet1!$J$1&amp;'Phân công'!#REF!&amp;CHAR(10)&amp;$K$1&amp;'Phân công'!#REF!</f>
        <v>#REF!</v>
      </c>
    </row>
    <row r="82" spans="1:3" ht="98.25" customHeight="1" x14ac:dyDescent="0.25">
      <c r="A82" s="56">
        <v>81</v>
      </c>
      <c r="B82" s="56" t="e">
        <f>$B$1&amp;'Phân công'!#REF!&amp;CHAR(10)&amp;Sheet1!$C$1&amp;'Phân công'!A51&amp;CHAR(10)&amp;Sheet1!$D$1&amp;'Phân công'!#REF!&amp;CHAR(10)&amp;Sheet1!$E$1&amp;'Phân công'!#REF!&amp;CHAR(10)&amp;Sheet1!$F$1&amp;'Phân công'!#REF!</f>
        <v>#REF!</v>
      </c>
      <c r="C82" s="56" t="e">
        <f>$G$1&amp;'Phân công'!#REF!&amp;CHAR(10)&amp;Sheet1!$H$1&amp;'Phân công'!#REF!&amp;CHAR(10)&amp;Sheet1!$I$1&amp;'Phân công'!#REF!&amp;CHAR(10)&amp;Sheet1!$J$1&amp;'Phân công'!#REF!&amp;CHAR(10)&amp;$K$1&amp;'Phân công'!#REF!</f>
        <v>#REF!</v>
      </c>
    </row>
    <row r="83" spans="1:3" ht="98.25" customHeight="1" x14ac:dyDescent="0.25">
      <c r="A83" s="56">
        <v>82</v>
      </c>
      <c r="B83" s="56" t="e">
        <f>$B$1&amp;'Phân công'!#REF!&amp;CHAR(10)&amp;Sheet1!$C$1&amp;'Phân công'!A52&amp;CHAR(10)&amp;Sheet1!$D$1&amp;'Phân công'!#REF!&amp;CHAR(10)&amp;Sheet1!$E$1&amp;'Phân công'!#REF!&amp;CHAR(10)&amp;Sheet1!$F$1&amp;'Phân công'!#REF!</f>
        <v>#REF!</v>
      </c>
      <c r="C83" s="56" t="e">
        <f>$G$1&amp;'Phân công'!#REF!&amp;CHAR(10)&amp;Sheet1!$H$1&amp;'Phân công'!#REF!&amp;CHAR(10)&amp;Sheet1!$I$1&amp;'Phân công'!#REF!&amp;CHAR(10)&amp;Sheet1!$J$1&amp;'Phân công'!#REF!&amp;CHAR(10)&amp;$K$1&amp;'Phân công'!#REF!</f>
        <v>#REF!</v>
      </c>
    </row>
    <row r="84" spans="1:3" ht="98.25" customHeight="1" x14ac:dyDescent="0.25">
      <c r="A84" s="56">
        <v>83</v>
      </c>
      <c r="B84" s="56" t="e">
        <f>$B$1&amp;'Phân công'!#REF!&amp;CHAR(10)&amp;Sheet1!$C$1&amp;'Phân công'!A53&amp;CHAR(10)&amp;Sheet1!$D$1&amp;'Phân công'!#REF!&amp;CHAR(10)&amp;Sheet1!$E$1&amp;'Phân công'!#REF!&amp;CHAR(10)&amp;Sheet1!$F$1&amp;'Phân công'!#REF!</f>
        <v>#REF!</v>
      </c>
      <c r="C84" s="56" t="e">
        <f>$G$1&amp;'Phân công'!#REF!&amp;CHAR(10)&amp;Sheet1!$H$1&amp;'Phân công'!#REF!&amp;CHAR(10)&amp;Sheet1!$I$1&amp;'Phân công'!#REF!&amp;CHAR(10)&amp;Sheet1!$J$1&amp;'Phân công'!#REF!&amp;CHAR(10)&amp;$K$1&amp;'Phân công'!#REF!</f>
        <v>#REF!</v>
      </c>
    </row>
    <row r="85" spans="1:3" ht="98.25" customHeight="1" x14ac:dyDescent="0.25">
      <c r="A85" s="56">
        <v>84</v>
      </c>
      <c r="B85" s="56" t="e">
        <f>$B$1&amp;'Phân công'!#REF!&amp;CHAR(10)&amp;Sheet1!$C$1&amp;'Phân công'!A54&amp;CHAR(10)&amp;Sheet1!$D$1&amp;'Phân công'!#REF!&amp;CHAR(10)&amp;Sheet1!$E$1&amp;'Phân công'!#REF!&amp;CHAR(10)&amp;Sheet1!$F$1&amp;'Phân công'!#REF!</f>
        <v>#REF!</v>
      </c>
      <c r="C85" s="56" t="e">
        <f>$G$1&amp;'Phân công'!#REF!&amp;CHAR(10)&amp;Sheet1!$H$1&amp;'Phân công'!#REF!&amp;CHAR(10)&amp;Sheet1!$I$1&amp;'Phân công'!#REF!&amp;CHAR(10)&amp;Sheet1!$J$1&amp;'Phân công'!#REF!&amp;CHAR(10)&amp;$K$1&amp;'Phân công'!#REF!</f>
        <v>#REF!</v>
      </c>
    </row>
    <row r="86" spans="1:3" ht="98.25" customHeight="1" x14ac:dyDescent="0.25">
      <c r="A86" s="56">
        <v>85</v>
      </c>
      <c r="B86" s="56" t="e">
        <f>$B$1&amp;'Phân công'!#REF!&amp;CHAR(10)&amp;Sheet1!$C$1&amp;'Phân công'!A55&amp;CHAR(10)&amp;Sheet1!$D$1&amp;'Phân công'!#REF!&amp;CHAR(10)&amp;Sheet1!$E$1&amp;'Phân công'!#REF!&amp;CHAR(10)&amp;Sheet1!$F$1&amp;'Phân công'!#REF!</f>
        <v>#REF!</v>
      </c>
      <c r="C86" s="56" t="e">
        <f>$G$1&amp;'Phân công'!#REF!&amp;CHAR(10)&amp;Sheet1!$H$1&amp;'Phân công'!#REF!&amp;CHAR(10)&amp;Sheet1!$I$1&amp;'Phân công'!#REF!&amp;CHAR(10)&amp;Sheet1!$J$1&amp;'Phân công'!#REF!&amp;CHAR(10)&amp;$K$1&amp;'Phân công'!#REF!</f>
        <v>#REF!</v>
      </c>
    </row>
    <row r="87" spans="1:3" ht="98.25" customHeight="1" x14ac:dyDescent="0.25">
      <c r="A87" s="56">
        <v>86</v>
      </c>
      <c r="B87" s="56" t="e">
        <f>$B$1&amp;'Phân công'!#REF!&amp;CHAR(10)&amp;Sheet1!$C$1&amp;'Phân công'!A56&amp;CHAR(10)&amp;Sheet1!$D$1&amp;'Phân công'!#REF!&amp;CHAR(10)&amp;Sheet1!$E$1&amp;'Phân công'!#REF!&amp;CHAR(10)&amp;Sheet1!$F$1&amp;'Phân công'!#REF!</f>
        <v>#REF!</v>
      </c>
      <c r="C87" s="56" t="e">
        <f>$G$1&amp;'Phân công'!#REF!&amp;CHAR(10)&amp;Sheet1!$H$1&amp;'Phân công'!#REF!&amp;CHAR(10)&amp;Sheet1!$I$1&amp;'Phân công'!#REF!&amp;CHAR(10)&amp;Sheet1!$J$1&amp;'Phân công'!#REF!&amp;CHAR(10)&amp;$K$1&amp;'Phân công'!#REF!</f>
        <v>#REF!</v>
      </c>
    </row>
    <row r="88" spans="1:3" ht="98.25" customHeight="1" x14ac:dyDescent="0.25">
      <c r="A88" s="56">
        <v>87</v>
      </c>
      <c r="B88" s="56" t="e">
        <f>$B$1&amp;'Phân công'!#REF!&amp;CHAR(10)&amp;Sheet1!$C$1&amp;'Phân công'!A57&amp;CHAR(10)&amp;Sheet1!$D$1&amp;'Phân công'!#REF!&amp;CHAR(10)&amp;Sheet1!$E$1&amp;'Phân công'!#REF!&amp;CHAR(10)&amp;Sheet1!$F$1&amp;'Phân công'!#REF!</f>
        <v>#REF!</v>
      </c>
      <c r="C88" s="56" t="e">
        <f>$G$1&amp;'Phân công'!#REF!&amp;CHAR(10)&amp;Sheet1!$H$1&amp;'Phân công'!#REF!&amp;CHAR(10)&amp;Sheet1!$I$1&amp;'Phân công'!#REF!&amp;CHAR(10)&amp;Sheet1!$J$1&amp;'Phân công'!#REF!&amp;CHAR(10)&amp;$K$1&amp;'Phân công'!#REF!</f>
        <v>#REF!</v>
      </c>
    </row>
    <row r="89" spans="1:3" ht="98.25" customHeight="1" x14ac:dyDescent="0.25">
      <c r="A89" s="56">
        <v>88</v>
      </c>
      <c r="B89" s="56" t="e">
        <f>$B$1&amp;'Phân công'!#REF!&amp;CHAR(10)&amp;Sheet1!$C$1&amp;'Phân công'!A58&amp;CHAR(10)&amp;Sheet1!$D$1&amp;'Phân công'!#REF!&amp;CHAR(10)&amp;Sheet1!$E$1&amp;'Phân công'!#REF!&amp;CHAR(10)&amp;Sheet1!$F$1&amp;'Phân công'!#REF!</f>
        <v>#REF!</v>
      </c>
      <c r="C89" s="56" t="e">
        <f>$G$1&amp;'Phân công'!#REF!&amp;CHAR(10)&amp;Sheet1!$H$1&amp;'Phân công'!#REF!&amp;CHAR(10)&amp;Sheet1!$I$1&amp;'Phân công'!#REF!&amp;CHAR(10)&amp;Sheet1!$J$1&amp;'Phân công'!#REF!&amp;CHAR(10)&amp;$K$1&amp;'Phân công'!#REF!</f>
        <v>#REF!</v>
      </c>
    </row>
    <row r="90" spans="1:3" ht="98.25" customHeight="1" x14ac:dyDescent="0.25">
      <c r="A90" s="56">
        <v>89</v>
      </c>
      <c r="B90" s="56" t="e">
        <f>$B$1&amp;'Phân công'!#REF!&amp;CHAR(10)&amp;Sheet1!$C$1&amp;'Phân công'!A59&amp;CHAR(10)&amp;Sheet1!$D$1&amp;'Phân công'!#REF!&amp;CHAR(10)&amp;Sheet1!$E$1&amp;'Phân công'!#REF!&amp;CHAR(10)&amp;Sheet1!$F$1&amp;'Phân công'!#REF!</f>
        <v>#REF!</v>
      </c>
      <c r="C90" s="56" t="e">
        <f>$G$1&amp;'Phân công'!#REF!&amp;CHAR(10)&amp;Sheet1!$H$1&amp;'Phân công'!#REF!&amp;CHAR(10)&amp;Sheet1!$I$1&amp;'Phân công'!#REF!&amp;CHAR(10)&amp;Sheet1!$J$1&amp;'Phân công'!#REF!&amp;CHAR(10)&amp;$K$1&amp;'Phân công'!#REF!</f>
        <v>#REF!</v>
      </c>
    </row>
    <row r="91" spans="1:3" ht="98.25" customHeight="1" x14ac:dyDescent="0.25">
      <c r="A91" s="56">
        <v>90</v>
      </c>
      <c r="B91" s="56" t="e">
        <f>$B$1&amp;'Phân công'!#REF!&amp;CHAR(10)&amp;Sheet1!$C$1&amp;'Phân công'!A60&amp;CHAR(10)&amp;Sheet1!$D$1&amp;'Phân công'!#REF!&amp;CHAR(10)&amp;Sheet1!$E$1&amp;'Phân công'!#REF!&amp;CHAR(10)&amp;Sheet1!$F$1&amp;'Phân công'!#REF!</f>
        <v>#REF!</v>
      </c>
      <c r="C91" s="56" t="e">
        <f>$G$1&amp;'Phân công'!#REF!&amp;CHAR(10)&amp;Sheet1!$H$1&amp;'Phân công'!#REF!&amp;CHAR(10)&amp;Sheet1!$I$1&amp;'Phân công'!#REF!&amp;CHAR(10)&amp;Sheet1!$J$1&amp;'Phân công'!#REF!&amp;CHAR(10)&amp;$K$1&amp;'Phân công'!#REF!</f>
        <v>#REF!</v>
      </c>
    </row>
    <row r="92" spans="1:3" ht="98.25" customHeight="1" x14ac:dyDescent="0.25">
      <c r="A92" s="56">
        <v>91</v>
      </c>
      <c r="B92" s="56" t="e">
        <f>$B$1&amp;'Phân công'!#REF!&amp;CHAR(10)&amp;Sheet1!$C$1&amp;'Phân công'!A61&amp;CHAR(10)&amp;Sheet1!$D$1&amp;'Phân công'!#REF!&amp;CHAR(10)&amp;Sheet1!$E$1&amp;'Phân công'!#REF!&amp;CHAR(10)&amp;Sheet1!$F$1&amp;'Phân công'!#REF!</f>
        <v>#REF!</v>
      </c>
      <c r="C92" s="56" t="e">
        <f>$G$1&amp;'Phân công'!#REF!&amp;CHAR(10)&amp;Sheet1!$H$1&amp;'Phân công'!#REF!&amp;CHAR(10)&amp;Sheet1!$I$1&amp;'Phân công'!#REF!&amp;CHAR(10)&amp;Sheet1!$J$1&amp;'Phân công'!#REF!&amp;CHAR(10)&amp;$K$1&amp;'Phân công'!#REF!</f>
        <v>#REF!</v>
      </c>
    </row>
    <row r="93" spans="1:3" ht="98.25" customHeight="1" x14ac:dyDescent="0.25">
      <c r="A93" s="56">
        <v>92</v>
      </c>
      <c r="B93" s="56" t="e">
        <f>$B$1&amp;'Phân công'!#REF!&amp;CHAR(10)&amp;Sheet1!$C$1&amp;'Phân công'!A62&amp;CHAR(10)&amp;Sheet1!$D$1&amp;'Phân công'!#REF!&amp;CHAR(10)&amp;Sheet1!$E$1&amp;'Phân công'!#REF!&amp;CHAR(10)&amp;Sheet1!$F$1&amp;'Phân công'!#REF!</f>
        <v>#REF!</v>
      </c>
      <c r="C93" s="56" t="e">
        <f>$G$1&amp;'Phân công'!#REF!&amp;CHAR(10)&amp;Sheet1!$H$1&amp;'Phân công'!#REF!&amp;CHAR(10)&amp;Sheet1!$I$1&amp;'Phân công'!#REF!&amp;CHAR(10)&amp;Sheet1!$J$1&amp;'Phân công'!#REF!&amp;CHAR(10)&amp;$K$1&amp;'Phân công'!#REF!</f>
        <v>#REF!</v>
      </c>
    </row>
    <row r="94" spans="1:3" ht="98.25" customHeight="1" x14ac:dyDescent="0.25">
      <c r="A94" s="56">
        <v>93</v>
      </c>
      <c r="B94" s="56" t="e">
        <f>$B$1&amp;'Phân công'!#REF!&amp;CHAR(10)&amp;Sheet1!$C$1&amp;'Phân công'!A63&amp;CHAR(10)&amp;Sheet1!$D$1&amp;'Phân công'!#REF!&amp;CHAR(10)&amp;Sheet1!$E$1&amp;'Phân công'!#REF!&amp;CHAR(10)&amp;Sheet1!$F$1&amp;'Phân công'!#REF!</f>
        <v>#REF!</v>
      </c>
      <c r="C94" s="56" t="e">
        <f>$G$1&amp;'Phân công'!#REF!&amp;CHAR(10)&amp;Sheet1!$H$1&amp;'Phân công'!#REF!&amp;CHAR(10)&amp;Sheet1!$I$1&amp;'Phân công'!#REF!&amp;CHAR(10)&amp;Sheet1!$J$1&amp;'Phân công'!#REF!&amp;CHAR(10)&amp;$K$1&amp;'Phân công'!#REF!</f>
        <v>#REF!</v>
      </c>
    </row>
    <row r="95" spans="1:3" ht="98.25" customHeight="1" x14ac:dyDescent="0.25">
      <c r="A95" s="56">
        <v>94</v>
      </c>
      <c r="B95" s="56" t="e">
        <f>$B$1&amp;'Phân công'!#REF!&amp;CHAR(10)&amp;Sheet1!$C$1&amp;'Phân công'!A64&amp;CHAR(10)&amp;Sheet1!$D$1&amp;'Phân công'!#REF!&amp;CHAR(10)&amp;Sheet1!$E$1&amp;'Phân công'!#REF!&amp;CHAR(10)&amp;Sheet1!$F$1&amp;'Phân công'!#REF!</f>
        <v>#REF!</v>
      </c>
      <c r="C95" s="56" t="e">
        <f>$G$1&amp;'Phân công'!#REF!&amp;CHAR(10)&amp;Sheet1!$H$1&amp;'Phân công'!#REF!&amp;CHAR(10)&amp;Sheet1!$I$1&amp;'Phân công'!#REF!&amp;CHAR(10)&amp;Sheet1!$J$1&amp;'Phân công'!#REF!&amp;CHAR(10)&amp;$K$1&amp;'Phân công'!#REF!</f>
        <v>#REF!</v>
      </c>
    </row>
    <row r="96" spans="1:3" ht="98.25" customHeight="1" x14ac:dyDescent="0.25">
      <c r="A96" s="56">
        <v>95</v>
      </c>
      <c r="B96" s="56" t="e">
        <f>$B$1&amp;'Phân công'!#REF!&amp;CHAR(10)&amp;Sheet1!$C$1&amp;'Phân công'!A65&amp;CHAR(10)&amp;Sheet1!$D$1&amp;'Phân công'!#REF!&amp;CHAR(10)&amp;Sheet1!$E$1&amp;'Phân công'!#REF!&amp;CHAR(10)&amp;Sheet1!$F$1&amp;'Phân công'!#REF!</f>
        <v>#REF!</v>
      </c>
      <c r="C96" s="56" t="e">
        <f>$G$1&amp;'Phân công'!#REF!&amp;CHAR(10)&amp;Sheet1!$H$1&amp;'Phân công'!#REF!&amp;CHAR(10)&amp;Sheet1!$I$1&amp;'Phân công'!#REF!&amp;CHAR(10)&amp;Sheet1!$J$1&amp;'Phân công'!#REF!&amp;CHAR(10)&amp;$K$1&amp;'Phân công'!#REF!</f>
        <v>#REF!</v>
      </c>
    </row>
    <row r="97" spans="1:3" ht="98.25" customHeight="1" x14ac:dyDescent="0.25">
      <c r="A97" s="56">
        <v>96</v>
      </c>
      <c r="B97" s="56" t="e">
        <f>$B$1&amp;'Phân công'!#REF!&amp;CHAR(10)&amp;Sheet1!$C$1&amp;'Phân công'!A66&amp;CHAR(10)&amp;Sheet1!$D$1&amp;'Phân công'!#REF!&amp;CHAR(10)&amp;Sheet1!$E$1&amp;'Phân công'!#REF!&amp;CHAR(10)&amp;Sheet1!$F$1&amp;'Phân công'!#REF!</f>
        <v>#REF!</v>
      </c>
      <c r="C97" s="56" t="e">
        <f>$G$1&amp;'Phân công'!#REF!&amp;CHAR(10)&amp;Sheet1!$H$1&amp;'Phân công'!#REF!&amp;CHAR(10)&amp;Sheet1!$I$1&amp;'Phân công'!#REF!&amp;CHAR(10)&amp;Sheet1!$J$1&amp;'Phân công'!#REF!&amp;CHAR(10)&amp;$K$1&amp;'Phân công'!#REF!</f>
        <v>#REF!</v>
      </c>
    </row>
    <row r="98" spans="1:3" ht="98.25" customHeight="1" x14ac:dyDescent="0.25">
      <c r="A98" s="56">
        <v>97</v>
      </c>
      <c r="B98" s="56" t="e">
        <f>$B$1&amp;'Phân công'!#REF!&amp;CHAR(10)&amp;Sheet1!$C$1&amp;'Phân công'!A67&amp;CHAR(10)&amp;Sheet1!$D$1&amp;'Phân công'!#REF!&amp;CHAR(10)&amp;Sheet1!$E$1&amp;'Phân công'!#REF!&amp;CHAR(10)&amp;Sheet1!$F$1&amp;'Phân công'!#REF!</f>
        <v>#REF!</v>
      </c>
      <c r="C98" s="56" t="e">
        <f>$G$1&amp;'Phân công'!#REF!&amp;CHAR(10)&amp;Sheet1!$H$1&amp;'Phân công'!#REF!&amp;CHAR(10)&amp;Sheet1!$I$1&amp;'Phân công'!#REF!&amp;CHAR(10)&amp;Sheet1!$J$1&amp;'Phân công'!#REF!&amp;CHAR(10)&amp;$K$1&amp;'Phân công'!#REF!</f>
        <v>#REF!</v>
      </c>
    </row>
    <row r="99" spans="1:3" ht="98.25" customHeight="1" x14ac:dyDescent="0.25">
      <c r="A99" s="56">
        <v>98</v>
      </c>
      <c r="B99" s="56" t="e">
        <f>$B$1&amp;'Phân công'!#REF!&amp;CHAR(10)&amp;Sheet1!$C$1&amp;'Phân công'!A68&amp;CHAR(10)&amp;Sheet1!$D$1&amp;'Phân công'!#REF!&amp;CHAR(10)&amp;Sheet1!$E$1&amp;'Phân công'!#REF!&amp;CHAR(10)&amp;Sheet1!$F$1&amp;'Phân công'!#REF!</f>
        <v>#REF!</v>
      </c>
      <c r="C99" s="56" t="e">
        <f>$G$1&amp;'Phân công'!#REF!&amp;CHAR(10)&amp;Sheet1!$H$1&amp;'Phân công'!#REF!&amp;CHAR(10)&amp;Sheet1!$I$1&amp;'Phân công'!#REF!&amp;CHAR(10)&amp;Sheet1!$J$1&amp;'Phân công'!#REF!&amp;CHAR(10)&amp;$K$1&amp;'Phân công'!#REF!</f>
        <v>#REF!</v>
      </c>
    </row>
    <row r="100" spans="1:3" ht="98.25" customHeight="1" x14ac:dyDescent="0.25">
      <c r="A100" s="56">
        <v>99</v>
      </c>
      <c r="B100" s="56" t="e">
        <f>$B$1&amp;'Phân công'!#REF!&amp;CHAR(10)&amp;Sheet1!$C$1&amp;'Phân công'!A69&amp;CHAR(10)&amp;Sheet1!$D$1&amp;'Phân công'!#REF!&amp;CHAR(10)&amp;Sheet1!$E$1&amp;'Phân công'!#REF!&amp;CHAR(10)&amp;Sheet1!$F$1&amp;'Phân công'!#REF!</f>
        <v>#REF!</v>
      </c>
      <c r="C100" s="56" t="e">
        <f>$G$1&amp;'Phân công'!#REF!&amp;CHAR(10)&amp;Sheet1!$H$1&amp;'Phân công'!#REF!&amp;CHAR(10)&amp;Sheet1!$I$1&amp;'Phân công'!#REF!&amp;CHAR(10)&amp;Sheet1!$J$1&amp;'Phân công'!#REF!&amp;CHAR(10)&amp;$K$1&amp;'Phân công'!#REF!</f>
        <v>#REF!</v>
      </c>
    </row>
    <row r="101" spans="1:3" ht="98.25" customHeight="1" x14ac:dyDescent="0.25">
      <c r="A101" s="56">
        <v>100</v>
      </c>
      <c r="B101" s="56" t="e">
        <f>$B$1&amp;'Phân công'!#REF!&amp;CHAR(10)&amp;Sheet1!$C$1&amp;'Phân công'!#REF!&amp;CHAR(10)&amp;Sheet1!$D$1&amp;'Phân công'!#REF!&amp;CHAR(10)&amp;Sheet1!$E$1&amp;'Phân công'!#REF!&amp;CHAR(10)&amp;Sheet1!$F$1&amp;'Phân công'!#REF!</f>
        <v>#REF!</v>
      </c>
      <c r="C101" s="56" t="e">
        <f>$G$1&amp;'Phân công'!#REF!&amp;CHAR(10)&amp;Sheet1!$H$1&amp;'Phân công'!#REF!&amp;CHAR(10)&amp;Sheet1!$I$1&amp;'Phân công'!#REF!&amp;CHAR(10)&amp;Sheet1!$J$1&amp;'Phân công'!#REF!&amp;CHAR(10)&amp;$K$1&amp;'Phân công'!#REF!</f>
        <v>#REF!</v>
      </c>
    </row>
    <row r="102" spans="1:3" ht="98.25" customHeight="1" x14ac:dyDescent="0.25">
      <c r="A102" s="56">
        <v>101</v>
      </c>
      <c r="B102" s="56" t="e">
        <f>$B$1&amp;'Phân công'!#REF!&amp;CHAR(10)&amp;Sheet1!$C$1&amp;'Phân công'!#REF!&amp;CHAR(10)&amp;Sheet1!$D$1&amp;'Phân công'!#REF!&amp;CHAR(10)&amp;Sheet1!$E$1&amp;'Phân công'!#REF!&amp;CHAR(10)&amp;Sheet1!$F$1&amp;'Phân công'!#REF!</f>
        <v>#REF!</v>
      </c>
      <c r="C102" s="56" t="e">
        <f>$G$1&amp;'Phân công'!#REF!&amp;CHAR(10)&amp;Sheet1!$H$1&amp;'Phân công'!#REF!&amp;CHAR(10)&amp;Sheet1!$I$1&amp;'Phân công'!#REF!&amp;CHAR(10)&amp;Sheet1!$J$1&amp;'Phân công'!#REF!&amp;CHAR(10)&amp;$K$1&amp;'Phân công'!#REF!</f>
        <v>#REF!</v>
      </c>
    </row>
    <row r="103" spans="1:3" ht="98.25" customHeight="1" x14ac:dyDescent="0.25">
      <c r="A103" s="56">
        <v>102</v>
      </c>
      <c r="B103" s="56" t="e">
        <f>$B$1&amp;'Phân công'!#REF!&amp;CHAR(10)&amp;Sheet1!$C$1&amp;'Phân công'!#REF!&amp;CHAR(10)&amp;Sheet1!$D$1&amp;'Phân công'!#REF!&amp;CHAR(10)&amp;Sheet1!$E$1&amp;'Phân công'!#REF!&amp;CHAR(10)&amp;Sheet1!$F$1&amp;'Phân công'!#REF!</f>
        <v>#REF!</v>
      </c>
      <c r="C103" s="56" t="e">
        <f>$G$1&amp;'Phân công'!#REF!&amp;CHAR(10)&amp;Sheet1!$H$1&amp;'Phân công'!#REF!&amp;CHAR(10)&amp;Sheet1!$I$1&amp;'Phân công'!#REF!&amp;CHAR(10)&amp;Sheet1!$J$1&amp;'Phân công'!#REF!&amp;CHAR(10)&amp;$K$1&amp;'Phân công'!#REF!</f>
        <v>#REF!</v>
      </c>
    </row>
    <row r="104" spans="1:3" ht="98.25" customHeight="1" x14ac:dyDescent="0.25">
      <c r="A104" s="56">
        <v>103</v>
      </c>
      <c r="B104" s="56" t="e">
        <f>$B$1&amp;'Phân công'!#REF!&amp;CHAR(10)&amp;Sheet1!$C$1&amp;'Phân công'!#REF!&amp;CHAR(10)&amp;Sheet1!$D$1&amp;'Phân công'!#REF!&amp;CHAR(10)&amp;Sheet1!$E$1&amp;'Phân công'!#REF!&amp;CHAR(10)&amp;Sheet1!$F$1&amp;'Phân công'!#REF!</f>
        <v>#REF!</v>
      </c>
      <c r="C104" s="56" t="e">
        <f>$G$1&amp;'Phân công'!#REF!&amp;CHAR(10)&amp;Sheet1!$H$1&amp;'Phân công'!#REF!&amp;CHAR(10)&amp;Sheet1!$I$1&amp;'Phân công'!#REF!&amp;CHAR(10)&amp;Sheet1!$J$1&amp;'Phân công'!#REF!&amp;CHAR(10)&amp;$K$1&amp;'Phân công'!#REF!</f>
        <v>#REF!</v>
      </c>
    </row>
    <row r="105" spans="1:3" ht="98.25" customHeight="1" x14ac:dyDescent="0.25">
      <c r="A105" s="56">
        <v>104</v>
      </c>
      <c r="B105" s="56" t="e">
        <f>$B$1&amp;'Phân công'!#REF!&amp;CHAR(10)&amp;Sheet1!$C$1&amp;'Phân công'!#REF!&amp;CHAR(10)&amp;Sheet1!$D$1&amp;'Phân công'!#REF!&amp;CHAR(10)&amp;Sheet1!$E$1&amp;'Phân công'!#REF!&amp;CHAR(10)&amp;Sheet1!$F$1&amp;'Phân công'!#REF!</f>
        <v>#REF!</v>
      </c>
      <c r="C105" s="56" t="e">
        <f>$G$1&amp;'Phân công'!#REF!&amp;CHAR(10)&amp;Sheet1!$H$1&amp;'Phân công'!#REF!&amp;CHAR(10)&amp;Sheet1!$I$1&amp;'Phân công'!#REF!&amp;CHAR(10)&amp;Sheet1!$J$1&amp;'Phân công'!#REF!&amp;CHAR(10)&amp;$K$1&amp;'Phân công'!#REF!</f>
        <v>#REF!</v>
      </c>
    </row>
    <row r="106" spans="1:3" ht="98.25" customHeight="1" x14ac:dyDescent="0.25">
      <c r="A106" s="56">
        <v>105</v>
      </c>
      <c r="B106" s="56" t="e">
        <f>$B$1&amp;'Phân công'!#REF!&amp;CHAR(10)&amp;Sheet1!$C$1&amp;'Phân công'!#REF!&amp;CHAR(10)&amp;Sheet1!$D$1&amp;'Phân công'!#REF!&amp;CHAR(10)&amp;Sheet1!$E$1&amp;'Phân công'!#REF!&amp;CHAR(10)&amp;Sheet1!$F$1&amp;'Phân công'!#REF!</f>
        <v>#REF!</v>
      </c>
      <c r="C106" s="56" t="e">
        <f>$G$1&amp;'Phân công'!#REF!&amp;CHAR(10)&amp;Sheet1!$H$1&amp;'Phân công'!#REF!&amp;CHAR(10)&amp;Sheet1!$I$1&amp;'Phân công'!#REF!&amp;CHAR(10)&amp;Sheet1!$J$1&amp;'Phân công'!#REF!&amp;CHAR(10)&amp;$K$1&amp;'Phân công'!#REF!</f>
        <v>#REF!</v>
      </c>
    </row>
    <row r="107" spans="1:3" ht="98.25" customHeight="1" x14ac:dyDescent="0.25">
      <c r="A107" s="56">
        <v>106</v>
      </c>
      <c r="B107" s="56" t="e">
        <f>$B$1&amp;'Phân công'!#REF!&amp;CHAR(10)&amp;Sheet1!$C$1&amp;'Phân công'!#REF!&amp;CHAR(10)&amp;Sheet1!$D$1&amp;'Phân công'!#REF!&amp;CHAR(10)&amp;Sheet1!$E$1&amp;'Phân công'!#REF!&amp;CHAR(10)&amp;Sheet1!$F$1&amp;'Phân công'!#REF!</f>
        <v>#REF!</v>
      </c>
      <c r="C107" s="56" t="e">
        <f>$G$1&amp;'Phân công'!#REF!&amp;CHAR(10)&amp;Sheet1!$H$1&amp;'Phân công'!#REF!&amp;CHAR(10)&amp;Sheet1!$I$1&amp;'Phân công'!#REF!&amp;CHAR(10)&amp;Sheet1!$J$1&amp;'Phân công'!#REF!&amp;CHAR(10)&amp;$K$1&amp;'Phân công'!#REF!</f>
        <v>#REF!</v>
      </c>
    </row>
    <row r="108" spans="1:3" ht="98.25" customHeight="1" x14ac:dyDescent="0.25">
      <c r="A108" s="56">
        <v>107</v>
      </c>
      <c r="B108" s="56" t="e">
        <f>$B$1&amp;'Phân công'!#REF!&amp;CHAR(10)&amp;Sheet1!$C$1&amp;'Phân công'!#REF!&amp;CHAR(10)&amp;Sheet1!$D$1&amp;'Phân công'!#REF!&amp;CHAR(10)&amp;Sheet1!$E$1&amp;'Phân công'!#REF!&amp;CHAR(10)&amp;Sheet1!$F$1&amp;'Phân công'!#REF!</f>
        <v>#REF!</v>
      </c>
      <c r="C108" s="56" t="e">
        <f>$G$1&amp;'Phân công'!#REF!&amp;CHAR(10)&amp;Sheet1!$H$1&amp;'Phân công'!#REF!&amp;CHAR(10)&amp;Sheet1!$I$1&amp;'Phân công'!#REF!&amp;CHAR(10)&amp;Sheet1!$J$1&amp;'Phân công'!#REF!&amp;CHAR(10)&amp;$K$1&amp;'Phân công'!#REF!</f>
        <v>#REF!</v>
      </c>
    </row>
    <row r="109" spans="1:3" ht="98.25" customHeight="1" x14ac:dyDescent="0.25">
      <c r="A109" s="56">
        <v>108</v>
      </c>
      <c r="B109" s="56" t="e">
        <f>$B$1&amp;'Phân công'!#REF!&amp;CHAR(10)&amp;Sheet1!$C$1&amp;'Phân công'!#REF!&amp;CHAR(10)&amp;Sheet1!$D$1&amp;'Phân công'!#REF!&amp;CHAR(10)&amp;Sheet1!$E$1&amp;'Phân công'!#REF!&amp;CHAR(10)&amp;Sheet1!$F$1&amp;'Phân công'!#REF!</f>
        <v>#REF!</v>
      </c>
      <c r="C109" s="56" t="e">
        <f>$G$1&amp;'Phân công'!#REF!&amp;CHAR(10)&amp;Sheet1!$H$1&amp;'Phân công'!#REF!&amp;CHAR(10)&amp;Sheet1!$I$1&amp;'Phân công'!#REF!&amp;CHAR(10)&amp;Sheet1!$J$1&amp;'Phân công'!#REF!&amp;CHAR(10)&amp;$K$1&amp;'Phân công'!#REF!</f>
        <v>#REF!</v>
      </c>
    </row>
    <row r="110" spans="1:3" ht="98.25" customHeight="1" x14ac:dyDescent="0.25">
      <c r="A110" s="56">
        <v>109</v>
      </c>
      <c r="B110" s="56" t="e">
        <f>$B$1&amp;'Phân công'!#REF!&amp;CHAR(10)&amp;Sheet1!$C$1&amp;'Phân công'!#REF!&amp;CHAR(10)&amp;Sheet1!$D$1&amp;'Phân công'!#REF!&amp;CHAR(10)&amp;Sheet1!$E$1&amp;'Phân công'!#REF!&amp;CHAR(10)&amp;Sheet1!$F$1&amp;'Phân công'!#REF!</f>
        <v>#REF!</v>
      </c>
      <c r="C110" s="56" t="e">
        <f>$G$1&amp;'Phân công'!#REF!&amp;CHAR(10)&amp;Sheet1!$H$1&amp;'Phân công'!#REF!&amp;CHAR(10)&amp;Sheet1!$I$1&amp;'Phân công'!#REF!&amp;CHAR(10)&amp;Sheet1!$J$1&amp;'Phân công'!#REF!&amp;CHAR(10)&amp;$K$1&amp;'Phân công'!#REF!</f>
        <v>#REF!</v>
      </c>
    </row>
    <row r="111" spans="1:3" ht="98.25" customHeight="1" x14ac:dyDescent="0.25">
      <c r="A111" s="56">
        <v>110</v>
      </c>
      <c r="B111" s="56" t="e">
        <f>$B$1&amp;'Phân công'!#REF!&amp;CHAR(10)&amp;Sheet1!$C$1&amp;'Phân công'!#REF!&amp;CHAR(10)&amp;Sheet1!$D$1&amp;'Phân công'!#REF!&amp;CHAR(10)&amp;Sheet1!$E$1&amp;'Phân công'!#REF!&amp;CHAR(10)&amp;Sheet1!$F$1&amp;'Phân công'!#REF!</f>
        <v>#REF!</v>
      </c>
      <c r="C111" s="56" t="e">
        <f>$G$1&amp;'Phân công'!#REF!&amp;CHAR(10)&amp;Sheet1!$H$1&amp;'Phân công'!#REF!&amp;CHAR(10)&amp;Sheet1!$I$1&amp;'Phân công'!#REF!&amp;CHAR(10)&amp;Sheet1!$J$1&amp;'Phân công'!#REF!&amp;CHAR(10)&amp;$K$1&amp;'Phân công'!#REF!</f>
        <v>#REF!</v>
      </c>
    </row>
    <row r="112" spans="1:3" ht="98.25" customHeight="1" x14ac:dyDescent="0.25">
      <c r="A112" s="56">
        <v>111</v>
      </c>
      <c r="B112" s="56" t="e">
        <f>$B$1&amp;'Phân công'!#REF!&amp;CHAR(10)&amp;Sheet1!$C$1&amp;'Phân công'!#REF!&amp;CHAR(10)&amp;Sheet1!$D$1&amp;'Phân công'!#REF!&amp;CHAR(10)&amp;Sheet1!$E$1&amp;'Phân công'!#REF!&amp;CHAR(10)&amp;Sheet1!$F$1&amp;'Phân công'!#REF!</f>
        <v>#REF!</v>
      </c>
      <c r="C112" s="56" t="e">
        <f>$G$1&amp;'Phân công'!#REF!&amp;CHAR(10)&amp;Sheet1!$H$1&amp;'Phân công'!#REF!&amp;CHAR(10)&amp;Sheet1!$I$1&amp;'Phân công'!#REF!&amp;CHAR(10)&amp;Sheet1!$J$1&amp;'Phân công'!#REF!&amp;CHAR(10)&amp;$K$1&amp;'Phân công'!#REF!</f>
        <v>#REF!</v>
      </c>
    </row>
    <row r="113" spans="1:3" ht="98.25" customHeight="1" x14ac:dyDescent="0.25">
      <c r="A113" s="56">
        <v>112</v>
      </c>
      <c r="B113" s="56" t="e">
        <f>$B$1&amp;'Phân công'!#REF!&amp;CHAR(10)&amp;Sheet1!$C$1&amp;'Phân công'!#REF!&amp;CHAR(10)&amp;Sheet1!$D$1&amp;'Phân công'!#REF!&amp;CHAR(10)&amp;Sheet1!$E$1&amp;'Phân công'!#REF!&amp;CHAR(10)&amp;Sheet1!$F$1&amp;'Phân công'!#REF!</f>
        <v>#REF!</v>
      </c>
      <c r="C113" s="56" t="e">
        <f>$G$1&amp;'Phân công'!#REF!&amp;CHAR(10)&amp;Sheet1!$H$1&amp;'Phân công'!#REF!&amp;CHAR(10)&amp;Sheet1!$I$1&amp;'Phân công'!#REF!&amp;CHAR(10)&amp;Sheet1!$J$1&amp;'Phân công'!#REF!&amp;CHAR(10)&amp;$K$1&amp;'Phân công'!#REF!</f>
        <v>#REF!</v>
      </c>
    </row>
    <row r="114" spans="1:3" ht="98.25" customHeight="1" x14ac:dyDescent="0.25">
      <c r="A114" s="56">
        <v>113</v>
      </c>
      <c r="B114" s="56" t="e">
        <f>$B$1&amp;'Phân công'!#REF!&amp;CHAR(10)&amp;Sheet1!$C$1&amp;'Phân công'!#REF!&amp;CHAR(10)&amp;Sheet1!$D$1&amp;'Phân công'!#REF!&amp;CHAR(10)&amp;Sheet1!$E$1&amp;'Phân công'!#REF!&amp;CHAR(10)&amp;Sheet1!$F$1&amp;'Phân công'!#REF!</f>
        <v>#REF!</v>
      </c>
      <c r="C114" s="56" t="e">
        <f>$G$1&amp;'Phân công'!#REF!&amp;CHAR(10)&amp;Sheet1!$H$1&amp;'Phân công'!#REF!&amp;CHAR(10)&amp;Sheet1!$I$1&amp;'Phân công'!#REF!&amp;CHAR(10)&amp;Sheet1!$J$1&amp;'Phân công'!#REF!&amp;CHAR(10)&amp;$K$1&amp;'Phân công'!#REF!</f>
        <v>#REF!</v>
      </c>
    </row>
    <row r="115" spans="1:3" ht="98.25" customHeight="1" x14ac:dyDescent="0.25">
      <c r="A115" s="56">
        <v>114</v>
      </c>
      <c r="B115" s="56" t="e">
        <f>$B$1&amp;'Phân công'!#REF!&amp;CHAR(10)&amp;Sheet1!$C$1&amp;'Phân công'!#REF!&amp;CHAR(10)&amp;Sheet1!$D$1&amp;'Phân công'!#REF!&amp;CHAR(10)&amp;Sheet1!$E$1&amp;'Phân công'!#REF!&amp;CHAR(10)&amp;Sheet1!$F$1&amp;'Phân công'!#REF!</f>
        <v>#REF!</v>
      </c>
      <c r="C115" s="56" t="e">
        <f>$G$1&amp;'Phân công'!#REF!&amp;CHAR(10)&amp;Sheet1!$H$1&amp;'Phân công'!#REF!&amp;CHAR(10)&amp;Sheet1!$I$1&amp;'Phân công'!#REF!&amp;CHAR(10)&amp;Sheet1!$J$1&amp;'Phân công'!#REF!&amp;CHAR(10)&amp;$K$1&amp;'Phân công'!#REF!</f>
        <v>#REF!</v>
      </c>
    </row>
    <row r="116" spans="1:3" ht="98.25" customHeight="1" x14ac:dyDescent="0.25">
      <c r="A116" s="56">
        <v>115</v>
      </c>
      <c r="B116" s="56" t="e">
        <f>$B$1&amp;'Phân công'!#REF!&amp;CHAR(10)&amp;Sheet1!$C$1&amp;'Phân công'!#REF!&amp;CHAR(10)&amp;Sheet1!$D$1&amp;'Phân công'!#REF!&amp;CHAR(10)&amp;Sheet1!$E$1&amp;'Phân công'!#REF!&amp;CHAR(10)&amp;Sheet1!$F$1&amp;'Phân công'!#REF!</f>
        <v>#REF!</v>
      </c>
      <c r="C116" s="56" t="e">
        <f>$G$1&amp;'Phân công'!#REF!&amp;CHAR(10)&amp;Sheet1!$H$1&amp;'Phân công'!#REF!&amp;CHAR(10)&amp;Sheet1!$I$1&amp;'Phân công'!#REF!&amp;CHAR(10)&amp;Sheet1!$J$1&amp;'Phân công'!#REF!&amp;CHAR(10)&amp;$K$1&amp;'Phân công'!#REF!</f>
        <v>#REF!</v>
      </c>
    </row>
    <row r="117" spans="1:3" ht="98.25" customHeight="1" x14ac:dyDescent="0.25">
      <c r="A117" s="56">
        <v>116</v>
      </c>
      <c r="B117" s="56" t="e">
        <f>$B$1&amp;'Phân công'!#REF!&amp;CHAR(10)&amp;Sheet1!$C$1&amp;'Phân công'!#REF!&amp;CHAR(10)&amp;Sheet1!$D$1&amp;'Phân công'!#REF!&amp;CHAR(10)&amp;Sheet1!$E$1&amp;'Phân công'!#REF!&amp;CHAR(10)&amp;Sheet1!$F$1&amp;'Phân công'!#REF!</f>
        <v>#REF!</v>
      </c>
      <c r="C117" s="56" t="e">
        <f>$G$1&amp;'Phân công'!#REF!&amp;CHAR(10)&amp;Sheet1!$H$1&amp;'Phân công'!#REF!&amp;CHAR(10)&amp;Sheet1!$I$1&amp;'Phân công'!#REF!&amp;CHAR(10)&amp;Sheet1!$J$1&amp;'Phân công'!#REF!&amp;CHAR(10)&amp;$K$1&amp;'Phân công'!#REF!</f>
        <v>#REF!</v>
      </c>
    </row>
    <row r="118" spans="1:3" ht="98.25" customHeight="1" x14ac:dyDescent="0.25">
      <c r="A118" s="56">
        <v>117</v>
      </c>
      <c r="B118" s="56" t="e">
        <f>$B$1&amp;'Phân công'!#REF!&amp;CHAR(10)&amp;Sheet1!$C$1&amp;'Phân công'!#REF!&amp;CHAR(10)&amp;Sheet1!$D$1&amp;'Phân công'!#REF!&amp;CHAR(10)&amp;Sheet1!$E$1&amp;'Phân công'!#REF!&amp;CHAR(10)&amp;Sheet1!$F$1&amp;'Phân công'!#REF!</f>
        <v>#REF!</v>
      </c>
      <c r="C118" s="56" t="e">
        <f>$G$1&amp;'Phân công'!#REF!&amp;CHAR(10)&amp;Sheet1!$H$1&amp;'Phân công'!#REF!&amp;CHAR(10)&amp;Sheet1!$I$1&amp;'Phân công'!#REF!&amp;CHAR(10)&amp;Sheet1!$J$1&amp;'Phân công'!#REF!&amp;CHAR(10)&amp;$K$1&amp;'Phân công'!#REF!</f>
        <v>#REF!</v>
      </c>
    </row>
    <row r="119" spans="1:3" ht="98.25" customHeight="1" x14ac:dyDescent="0.25">
      <c r="A119" s="56">
        <v>118</v>
      </c>
      <c r="B119" s="56" t="e">
        <f>$B$1&amp;'Phân công'!#REF!&amp;CHAR(10)&amp;Sheet1!$C$1&amp;'Phân công'!#REF!&amp;CHAR(10)&amp;Sheet1!$D$1&amp;'Phân công'!#REF!&amp;CHAR(10)&amp;Sheet1!$E$1&amp;'Phân công'!#REF!&amp;CHAR(10)&amp;Sheet1!$F$1&amp;'Phân công'!#REF!</f>
        <v>#REF!</v>
      </c>
      <c r="C119" s="56" t="e">
        <f>$G$1&amp;'Phân công'!#REF!&amp;CHAR(10)&amp;Sheet1!$H$1&amp;'Phân công'!#REF!&amp;CHAR(10)&amp;Sheet1!$I$1&amp;'Phân công'!#REF!&amp;CHAR(10)&amp;Sheet1!$J$1&amp;'Phân công'!#REF!&amp;CHAR(10)&amp;$K$1&amp;'Phân công'!#REF!</f>
        <v>#REF!</v>
      </c>
    </row>
    <row r="120" spans="1:3" ht="98.25" customHeight="1" x14ac:dyDescent="0.25">
      <c r="A120" s="56">
        <v>119</v>
      </c>
      <c r="B120" s="56" t="e">
        <f>$B$1&amp;'Phân công'!#REF!&amp;CHAR(10)&amp;Sheet1!$C$1&amp;'Phân công'!#REF!&amp;CHAR(10)&amp;Sheet1!$D$1&amp;'Phân công'!#REF!&amp;CHAR(10)&amp;Sheet1!$E$1&amp;'Phân công'!#REF!&amp;CHAR(10)&amp;Sheet1!$F$1&amp;'Phân công'!#REF!</f>
        <v>#REF!</v>
      </c>
      <c r="C120" s="56" t="e">
        <f>$G$1&amp;'Phân công'!#REF!&amp;CHAR(10)&amp;Sheet1!$H$1&amp;'Phân công'!#REF!&amp;CHAR(10)&amp;Sheet1!$I$1&amp;'Phân công'!#REF!&amp;CHAR(10)&amp;Sheet1!$J$1&amp;'Phân công'!#REF!&amp;CHAR(10)&amp;$K$1&amp;'Phân công'!#REF!</f>
        <v>#REF!</v>
      </c>
    </row>
    <row r="121" spans="1:3" ht="98.25" customHeight="1" x14ac:dyDescent="0.25">
      <c r="A121" s="56">
        <v>120</v>
      </c>
      <c r="B121" s="56" t="e">
        <f>$B$1&amp;'Phân công'!#REF!&amp;CHAR(10)&amp;Sheet1!$C$1&amp;'Phân công'!#REF!&amp;CHAR(10)&amp;Sheet1!$D$1&amp;'Phân công'!#REF!&amp;CHAR(10)&amp;Sheet1!$E$1&amp;'Phân công'!#REF!&amp;CHAR(10)&amp;Sheet1!$F$1&amp;'Phân công'!#REF!</f>
        <v>#REF!</v>
      </c>
      <c r="C121" s="56" t="e">
        <f>$G$1&amp;'Phân công'!#REF!&amp;CHAR(10)&amp;Sheet1!$H$1&amp;'Phân công'!#REF!&amp;CHAR(10)&amp;Sheet1!$I$1&amp;'Phân công'!#REF!&amp;CHAR(10)&amp;Sheet1!$J$1&amp;'Phân công'!#REF!&amp;CHAR(10)&amp;$K$1&amp;'Phân công'!#REF!</f>
        <v>#REF!</v>
      </c>
    </row>
    <row r="122" spans="1:3" ht="98.25" customHeight="1" x14ac:dyDescent="0.25">
      <c r="A122" s="56">
        <v>121</v>
      </c>
      <c r="B122" s="56" t="e">
        <f>$B$1&amp;'Phân công'!#REF!&amp;CHAR(10)&amp;Sheet1!$C$1&amp;'Phân công'!#REF!&amp;CHAR(10)&amp;Sheet1!$D$1&amp;'Phân công'!#REF!&amp;CHAR(10)&amp;Sheet1!$E$1&amp;'Phân công'!#REF!&amp;CHAR(10)&amp;Sheet1!$F$1&amp;'Phân công'!#REF!</f>
        <v>#REF!</v>
      </c>
      <c r="C122" s="56" t="e">
        <f>$G$1&amp;'Phân công'!#REF!&amp;CHAR(10)&amp;Sheet1!$H$1&amp;'Phân công'!#REF!&amp;CHAR(10)&amp;Sheet1!$I$1&amp;'Phân công'!#REF!&amp;CHAR(10)&amp;Sheet1!$J$1&amp;'Phân công'!#REF!&amp;CHAR(10)&amp;$K$1&amp;'Phân công'!#REF!</f>
        <v>#REF!</v>
      </c>
    </row>
    <row r="123" spans="1:3" ht="98.25" customHeight="1" x14ac:dyDescent="0.25">
      <c r="A123" s="56">
        <v>122</v>
      </c>
      <c r="B123" s="56" t="e">
        <f>$B$1&amp;'Phân công'!#REF!&amp;CHAR(10)&amp;Sheet1!$C$1&amp;'Phân công'!A70&amp;CHAR(10)&amp;Sheet1!$D$1&amp;'Phân công'!#REF!&amp;CHAR(10)&amp;Sheet1!$E$1&amp;'Phân công'!#REF!&amp;CHAR(10)&amp;Sheet1!$F$1&amp;'Phân công'!#REF!</f>
        <v>#REF!</v>
      </c>
      <c r="C123" s="56" t="e">
        <f>$G$1&amp;'Phân công'!#REF!&amp;CHAR(10)&amp;Sheet1!$H$1&amp;'Phân công'!#REF!&amp;CHAR(10)&amp;Sheet1!$I$1&amp;'Phân công'!#REF!&amp;CHAR(10)&amp;Sheet1!$J$1&amp;'Phân công'!#REF!&amp;CHAR(10)&amp;$K$1&amp;'Phân công'!#REF!</f>
        <v>#REF!</v>
      </c>
    </row>
    <row r="124" spans="1:3" ht="98.25" customHeight="1" x14ac:dyDescent="0.25">
      <c r="A124" s="56">
        <v>123</v>
      </c>
      <c r="B124" s="56" t="e">
        <f>$B$1&amp;'Phân công'!#REF!&amp;CHAR(10)&amp;Sheet1!$C$1&amp;'Phân công'!A71&amp;CHAR(10)&amp;Sheet1!$D$1&amp;'Phân công'!#REF!&amp;CHAR(10)&amp;Sheet1!$E$1&amp;'Phân công'!#REF!&amp;CHAR(10)&amp;Sheet1!$F$1&amp;'Phân công'!#REF!</f>
        <v>#REF!</v>
      </c>
      <c r="C124" s="56" t="e">
        <f>$G$1&amp;'Phân công'!#REF!&amp;CHAR(10)&amp;Sheet1!$H$1&amp;'Phân công'!#REF!&amp;CHAR(10)&amp;Sheet1!$I$1&amp;'Phân công'!#REF!&amp;CHAR(10)&amp;Sheet1!$J$1&amp;'Phân công'!#REF!&amp;CHAR(10)&amp;$K$1&amp;'Phân công'!#REF!</f>
        <v>#REF!</v>
      </c>
    </row>
    <row r="125" spans="1:3" ht="98.25" customHeight="1" x14ac:dyDescent="0.25">
      <c r="A125" s="56">
        <v>124</v>
      </c>
      <c r="B125" s="56" t="e">
        <f>$B$1&amp;'Phân công'!#REF!&amp;CHAR(10)&amp;Sheet1!$C$1&amp;'Phân công'!A72&amp;CHAR(10)&amp;Sheet1!$D$1&amp;'Phân công'!#REF!&amp;CHAR(10)&amp;Sheet1!$E$1&amp;'Phân công'!#REF!&amp;CHAR(10)&amp;Sheet1!$F$1&amp;'Phân công'!#REF!</f>
        <v>#REF!</v>
      </c>
      <c r="C125" s="56" t="e">
        <f>$G$1&amp;'Phân công'!#REF!&amp;CHAR(10)&amp;Sheet1!$H$1&amp;'Phân công'!#REF!&amp;CHAR(10)&amp;Sheet1!$I$1&amp;'Phân công'!#REF!&amp;CHAR(10)&amp;Sheet1!$J$1&amp;'Phân công'!#REF!&amp;CHAR(10)&amp;$K$1&amp;'Phân công'!#REF!</f>
        <v>#REF!</v>
      </c>
    </row>
    <row r="126" spans="1:3" ht="98.25" customHeight="1" x14ac:dyDescent="0.25">
      <c r="A126" s="56">
        <v>125</v>
      </c>
      <c r="B126" s="56" t="e">
        <f>$B$1&amp;'Phân công'!#REF!&amp;CHAR(10)&amp;Sheet1!$C$1&amp;'Phân công'!#REF!&amp;CHAR(10)&amp;Sheet1!$D$1&amp;'Phân công'!#REF!&amp;CHAR(10)&amp;Sheet1!$E$1&amp;'Phân công'!#REF!&amp;CHAR(10)&amp;Sheet1!$F$1&amp;'Phân công'!#REF!</f>
        <v>#REF!</v>
      </c>
      <c r="C126" s="56" t="e">
        <f>$G$1&amp;'Phân công'!#REF!&amp;CHAR(10)&amp;Sheet1!$H$1&amp;'Phân công'!#REF!&amp;CHAR(10)&amp;Sheet1!$I$1&amp;'Phân công'!#REF!&amp;CHAR(10)&amp;Sheet1!$J$1&amp;'Phân công'!#REF!&amp;CHAR(10)&amp;$K$1&amp;'Phân công'!#REF!</f>
        <v>#REF!</v>
      </c>
    </row>
    <row r="127" spans="1:3" ht="98.25" customHeight="1" x14ac:dyDescent="0.25">
      <c r="A127" s="56">
        <v>126</v>
      </c>
      <c r="B127" s="56" t="e">
        <f>$B$1&amp;'Phân công'!#REF!&amp;CHAR(10)&amp;Sheet1!$C$1&amp;'Phân công'!#REF!&amp;CHAR(10)&amp;Sheet1!$D$1&amp;'Phân công'!#REF!&amp;CHAR(10)&amp;Sheet1!$E$1&amp;'Phân công'!#REF!&amp;CHAR(10)&amp;Sheet1!$F$1&amp;'Phân công'!#REF!</f>
        <v>#REF!</v>
      </c>
      <c r="C127" s="56" t="e">
        <f>$G$1&amp;'Phân công'!#REF!&amp;CHAR(10)&amp;Sheet1!$H$1&amp;'Phân công'!#REF!&amp;CHAR(10)&amp;Sheet1!$I$1&amp;'Phân công'!#REF!&amp;CHAR(10)&amp;Sheet1!$J$1&amp;'Phân công'!#REF!&amp;CHAR(10)&amp;$K$1&amp;'Phân công'!#REF!</f>
        <v>#REF!</v>
      </c>
    </row>
    <row r="128" spans="1:3" ht="98.25" customHeight="1" x14ac:dyDescent="0.25">
      <c r="A128" s="56">
        <v>127</v>
      </c>
      <c r="B128" s="56" t="e">
        <f>$B$1&amp;'Phân công'!#REF!&amp;CHAR(10)&amp;Sheet1!$C$1&amp;'Phân công'!#REF!&amp;CHAR(10)&amp;Sheet1!$D$1&amp;'Phân công'!#REF!&amp;CHAR(10)&amp;Sheet1!$E$1&amp;'Phân công'!#REF!&amp;CHAR(10)&amp;Sheet1!$F$1&amp;'Phân công'!#REF!</f>
        <v>#REF!</v>
      </c>
      <c r="C128" s="56" t="e">
        <f>$G$1&amp;'Phân công'!#REF!&amp;CHAR(10)&amp;Sheet1!$H$1&amp;'Phân công'!#REF!&amp;CHAR(10)&amp;Sheet1!$I$1&amp;'Phân công'!#REF!&amp;CHAR(10)&amp;Sheet1!$J$1&amp;'Phân công'!#REF!&amp;CHAR(10)&amp;$K$1&amp;'Phân công'!#REF!</f>
        <v>#REF!</v>
      </c>
    </row>
    <row r="129" spans="1:3" ht="98.25" customHeight="1" x14ac:dyDescent="0.25">
      <c r="A129" s="56">
        <v>128</v>
      </c>
      <c r="B129" s="56" t="e">
        <f>$B$1&amp;'Phân công'!#REF!&amp;CHAR(10)&amp;Sheet1!$C$1&amp;'Phân công'!#REF!&amp;CHAR(10)&amp;Sheet1!$D$1&amp;'Phân công'!#REF!&amp;CHAR(10)&amp;Sheet1!$E$1&amp;'Phân công'!#REF!&amp;CHAR(10)&amp;Sheet1!$F$1&amp;'Phân công'!#REF!</f>
        <v>#REF!</v>
      </c>
      <c r="C129" s="56" t="e">
        <f>$G$1&amp;'Phân công'!#REF!&amp;CHAR(10)&amp;Sheet1!$H$1&amp;'Phân công'!#REF!&amp;CHAR(10)&amp;Sheet1!$I$1&amp;'Phân công'!#REF!&amp;CHAR(10)&amp;Sheet1!$J$1&amp;'Phân công'!#REF!&amp;CHAR(10)&amp;$K$1&amp;'Phân công'!#REF!</f>
        <v>#REF!</v>
      </c>
    </row>
    <row r="130" spans="1:3" ht="98.25" customHeight="1" x14ac:dyDescent="0.25">
      <c r="A130" s="56">
        <v>129</v>
      </c>
      <c r="B130" s="56" t="e">
        <f>$B$1&amp;'Phân công'!#REF!&amp;CHAR(10)&amp;Sheet1!$C$1&amp;'Phân công'!#REF!&amp;CHAR(10)&amp;Sheet1!$D$1&amp;'Phân công'!#REF!&amp;CHAR(10)&amp;Sheet1!$E$1&amp;'Phân công'!#REF!&amp;CHAR(10)&amp;Sheet1!$F$1&amp;'Phân công'!#REF!</f>
        <v>#REF!</v>
      </c>
      <c r="C130" s="56" t="e">
        <f>$G$1&amp;'Phân công'!#REF!&amp;CHAR(10)&amp;Sheet1!$H$1&amp;'Phân công'!#REF!&amp;CHAR(10)&amp;Sheet1!$I$1&amp;'Phân công'!#REF!&amp;CHAR(10)&amp;Sheet1!$J$1&amp;'Phân công'!#REF!&amp;CHAR(10)&amp;$K$1&amp;'Phân công'!#REF!</f>
        <v>#REF!</v>
      </c>
    </row>
    <row r="131" spans="1:3" ht="98.25" customHeight="1" x14ac:dyDescent="0.25">
      <c r="A131" s="56">
        <v>130</v>
      </c>
      <c r="B131" s="56" t="e">
        <f>$B$1&amp;'Phân công'!#REF!&amp;CHAR(10)&amp;Sheet1!$C$1&amp;'Phân công'!#REF!&amp;CHAR(10)&amp;Sheet1!$D$1&amp;'Phân công'!#REF!&amp;CHAR(10)&amp;Sheet1!$E$1&amp;'Phân công'!#REF!&amp;CHAR(10)&amp;Sheet1!$F$1&amp;'Phân công'!#REF!</f>
        <v>#REF!</v>
      </c>
      <c r="C131" s="56" t="e">
        <f>$G$1&amp;'Phân công'!#REF!&amp;CHAR(10)&amp;Sheet1!$H$1&amp;'Phân công'!#REF!&amp;CHAR(10)&amp;Sheet1!$I$1&amp;'Phân công'!#REF!&amp;CHAR(10)&amp;Sheet1!$J$1&amp;'Phân công'!#REF!&amp;CHAR(10)&amp;$K$1&amp;'Phân công'!#REF!</f>
        <v>#REF!</v>
      </c>
    </row>
    <row r="132" spans="1:3" ht="98.25" customHeight="1" x14ac:dyDescent="0.25">
      <c r="A132" s="56">
        <v>131</v>
      </c>
      <c r="B132" s="56" t="e">
        <f>$B$1&amp;'Phân công'!#REF!&amp;CHAR(10)&amp;Sheet1!$C$1&amp;'Phân công'!#REF!&amp;CHAR(10)&amp;Sheet1!$D$1&amp;'Phân công'!#REF!&amp;CHAR(10)&amp;Sheet1!$E$1&amp;'Phân công'!#REF!&amp;CHAR(10)&amp;Sheet1!$F$1&amp;'Phân công'!#REF!</f>
        <v>#REF!</v>
      </c>
      <c r="C132" s="56" t="e">
        <f>$G$1&amp;'Phân công'!#REF!&amp;CHAR(10)&amp;Sheet1!$H$1&amp;'Phân công'!#REF!&amp;CHAR(10)&amp;Sheet1!$I$1&amp;'Phân công'!#REF!&amp;CHAR(10)&amp;Sheet1!$J$1&amp;'Phân công'!#REF!&amp;CHAR(10)&amp;$K$1&amp;'Phân công'!#REF!</f>
        <v>#REF!</v>
      </c>
    </row>
    <row r="133" spans="1:3" ht="98.25" customHeight="1" x14ac:dyDescent="0.25">
      <c r="A133" s="56">
        <v>132</v>
      </c>
      <c r="B133" s="56" t="e">
        <f>$B$1&amp;'Phân công'!#REF!&amp;CHAR(10)&amp;Sheet1!$C$1&amp;'Phân công'!#REF!&amp;CHAR(10)&amp;Sheet1!$D$1&amp;'Phân công'!#REF!&amp;CHAR(10)&amp;Sheet1!$E$1&amp;'Phân công'!#REF!&amp;CHAR(10)&amp;Sheet1!$F$1&amp;'Phân công'!#REF!</f>
        <v>#REF!</v>
      </c>
      <c r="C133" s="56" t="e">
        <f>$G$1&amp;'Phân công'!#REF!&amp;CHAR(10)&amp;Sheet1!$H$1&amp;'Phân công'!#REF!&amp;CHAR(10)&amp;Sheet1!$I$1&amp;'Phân công'!#REF!&amp;CHAR(10)&amp;Sheet1!$J$1&amp;'Phân công'!#REF!&amp;CHAR(10)&amp;$K$1&amp;'Phân công'!#REF!</f>
        <v>#REF!</v>
      </c>
    </row>
    <row r="134" spans="1:3" ht="98.25" customHeight="1" x14ac:dyDescent="0.25">
      <c r="A134" s="56">
        <v>133</v>
      </c>
      <c r="B134" s="56" t="e">
        <f>$B$1&amp;'Phân công'!#REF!&amp;CHAR(10)&amp;Sheet1!$C$1&amp;'Phân công'!#REF!&amp;CHAR(10)&amp;Sheet1!$D$1&amp;'Phân công'!#REF!&amp;CHAR(10)&amp;Sheet1!$E$1&amp;'Phân công'!#REF!&amp;CHAR(10)&amp;Sheet1!$F$1&amp;'Phân công'!#REF!</f>
        <v>#REF!</v>
      </c>
      <c r="C134" s="56" t="e">
        <f>$G$1&amp;'Phân công'!#REF!&amp;CHAR(10)&amp;Sheet1!$H$1&amp;'Phân công'!#REF!&amp;CHAR(10)&amp;Sheet1!$I$1&amp;'Phân công'!#REF!&amp;CHAR(10)&amp;Sheet1!$J$1&amp;'Phân công'!#REF!&amp;CHAR(10)&amp;$K$1&amp;'Phân công'!#REF!</f>
        <v>#REF!</v>
      </c>
    </row>
    <row r="135" spans="1:3" ht="98.25" customHeight="1" x14ac:dyDescent="0.25">
      <c r="A135" s="56">
        <v>134</v>
      </c>
      <c r="B135" s="56" t="e">
        <f>$B$1&amp;'Phân công'!#REF!&amp;CHAR(10)&amp;Sheet1!$C$1&amp;'Phân công'!#REF!&amp;CHAR(10)&amp;Sheet1!$D$1&amp;'Phân công'!#REF!&amp;CHAR(10)&amp;Sheet1!$E$1&amp;'Phân công'!#REF!&amp;CHAR(10)&amp;Sheet1!$F$1&amp;'Phân công'!#REF!</f>
        <v>#REF!</v>
      </c>
      <c r="C135" s="56" t="e">
        <f>$G$1&amp;'Phân công'!#REF!&amp;CHAR(10)&amp;Sheet1!$H$1&amp;'Phân công'!#REF!&amp;CHAR(10)&amp;Sheet1!$I$1&amp;'Phân công'!#REF!&amp;CHAR(10)&amp;Sheet1!$J$1&amp;'Phân công'!#REF!&amp;CHAR(10)&amp;$K$1&amp;'Phân công'!#REF!</f>
        <v>#REF!</v>
      </c>
    </row>
    <row r="136" spans="1:3" ht="98.25" customHeight="1" x14ac:dyDescent="0.25">
      <c r="A136" s="56">
        <v>135</v>
      </c>
      <c r="B136" s="56" t="e">
        <f>$B$1&amp;'Phân công'!#REF!&amp;CHAR(10)&amp;Sheet1!$C$1&amp;'Phân công'!#REF!&amp;CHAR(10)&amp;Sheet1!$D$1&amp;'Phân công'!#REF!&amp;CHAR(10)&amp;Sheet1!$E$1&amp;'Phân công'!#REF!&amp;CHAR(10)&amp;Sheet1!$F$1&amp;'Phân công'!#REF!</f>
        <v>#REF!</v>
      </c>
      <c r="C136" s="56" t="e">
        <f>$G$1&amp;'Phân công'!#REF!&amp;CHAR(10)&amp;Sheet1!$H$1&amp;'Phân công'!#REF!&amp;CHAR(10)&amp;Sheet1!$I$1&amp;'Phân công'!#REF!&amp;CHAR(10)&amp;Sheet1!$J$1&amp;'Phân công'!#REF!&amp;CHAR(10)&amp;$K$1&amp;'Phân công'!#REF!</f>
        <v>#REF!</v>
      </c>
    </row>
    <row r="137" spans="1:3" ht="98.25" customHeight="1" x14ac:dyDescent="0.25">
      <c r="A137" s="56"/>
      <c r="B137" s="56" t="e">
        <f>$B$1&amp;'Phân công'!#REF!&amp;CHAR(10)&amp;Sheet1!$C$1&amp;'Phân công'!#REF!&amp;CHAR(10)&amp;Sheet1!$D$1&amp;'Phân công'!#REF!&amp;CHAR(10)&amp;Sheet1!$E$1&amp;'Phân công'!#REF!&amp;CHAR(10)&amp;Sheet1!$F$1&amp;'Phân công'!#REF!</f>
        <v>#REF!</v>
      </c>
      <c r="C137" s="56" t="e">
        <f>$G$1&amp;'Phân công'!#REF!&amp;CHAR(10)&amp;Sheet1!$H$1&amp;'Phân công'!#REF!&amp;CHAR(10)&amp;Sheet1!$I$1&amp;'Phân công'!#REF!&amp;CHAR(10)&amp;Sheet1!$J$1&amp;'Phân công'!#REF!&amp;CHAR(10)&amp;$K$1&amp;'Phân công'!#REF!</f>
        <v>#REF!</v>
      </c>
    </row>
    <row r="138" spans="1:3" ht="98.25" customHeight="1" x14ac:dyDescent="0.25">
      <c r="A138" s="56"/>
      <c r="B138" s="56" t="e">
        <f>$B$1&amp;'Phân công'!#REF!&amp;CHAR(10)&amp;Sheet1!$C$1&amp;'Phân công'!#REF!&amp;CHAR(10)&amp;Sheet1!$D$1&amp;'Phân công'!#REF!&amp;CHAR(10)&amp;Sheet1!$E$1&amp;'Phân công'!#REF!&amp;CHAR(10)&amp;Sheet1!$F$1&amp;'Phân công'!#REF!</f>
        <v>#REF!</v>
      </c>
      <c r="C138" s="56" t="e">
        <f>$G$1&amp;'Phân công'!#REF!&amp;CHAR(10)&amp;Sheet1!$H$1&amp;'Phân công'!#REF!&amp;CHAR(10)&amp;Sheet1!$I$1&amp;'Phân công'!#REF!&amp;CHAR(10)&amp;Sheet1!$J$1&amp;'Phân công'!#REF!&amp;CHAR(10)&amp;$K$1&amp;'Phân công'!#REF!</f>
        <v>#REF!</v>
      </c>
    </row>
    <row r="139" spans="1:3" ht="12.75" customHeight="1" x14ac:dyDescent="0.25">
      <c r="A139" s="56"/>
      <c r="B139" s="56"/>
    </row>
    <row r="140" spans="1:3" ht="12.75" customHeight="1" x14ac:dyDescent="0.25">
      <c r="A140" s="56"/>
      <c r="B140" s="56"/>
    </row>
    <row r="141" spans="1:3" ht="12.75" customHeight="1" x14ac:dyDescent="0.25">
      <c r="A141" s="56"/>
      <c r="B141" s="56"/>
    </row>
    <row r="142" spans="1:3" ht="12.75" customHeight="1" x14ac:dyDescent="0.25">
      <c r="A142" s="56"/>
      <c r="B142" s="56"/>
    </row>
    <row r="143" spans="1:3" ht="12.75" customHeight="1" x14ac:dyDescent="0.25">
      <c r="A143" s="56"/>
      <c r="B143" s="56"/>
    </row>
    <row r="144" spans="1:3" ht="12.75" customHeight="1" x14ac:dyDescent="0.25">
      <c r="A144" s="56"/>
      <c r="B144" s="56"/>
    </row>
    <row r="145" spans="1:2" ht="12.75" customHeight="1" x14ac:dyDescent="0.25">
      <c r="A145" s="56"/>
      <c r="B145" s="56"/>
    </row>
    <row r="146" spans="1:2" ht="12.75" customHeight="1" x14ac:dyDescent="0.25">
      <c r="A146" s="56"/>
      <c r="B146" s="56"/>
    </row>
    <row r="147" spans="1:2" ht="12.75" customHeight="1" x14ac:dyDescent="0.25">
      <c r="A147" s="56"/>
      <c r="B147" s="56"/>
    </row>
    <row r="148" spans="1:2" ht="12.75" customHeight="1" x14ac:dyDescent="0.25">
      <c r="A148" s="56"/>
      <c r="B148" s="56"/>
    </row>
    <row r="149" spans="1:2" ht="12.75" customHeight="1" x14ac:dyDescent="0.25">
      <c r="A149" s="56"/>
      <c r="B149" s="56"/>
    </row>
    <row r="150" spans="1:2" ht="12.75" customHeight="1" x14ac:dyDescent="0.25"/>
    <row r="151" spans="1:2" ht="12.75" customHeight="1" x14ac:dyDescent="0.25"/>
    <row r="152" spans="1:2" ht="12.75" customHeight="1" x14ac:dyDescent="0.25"/>
    <row r="153" spans="1:2" ht="12.75" customHeight="1" x14ac:dyDescent="0.25"/>
    <row r="154" spans="1:2" ht="12.75" customHeight="1" x14ac:dyDescent="0.25"/>
    <row r="155" spans="1:2" ht="12.75" customHeight="1" x14ac:dyDescent="0.25"/>
    <row r="156" spans="1:2" ht="12.75" customHeight="1" x14ac:dyDescent="0.25"/>
    <row r="157" spans="1:2" ht="12.75" customHeight="1" x14ac:dyDescent="0.25"/>
    <row r="158" spans="1:2" ht="12.75" customHeight="1" x14ac:dyDescent="0.25"/>
    <row r="159" spans="1:2" ht="12.75" customHeight="1" x14ac:dyDescent="0.25"/>
    <row r="160" spans="1:2"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Phân công</vt:lpstr>
      <vt:lpstr>Sheet5</vt:lpstr>
      <vt:lpstr>Số bài mỗi hội đồng</vt:lpstr>
      <vt:lpstr>Thù lao</vt:lpstr>
      <vt:lpstr>Bài nộp</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Quang Thuy</dc:creator>
  <cp:lastModifiedBy>Chu Quang Thuy</cp:lastModifiedBy>
  <dcterms:created xsi:type="dcterms:W3CDTF">2025-11-11T02:09:54Z</dcterms:created>
  <dcterms:modified xsi:type="dcterms:W3CDTF">2026-03-07T08:19:08Z</dcterms:modified>
</cp:coreProperties>
</file>