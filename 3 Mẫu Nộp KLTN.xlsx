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Desktop\KLTN_Project\"/>
    </mc:Choice>
  </mc:AlternateContent>
  <xr:revisionPtr revIDLastSave="0" documentId="13_ncr:1_{D47E556F-C282-49BD-AF25-A0E45CD44F81}" xr6:coauthVersionLast="47" xr6:coauthVersionMax="47" xr10:uidLastSave="{00000000-0000-0000-0000-000000000000}"/>
  <bookViews>
    <workbookView xWindow="-110" yWindow="-110" windowWidth="19420" windowHeight="11500" xr2:uid="{00000000-000D-0000-FFFF-FFFF00000000}"/>
  </bookViews>
  <sheets>
    <sheet name="Phân công" sheetId="1" r:id="rId1"/>
    <sheet name="Sheet5" sheetId="2" r:id="rId2"/>
    <sheet name="Số bài mỗi hội đồng" sheetId="3" state="hidden" r:id="rId3"/>
    <sheet name="Thù lao" sheetId="4" r:id="rId4"/>
    <sheet name="Bài nộp" sheetId="5" state="hidden" r:id="rId5"/>
    <sheet name="Sheet1" sheetId="6" state="hidden" r:id="rId6"/>
  </sheets>
  <externalReferences>
    <externalReference r:id="rId7"/>
  </externalReferences>
  <definedNames>
    <definedName name="_xlnm._FilterDatabase" localSheetId="0" hidden="1">'Phân công'!$A$1:$H$136</definedName>
    <definedName name="_xlnm._FilterDatabase" localSheetId="3" hidden="1">'Thù lao'!$AL$2:$AL$23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B3" i="1" l="1"/>
  <c r="C3" i="1"/>
  <c r="D3" i="1"/>
  <c r="E3" i="1"/>
  <c r="B4" i="1"/>
  <c r="C4" i="1"/>
  <c r="D4" i="1"/>
  <c r="E4" i="1"/>
  <c r="B5" i="1"/>
  <c r="C5" i="1"/>
  <c r="D5" i="1"/>
  <c r="E5" i="1"/>
  <c r="B6" i="1"/>
  <c r="C6" i="1"/>
  <c r="D6" i="1"/>
  <c r="E6" i="1"/>
  <c r="B7" i="1"/>
  <c r="C7" i="1"/>
  <c r="D7" i="1"/>
  <c r="E7" i="1"/>
  <c r="B8" i="1"/>
  <c r="C8" i="1"/>
  <c r="D8" i="1"/>
  <c r="E8" i="1"/>
  <c r="B9" i="1"/>
  <c r="C9" i="1"/>
  <c r="D9" i="1"/>
  <c r="E9" i="1"/>
  <c r="B10" i="1"/>
  <c r="C10" i="1"/>
  <c r="D10" i="1"/>
  <c r="E10" i="1"/>
  <c r="B11" i="1"/>
  <c r="C11" i="1"/>
  <c r="D11" i="1"/>
  <c r="E11" i="1"/>
  <c r="B12" i="1"/>
  <c r="C12" i="1"/>
  <c r="D12" i="1"/>
  <c r="E12" i="1"/>
  <c r="B13" i="1"/>
  <c r="C13" i="1"/>
  <c r="D13" i="1"/>
  <c r="E13" i="1"/>
  <c r="B14" i="1"/>
  <c r="C14" i="1"/>
  <c r="D14" i="1"/>
  <c r="E14" i="1"/>
  <c r="B15" i="1"/>
  <c r="C15" i="1"/>
  <c r="D15" i="1"/>
  <c r="E15" i="1"/>
  <c r="B16" i="1"/>
  <c r="C16" i="1"/>
  <c r="D16" i="1"/>
  <c r="E16" i="1"/>
  <c r="B17" i="1"/>
  <c r="C17" i="1"/>
  <c r="D17" i="1"/>
  <c r="E17" i="1"/>
  <c r="B18" i="1"/>
  <c r="C18" i="1"/>
  <c r="D18" i="1"/>
  <c r="E18" i="1"/>
  <c r="B19" i="1"/>
  <c r="C19" i="1"/>
  <c r="D19" i="1"/>
  <c r="E19" i="1"/>
  <c r="B20" i="1"/>
  <c r="C20" i="1"/>
  <c r="D20" i="1"/>
  <c r="E20" i="1"/>
  <c r="B21" i="1"/>
  <c r="C21" i="1"/>
  <c r="D21" i="1"/>
  <c r="E21" i="1"/>
  <c r="B22" i="1"/>
  <c r="C22" i="1"/>
  <c r="D22" i="1"/>
  <c r="E22" i="1"/>
  <c r="B23" i="1"/>
  <c r="C23" i="1"/>
  <c r="D23" i="1"/>
  <c r="E23" i="1"/>
  <c r="B24" i="1"/>
  <c r="C24" i="1"/>
  <c r="D24" i="1"/>
  <c r="E24" i="1"/>
  <c r="B25" i="1"/>
  <c r="C25" i="1"/>
  <c r="D25" i="1"/>
  <c r="E25" i="1"/>
  <c r="B26" i="1"/>
  <c r="C26" i="1"/>
  <c r="D26" i="1"/>
  <c r="E26" i="1"/>
  <c r="B27" i="1"/>
  <c r="C27" i="1"/>
  <c r="D27" i="1"/>
  <c r="E27" i="1"/>
  <c r="B28" i="1"/>
  <c r="C28" i="1"/>
  <c r="D28" i="1"/>
  <c r="E28" i="1"/>
  <c r="B29" i="1"/>
  <c r="C29" i="1"/>
  <c r="D29" i="1"/>
  <c r="E29" i="1"/>
  <c r="B30" i="1"/>
  <c r="C30" i="1"/>
  <c r="D30" i="1"/>
  <c r="E30" i="1"/>
  <c r="B31" i="1"/>
  <c r="C31" i="1"/>
  <c r="D31" i="1"/>
  <c r="E31" i="1"/>
  <c r="B32" i="1"/>
  <c r="C32" i="1"/>
  <c r="D32" i="1"/>
  <c r="E32" i="1"/>
  <c r="B33" i="1"/>
  <c r="C33" i="1"/>
  <c r="D33" i="1"/>
  <c r="E33" i="1"/>
  <c r="B34" i="1"/>
  <c r="C34" i="1"/>
  <c r="D34" i="1"/>
  <c r="E34" i="1"/>
  <c r="B35" i="1"/>
  <c r="C35" i="1"/>
  <c r="D35" i="1"/>
  <c r="E35" i="1"/>
  <c r="B36" i="1"/>
  <c r="C36" i="1"/>
  <c r="D36" i="1"/>
  <c r="E36" i="1"/>
  <c r="B37" i="1"/>
  <c r="C37" i="1"/>
  <c r="D37" i="1"/>
  <c r="E37" i="1"/>
  <c r="B38" i="1"/>
  <c r="C38" i="1"/>
  <c r="D38" i="1"/>
  <c r="E38" i="1"/>
  <c r="B39" i="1"/>
  <c r="C39" i="1"/>
  <c r="D39" i="1"/>
  <c r="E39" i="1"/>
  <c r="B40" i="1"/>
  <c r="C40" i="1"/>
  <c r="D40" i="1"/>
  <c r="E40" i="1"/>
  <c r="B41" i="1"/>
  <c r="C41" i="1"/>
  <c r="D41" i="1"/>
  <c r="E41" i="1"/>
  <c r="B42" i="1"/>
  <c r="C42" i="1"/>
  <c r="D42" i="1"/>
  <c r="E42" i="1"/>
  <c r="B43" i="1"/>
  <c r="C43" i="1"/>
  <c r="D43" i="1"/>
  <c r="E43" i="1"/>
  <c r="B44" i="1"/>
  <c r="C44" i="1"/>
  <c r="D44" i="1"/>
  <c r="E44" i="1"/>
  <c r="B45" i="1"/>
  <c r="C45" i="1"/>
  <c r="D45" i="1"/>
  <c r="E45" i="1"/>
  <c r="B46" i="1"/>
  <c r="C46" i="1"/>
  <c r="D46" i="1"/>
  <c r="E46" i="1"/>
  <c r="B47" i="1"/>
  <c r="C47" i="1"/>
  <c r="D47" i="1"/>
  <c r="E47" i="1"/>
  <c r="B48" i="1"/>
  <c r="C48" i="1"/>
  <c r="D48" i="1"/>
  <c r="E48" i="1"/>
  <c r="B49" i="1"/>
  <c r="C49" i="1"/>
  <c r="D49" i="1"/>
  <c r="E49" i="1"/>
  <c r="B50" i="1"/>
  <c r="C50" i="1"/>
  <c r="D50" i="1"/>
  <c r="E50" i="1"/>
  <c r="B51" i="1"/>
  <c r="C51" i="1"/>
  <c r="D51" i="1"/>
  <c r="E51" i="1"/>
  <c r="B52" i="1"/>
  <c r="C52" i="1"/>
  <c r="D52" i="1"/>
  <c r="E52" i="1"/>
  <c r="B53" i="1"/>
  <c r="C53" i="1"/>
  <c r="D53" i="1"/>
  <c r="E53" i="1"/>
  <c r="B54" i="1"/>
  <c r="C54" i="1"/>
  <c r="D54" i="1"/>
  <c r="E54" i="1"/>
  <c r="B55" i="1"/>
  <c r="C55" i="1"/>
  <c r="D55" i="1"/>
  <c r="E55" i="1"/>
  <c r="B56" i="1"/>
  <c r="C56" i="1"/>
  <c r="D56" i="1"/>
  <c r="E56" i="1"/>
  <c r="B57" i="1"/>
  <c r="C57" i="1"/>
  <c r="D57" i="1"/>
  <c r="E57" i="1"/>
  <c r="B58" i="1"/>
  <c r="C58" i="1"/>
  <c r="D58" i="1"/>
  <c r="E58" i="1"/>
  <c r="B59" i="1"/>
  <c r="C59" i="1"/>
  <c r="D59" i="1"/>
  <c r="E59" i="1"/>
  <c r="B60" i="1"/>
  <c r="C60" i="1"/>
  <c r="D60" i="1"/>
  <c r="E60" i="1"/>
  <c r="B61" i="1"/>
  <c r="C61" i="1"/>
  <c r="D61" i="1"/>
  <c r="E61" i="1"/>
  <c r="B62" i="1"/>
  <c r="C62" i="1"/>
  <c r="D62" i="1"/>
  <c r="E62" i="1"/>
  <c r="B63" i="1"/>
  <c r="C63" i="1"/>
  <c r="D63" i="1"/>
  <c r="E63" i="1"/>
  <c r="B64" i="1"/>
  <c r="C64" i="1"/>
  <c r="D64" i="1"/>
  <c r="E64" i="1"/>
  <c r="B65" i="1"/>
  <c r="C65" i="1"/>
  <c r="D65" i="1"/>
  <c r="E65" i="1"/>
  <c r="B66" i="1"/>
  <c r="C66" i="1"/>
  <c r="D66" i="1"/>
  <c r="E66" i="1"/>
  <c r="B67" i="1"/>
  <c r="C67" i="1"/>
  <c r="D67" i="1"/>
  <c r="E67" i="1"/>
  <c r="B68" i="1"/>
  <c r="C68" i="1"/>
  <c r="D68" i="1"/>
  <c r="E68" i="1"/>
  <c r="B69" i="1"/>
  <c r="C69" i="1"/>
  <c r="D69" i="1"/>
  <c r="E69" i="1"/>
  <c r="B70" i="1"/>
  <c r="C70" i="1"/>
  <c r="D70" i="1"/>
  <c r="E70" i="1"/>
  <c r="B71" i="1"/>
  <c r="C71" i="1"/>
  <c r="D71" i="1"/>
  <c r="E71" i="1"/>
  <c r="B72" i="1"/>
  <c r="C72" i="1"/>
  <c r="D72" i="1"/>
  <c r="E72" i="1"/>
  <c r="B73" i="1"/>
  <c r="C73" i="1"/>
  <c r="D73" i="1"/>
  <c r="E73" i="1"/>
  <c r="B74" i="1"/>
  <c r="C74" i="1"/>
  <c r="D74" i="1"/>
  <c r="E74" i="1"/>
  <c r="B75" i="1"/>
  <c r="C75" i="1"/>
  <c r="D75" i="1"/>
  <c r="E75" i="1"/>
  <c r="B76" i="1"/>
  <c r="C76" i="1"/>
  <c r="D76" i="1"/>
  <c r="E76" i="1"/>
  <c r="B77" i="1"/>
  <c r="C77" i="1"/>
  <c r="D77" i="1"/>
  <c r="E77" i="1"/>
  <c r="B78" i="1"/>
  <c r="C78" i="1"/>
  <c r="D78" i="1"/>
  <c r="E78" i="1"/>
  <c r="B79" i="1"/>
  <c r="C79" i="1"/>
  <c r="D79" i="1"/>
  <c r="E79" i="1"/>
  <c r="B80" i="1"/>
  <c r="C80" i="1"/>
  <c r="D80" i="1"/>
  <c r="E80" i="1"/>
  <c r="B81" i="1"/>
  <c r="C81" i="1"/>
  <c r="D81" i="1"/>
  <c r="E81" i="1"/>
  <c r="B82" i="1"/>
  <c r="C82" i="1"/>
  <c r="D82" i="1"/>
  <c r="E82" i="1"/>
  <c r="B83" i="1"/>
  <c r="C83" i="1"/>
  <c r="D83" i="1"/>
  <c r="E83" i="1"/>
  <c r="B84" i="1"/>
  <c r="C84" i="1"/>
  <c r="D84" i="1"/>
  <c r="E84" i="1"/>
  <c r="B85" i="1"/>
  <c r="C85" i="1"/>
  <c r="D85" i="1"/>
  <c r="E85" i="1"/>
  <c r="B86" i="1"/>
  <c r="C86" i="1"/>
  <c r="D86" i="1"/>
  <c r="E86" i="1"/>
  <c r="B87" i="1"/>
  <c r="C87" i="1"/>
  <c r="D87" i="1"/>
  <c r="E87" i="1"/>
  <c r="B88" i="1"/>
  <c r="C88" i="1"/>
  <c r="D88" i="1"/>
  <c r="E88" i="1"/>
  <c r="B89" i="1"/>
  <c r="C89" i="1"/>
  <c r="D89" i="1"/>
  <c r="E89" i="1"/>
  <c r="B90" i="1"/>
  <c r="C90" i="1"/>
  <c r="D90" i="1"/>
  <c r="E90" i="1"/>
  <c r="B91" i="1"/>
  <c r="C91" i="1"/>
  <c r="D91" i="1"/>
  <c r="E91" i="1"/>
  <c r="B92" i="1"/>
  <c r="C92" i="1"/>
  <c r="D92" i="1"/>
  <c r="E92" i="1"/>
  <c r="B93" i="1"/>
  <c r="C93" i="1"/>
  <c r="D93" i="1"/>
  <c r="E93" i="1"/>
  <c r="B94" i="1"/>
  <c r="C94" i="1"/>
  <c r="D94" i="1"/>
  <c r="E94" i="1"/>
  <c r="B95" i="1"/>
  <c r="C95" i="1"/>
  <c r="D95" i="1"/>
  <c r="E95" i="1"/>
  <c r="B96" i="1"/>
  <c r="C96" i="1"/>
  <c r="D96" i="1"/>
  <c r="E96" i="1"/>
  <c r="B97" i="1"/>
  <c r="C97" i="1"/>
  <c r="D97" i="1"/>
  <c r="E97" i="1"/>
  <c r="B98" i="1"/>
  <c r="C98" i="1"/>
  <c r="D98" i="1"/>
  <c r="E98" i="1"/>
  <c r="B99" i="1"/>
  <c r="C99" i="1"/>
  <c r="D99" i="1"/>
  <c r="E99" i="1"/>
  <c r="B100" i="1"/>
  <c r="C100" i="1"/>
  <c r="D100" i="1"/>
  <c r="E100" i="1"/>
  <c r="B101" i="1"/>
  <c r="C101" i="1"/>
  <c r="D101" i="1"/>
  <c r="E101" i="1"/>
  <c r="B102" i="1"/>
  <c r="C102" i="1"/>
  <c r="D102" i="1"/>
  <c r="E102" i="1"/>
  <c r="B103" i="1"/>
  <c r="C103" i="1"/>
  <c r="D103" i="1"/>
  <c r="E103" i="1"/>
  <c r="B104" i="1"/>
  <c r="C104" i="1"/>
  <c r="D104" i="1"/>
  <c r="E104" i="1"/>
  <c r="B105" i="1"/>
  <c r="C105" i="1"/>
  <c r="D105" i="1"/>
  <c r="E105" i="1"/>
  <c r="B106" i="1"/>
  <c r="C106" i="1"/>
  <c r="D106" i="1"/>
  <c r="E106" i="1"/>
  <c r="B107" i="1"/>
  <c r="C107" i="1"/>
  <c r="D107" i="1"/>
  <c r="E107" i="1"/>
  <c r="B108" i="1"/>
  <c r="C108" i="1"/>
  <c r="D108" i="1"/>
  <c r="E108" i="1"/>
  <c r="B109" i="1"/>
  <c r="C109" i="1"/>
  <c r="D109" i="1"/>
  <c r="E109" i="1"/>
  <c r="B110" i="1"/>
  <c r="C110" i="1"/>
  <c r="D110" i="1"/>
  <c r="E110" i="1"/>
  <c r="B111" i="1"/>
  <c r="C111" i="1"/>
  <c r="D111" i="1"/>
  <c r="E111" i="1"/>
  <c r="B112" i="1"/>
  <c r="C112" i="1"/>
  <c r="D112" i="1"/>
  <c r="E112" i="1"/>
  <c r="B113" i="1"/>
  <c r="C113" i="1"/>
  <c r="D113" i="1"/>
  <c r="E113" i="1"/>
  <c r="B114" i="1"/>
  <c r="C114" i="1"/>
  <c r="D114" i="1"/>
  <c r="E114" i="1"/>
  <c r="B115" i="1"/>
  <c r="C115" i="1"/>
  <c r="D115" i="1"/>
  <c r="E115" i="1"/>
  <c r="B116" i="1"/>
  <c r="C116" i="1"/>
  <c r="D116" i="1"/>
  <c r="E116" i="1"/>
  <c r="B117" i="1"/>
  <c r="C117" i="1"/>
  <c r="D117" i="1"/>
  <c r="E117" i="1"/>
  <c r="B118" i="1"/>
  <c r="C118" i="1"/>
  <c r="D118" i="1"/>
  <c r="E118" i="1"/>
  <c r="B119" i="1"/>
  <c r="C119" i="1"/>
  <c r="D119" i="1"/>
  <c r="E119" i="1"/>
  <c r="B120" i="1"/>
  <c r="C120" i="1"/>
  <c r="D120" i="1"/>
  <c r="E120" i="1"/>
  <c r="B121" i="1"/>
  <c r="C121" i="1"/>
  <c r="D121" i="1"/>
  <c r="E121" i="1"/>
  <c r="B122" i="1"/>
  <c r="C122" i="1"/>
  <c r="D122" i="1"/>
  <c r="E122" i="1"/>
  <c r="B123" i="1"/>
  <c r="C123" i="1"/>
  <c r="D123" i="1"/>
  <c r="E123" i="1"/>
  <c r="B124" i="1"/>
  <c r="C124" i="1"/>
  <c r="D124" i="1"/>
  <c r="E124" i="1"/>
  <c r="B125" i="1"/>
  <c r="C125" i="1"/>
  <c r="D125" i="1"/>
  <c r="E125" i="1"/>
  <c r="B126" i="1"/>
  <c r="C126" i="1"/>
  <c r="D126" i="1"/>
  <c r="E126" i="1"/>
  <c r="B127" i="1"/>
  <c r="C127" i="1"/>
  <c r="D127" i="1"/>
  <c r="E127" i="1"/>
  <c r="B128" i="1"/>
  <c r="C128" i="1"/>
  <c r="D128" i="1"/>
  <c r="E128" i="1"/>
  <c r="B129" i="1"/>
  <c r="C129" i="1"/>
  <c r="D129" i="1"/>
  <c r="E129" i="1"/>
  <c r="B130" i="1"/>
  <c r="C130" i="1"/>
  <c r="D130" i="1"/>
  <c r="E130" i="1"/>
  <c r="B131" i="1"/>
  <c r="C131" i="1"/>
  <c r="D131" i="1"/>
  <c r="E131" i="1"/>
  <c r="B132" i="1"/>
  <c r="C132" i="1"/>
  <c r="D132" i="1"/>
  <c r="E132" i="1"/>
  <c r="B133" i="1"/>
  <c r="C133" i="1"/>
  <c r="D133" i="1"/>
  <c r="E133" i="1"/>
  <c r="B134" i="1"/>
  <c r="C134" i="1"/>
  <c r="D134" i="1"/>
  <c r="E134" i="1"/>
  <c r="B135" i="1"/>
  <c r="C135" i="1"/>
  <c r="D135" i="1"/>
  <c r="E135" i="1"/>
  <c r="B136" i="1"/>
  <c r="C136" i="1"/>
  <c r="D136" i="1"/>
  <c r="E136" i="1"/>
  <c r="E2" i="1"/>
  <c r="D2" i="1"/>
  <c r="C2" i="1"/>
  <c r="B2" i="1"/>
  <c r="C138" i="6" l="1"/>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BF18" i="4" s="1"/>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W13" i="4"/>
  <c r="AV13" i="4"/>
  <c r="AU13" i="4"/>
  <c r="AT13" i="4"/>
  <c r="AS13" i="4"/>
  <c r="AR13" i="4"/>
  <c r="AQ13" i="4"/>
  <c r="AP13" i="4"/>
  <c r="BJ13" i="4" s="1"/>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W12" i="4"/>
  <c r="AV12" i="4"/>
  <c r="AU12" i="4"/>
  <c r="AT12" i="4"/>
  <c r="AS12" i="4"/>
  <c r="AR12" i="4"/>
  <c r="AQ12" i="4"/>
  <c r="AP12" i="4"/>
  <c r="BJ12" i="4" s="1"/>
  <c r="AO12" i="4"/>
  <c r="AN12" i="4"/>
  <c r="AM12" i="4"/>
  <c r="AL12" i="4"/>
  <c r="AK12" i="4"/>
  <c r="AJ12" i="4"/>
  <c r="AI12" i="4"/>
  <c r="AH12" i="4"/>
  <c r="AG12" i="4"/>
  <c r="AF12" i="4"/>
  <c r="AE12" i="4"/>
  <c r="AD12" i="4"/>
  <c r="AC12" i="4"/>
  <c r="AB12" i="4"/>
  <c r="AA12" i="4"/>
  <c r="Z12" i="4"/>
  <c r="Y12" i="4"/>
  <c r="X12" i="4"/>
  <c r="W12" i="4"/>
  <c r="V12" i="4"/>
  <c r="U12" i="4"/>
  <c r="T12" i="4"/>
  <c r="S12" i="4"/>
  <c r="R12" i="4"/>
  <c r="BG12" i="4" s="1"/>
  <c r="Q12" i="4"/>
  <c r="P12" i="4"/>
  <c r="O12" i="4"/>
  <c r="N12" i="4"/>
  <c r="M12" i="4"/>
  <c r="L12" i="4"/>
  <c r="K12" i="4"/>
  <c r="J12" i="4"/>
  <c r="I12" i="4"/>
  <c r="H12" i="4"/>
  <c r="G12" i="4"/>
  <c r="F12" i="4"/>
  <c r="E12" i="4"/>
  <c r="D12" i="4"/>
  <c r="C12" i="4"/>
  <c r="B12"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W10" i="4"/>
  <c r="AV10" i="4"/>
  <c r="AU10" i="4"/>
  <c r="AT10" i="4"/>
  <c r="AS10" i="4"/>
  <c r="AR10" i="4"/>
  <c r="AQ10" i="4"/>
  <c r="AP10" i="4"/>
  <c r="BJ10" i="4" s="1"/>
  <c r="AO10" i="4"/>
  <c r="AN10" i="4"/>
  <c r="AM10" i="4"/>
  <c r="AL10" i="4"/>
  <c r="AK10" i="4"/>
  <c r="AJ10" i="4"/>
  <c r="AI10" i="4"/>
  <c r="AH10" i="4"/>
  <c r="AG10" i="4"/>
  <c r="AF10" i="4"/>
  <c r="AE10" i="4"/>
  <c r="AD10" i="4"/>
  <c r="AC10" i="4"/>
  <c r="AB10" i="4"/>
  <c r="AA10" i="4"/>
  <c r="Z10" i="4"/>
  <c r="Y10" i="4"/>
  <c r="X10" i="4"/>
  <c r="W10" i="4"/>
  <c r="V10" i="4"/>
  <c r="U10" i="4"/>
  <c r="T10" i="4"/>
  <c r="S10" i="4"/>
  <c r="R10" i="4"/>
  <c r="BG10" i="4" s="1"/>
  <c r="Q10" i="4"/>
  <c r="P10" i="4"/>
  <c r="O10" i="4"/>
  <c r="N10" i="4"/>
  <c r="M10" i="4"/>
  <c r="L10" i="4"/>
  <c r="K10" i="4"/>
  <c r="J10" i="4"/>
  <c r="I10" i="4"/>
  <c r="H10" i="4"/>
  <c r="G10" i="4"/>
  <c r="F10" i="4"/>
  <c r="E10" i="4"/>
  <c r="D10" i="4"/>
  <c r="C10" i="4"/>
  <c r="B10"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W4" i="4"/>
  <c r="AV4" i="4"/>
  <c r="AU4" i="4"/>
  <c r="AU23" i="4" s="1"/>
  <c r="AT4" i="4"/>
  <c r="AT23" i="4" s="1"/>
  <c r="AS4" i="4"/>
  <c r="AS23" i="4" s="1"/>
  <c r="AR4" i="4"/>
  <c r="AQ4" i="4"/>
  <c r="AP4" i="4"/>
  <c r="AP23" i="4" s="1"/>
  <c r="AO4" i="4"/>
  <c r="AN4" i="4"/>
  <c r="AN23" i="4" s="1"/>
  <c r="AM4" i="4"/>
  <c r="AL4" i="4"/>
  <c r="AL23" i="4" s="1"/>
  <c r="AK4" i="4"/>
  <c r="AJ4" i="4"/>
  <c r="AJ23" i="4" s="1"/>
  <c r="AI4" i="4"/>
  <c r="AH4" i="4"/>
  <c r="AH23" i="4" s="1"/>
  <c r="AG4" i="4"/>
  <c r="AG23" i="4" s="1"/>
  <c r="AF4" i="4"/>
  <c r="AF23" i="4" s="1"/>
  <c r="AE4" i="4"/>
  <c r="AD4" i="4"/>
  <c r="AD23" i="4" s="1"/>
  <c r="AC4" i="4"/>
  <c r="AB4" i="4"/>
  <c r="AB23" i="4" s="1"/>
  <c r="AA4" i="4"/>
  <c r="Z4" i="4"/>
  <c r="Z23" i="4" s="1"/>
  <c r="Y4" i="4"/>
  <c r="X4" i="4"/>
  <c r="X23" i="4" s="1"/>
  <c r="W4" i="4"/>
  <c r="V4" i="4"/>
  <c r="V23" i="4" s="1"/>
  <c r="U4" i="4"/>
  <c r="U23" i="4" s="1"/>
  <c r="T4" i="4"/>
  <c r="T23" i="4" s="1"/>
  <c r="S4" i="4"/>
  <c r="R4" i="4"/>
  <c r="R23" i="4" s="1"/>
  <c r="Q4" i="4"/>
  <c r="P4" i="4"/>
  <c r="P23" i="4" s="1"/>
  <c r="O4" i="4"/>
  <c r="N4" i="4"/>
  <c r="N23" i="4" s="1"/>
  <c r="M4" i="4"/>
  <c r="L4" i="4"/>
  <c r="L23" i="4" s="1"/>
  <c r="K4" i="4"/>
  <c r="J4" i="4"/>
  <c r="J23" i="4" s="1"/>
  <c r="I4" i="4"/>
  <c r="I23" i="4" s="1"/>
  <c r="H4" i="4"/>
  <c r="H23" i="4" s="1"/>
  <c r="G4" i="4"/>
  <c r="F4" i="4"/>
  <c r="F23" i="4" s="1"/>
  <c r="E4" i="4"/>
  <c r="D4" i="4"/>
  <c r="D23" i="4" s="1"/>
  <c r="C4" i="4"/>
  <c r="B4" i="4"/>
  <c r="C13" i="3"/>
  <c r="C12" i="3"/>
  <c r="C11" i="3"/>
  <c r="C10" i="3"/>
  <c r="C9" i="3"/>
  <c r="C8" i="3"/>
  <c r="C7" i="3"/>
  <c r="C6" i="3"/>
  <c r="C5" i="3"/>
  <c r="C4" i="3"/>
  <c r="C3" i="3"/>
  <c r="C2" i="3"/>
  <c r="BC16" i="4" l="1"/>
  <c r="BI13" i="4"/>
  <c r="BA14" i="4"/>
  <c r="BA15" i="4"/>
  <c r="BA16" i="4"/>
  <c r="AZ17" i="4"/>
  <c r="AZ19" i="4"/>
  <c r="AZ21" i="4"/>
  <c r="BI11" i="4"/>
  <c r="BH12" i="4"/>
  <c r="BH16" i="4"/>
  <c r="BH5" i="4"/>
  <c r="BH19" i="4"/>
  <c r="BB6" i="4"/>
  <c r="BB7" i="4"/>
  <c r="BB8" i="4"/>
  <c r="BB9" i="4"/>
  <c r="BB10" i="4"/>
  <c r="BH11" i="4"/>
  <c r="BB12" i="4"/>
  <c r="BB13" i="4"/>
  <c r="BB14" i="4"/>
  <c r="BB15" i="4"/>
  <c r="BB16" i="4"/>
  <c r="BB19" i="4"/>
  <c r="BB20" i="4"/>
  <c r="BB21" i="4"/>
  <c r="BG5" i="4"/>
  <c r="BC5" i="4"/>
  <c r="BC6" i="4"/>
  <c r="BC7" i="4"/>
  <c r="BC9" i="4"/>
  <c r="BC10" i="4"/>
  <c r="BC11" i="4"/>
  <c r="BH7" i="4"/>
  <c r="BC8" i="4"/>
  <c r="BH6" i="4"/>
  <c r="BH8" i="4"/>
  <c r="BF9" i="4"/>
  <c r="BF11" i="4"/>
  <c r="BA12" i="4"/>
  <c r="BE12" i="4"/>
  <c r="BE14" i="4"/>
  <c r="BE16" i="4"/>
  <c r="BD17" i="4"/>
  <c r="BD18" i="4"/>
  <c r="BD19" i="4"/>
  <c r="BD20" i="4"/>
  <c r="BD21" i="4"/>
  <c r="BD22" i="4"/>
  <c r="AO23" i="4"/>
  <c r="BH10" i="4"/>
  <c r="BF13" i="4"/>
  <c r="BF15" i="4"/>
  <c r="BF16" i="4"/>
  <c r="BA18" i="4"/>
  <c r="BE18" i="4"/>
  <c r="BA19" i="4"/>
  <c r="BE19" i="4"/>
  <c r="BI20" i="4"/>
  <c r="BE20" i="4"/>
  <c r="BI21" i="4"/>
  <c r="BE21" i="4"/>
  <c r="BE22" i="4"/>
  <c r="BH14" i="4"/>
  <c r="BF17" i="4"/>
  <c r="BF19" i="4"/>
  <c r="BF20" i="4"/>
  <c r="BF21" i="4"/>
  <c r="BF22" i="4"/>
  <c r="BH22" i="4"/>
  <c r="BG6" i="4"/>
  <c r="BJ6" i="4"/>
  <c r="BH9" i="4"/>
  <c r="BH20" i="4"/>
  <c r="AY7" i="4"/>
  <c r="BH13" i="4"/>
  <c r="BH15" i="4"/>
  <c r="AZ5" i="4"/>
  <c r="AZ6" i="4"/>
  <c r="AZ7" i="4"/>
  <c r="AZ8" i="4"/>
  <c r="AY9" i="4"/>
  <c r="AY11" i="4"/>
  <c r="BG13" i="4"/>
  <c r="BM13" i="4" s="1"/>
  <c r="BG14" i="4"/>
  <c r="BJ14" i="4"/>
  <c r="BJ15" i="4"/>
  <c r="BH17" i="4"/>
  <c r="AZ9" i="4"/>
  <c r="AZ10" i="4"/>
  <c r="AZ11" i="4"/>
  <c r="BC12" i="4"/>
  <c r="BC13" i="4"/>
  <c r="AY13" i="4"/>
  <c r="BC14" i="4"/>
  <c r="BC15" i="4"/>
  <c r="AY15" i="4"/>
  <c r="BB17" i="4"/>
  <c r="BJ17" i="4"/>
  <c r="BG18" i="4"/>
  <c r="BB18" i="4"/>
  <c r="BJ18" i="4"/>
  <c r="BG19" i="4"/>
  <c r="BJ19" i="4"/>
  <c r="BG20" i="4"/>
  <c r="BJ20" i="4"/>
  <c r="BG21" i="4"/>
  <c r="BM21" i="4" s="1"/>
  <c r="BJ21" i="4"/>
  <c r="BG22" i="4"/>
  <c r="BJ22" i="4"/>
  <c r="BK8" i="4"/>
  <c r="BA11" i="4"/>
  <c r="AZ12" i="4"/>
  <c r="AZ13" i="4"/>
  <c r="AZ14" i="4"/>
  <c r="AZ16" i="4"/>
  <c r="BC17" i="4"/>
  <c r="AY17" i="4"/>
  <c r="BC18" i="4"/>
  <c r="AY18" i="4"/>
  <c r="BC19" i="4"/>
  <c r="AY19" i="4"/>
  <c r="BC20" i="4"/>
  <c r="AY20" i="4"/>
  <c r="BH21" i="4"/>
  <c r="AY21" i="4"/>
  <c r="AY22" i="4"/>
  <c r="BI5" i="4"/>
  <c r="BK6" i="4"/>
  <c r="BI6" i="4"/>
  <c r="BK10" i="4"/>
  <c r="BK11" i="4"/>
  <c r="BA13" i="4"/>
  <c r="AZ18" i="4"/>
  <c r="AZ20" i="4"/>
  <c r="AZ22" i="4"/>
  <c r="BD6" i="4"/>
  <c r="BD7" i="4"/>
  <c r="BD8" i="4"/>
  <c r="BK12" i="4"/>
  <c r="BK14" i="4"/>
  <c r="BK16" i="4"/>
  <c r="BA20" i="4"/>
  <c r="BA21" i="4"/>
  <c r="BA22" i="4"/>
  <c r="BA6" i="4"/>
  <c r="BE6" i="4"/>
  <c r="BA7" i="4"/>
  <c r="BA8" i="4"/>
  <c r="BE8" i="4"/>
  <c r="BD9" i="4"/>
  <c r="BD10" i="4"/>
  <c r="BD11" i="4"/>
  <c r="BK18" i="4"/>
  <c r="BL18" i="4" s="1"/>
  <c r="BK19" i="4"/>
  <c r="BK20" i="4"/>
  <c r="BK21" i="4"/>
  <c r="BK22" i="4"/>
  <c r="BI22" i="4"/>
  <c r="BB22" i="4"/>
  <c r="BI4" i="4"/>
  <c r="C23" i="4"/>
  <c r="O23" i="4"/>
  <c r="AA23" i="4"/>
  <c r="AM23" i="4"/>
  <c r="BB5" i="4"/>
  <c r="BF7" i="4"/>
  <c r="BF8" i="4"/>
  <c r="BA9" i="4"/>
  <c r="BA10" i="4"/>
  <c r="BE10" i="4"/>
  <c r="BD12" i="4"/>
  <c r="BD13" i="4"/>
  <c r="BD14" i="4"/>
  <c r="AZ15" i="4"/>
  <c r="BD15" i="4"/>
  <c r="BD16" i="4"/>
  <c r="BC22" i="4"/>
  <c r="AY6" i="4"/>
  <c r="BI9" i="4"/>
  <c r="AY14" i="4"/>
  <c r="AZ4" i="4"/>
  <c r="AZ23" i="4" s="1"/>
  <c r="AI23" i="4"/>
  <c r="BD5" i="4"/>
  <c r="BJ7" i="4"/>
  <c r="BF10" i="4"/>
  <c r="BG15" i="4"/>
  <c r="BE9" i="4"/>
  <c r="K23" i="4"/>
  <c r="BK4" i="4"/>
  <c r="BD4" i="4"/>
  <c r="AV23" i="4"/>
  <c r="BA5" i="4"/>
  <c r="BE5" i="4"/>
  <c r="BG7" i="4"/>
  <c r="BG8" i="4"/>
  <c r="BJ8" i="4"/>
  <c r="BE11" i="4"/>
  <c r="BK13" i="4"/>
  <c r="BG16" i="4"/>
  <c r="BJ16" i="4"/>
  <c r="BJ4" i="4"/>
  <c r="BK5" i="4"/>
  <c r="BA17" i="4"/>
  <c r="BI17" i="4"/>
  <c r="BE17" i="4"/>
  <c r="AY8" i="4"/>
  <c r="AY16" i="4"/>
  <c r="BG4" i="4"/>
  <c r="AK23" i="4"/>
  <c r="BF4" i="4"/>
  <c r="B23" i="4"/>
  <c r="AX4" i="4"/>
  <c r="BG9" i="4"/>
  <c r="BJ9" i="4"/>
  <c r="BF12" i="4"/>
  <c r="BG17" i="4"/>
  <c r="W23" i="4"/>
  <c r="M23" i="4"/>
  <c r="BE4" i="4"/>
  <c r="AW23" i="4"/>
  <c r="BF5" i="4"/>
  <c r="BA4" i="4"/>
  <c r="BK7" i="4"/>
  <c r="BE13" i="4"/>
  <c r="BK15" i="4"/>
  <c r="AY10" i="4"/>
  <c r="Y23" i="4"/>
  <c r="BB4" i="4"/>
  <c r="E23" i="4"/>
  <c r="Q23" i="4"/>
  <c r="AC23" i="4"/>
  <c r="BC4" i="4"/>
  <c r="BJ5" i="4"/>
  <c r="BF6" i="4"/>
  <c r="BG11" i="4"/>
  <c r="BJ11" i="4"/>
  <c r="BF14" i="4"/>
  <c r="AY5" i="4"/>
  <c r="BE7" i="4"/>
  <c r="BK9" i="4"/>
  <c r="BE15" i="4"/>
  <c r="BK17" i="4"/>
  <c r="G23" i="4"/>
  <c r="S23" i="4"/>
  <c r="AE23" i="4"/>
  <c r="AY4" i="4"/>
  <c r="AQ23" i="4"/>
  <c r="BH4" i="4"/>
  <c r="BI7" i="4"/>
  <c r="AY12" i="4"/>
  <c r="BI15" i="4"/>
  <c r="BB11" i="4"/>
  <c r="BH18" i="4"/>
  <c r="BI8" i="4"/>
  <c r="BI10" i="4"/>
  <c r="BM10" i="4" s="1"/>
  <c r="BI12" i="4"/>
  <c r="BM12" i="4" s="1"/>
  <c r="BI14" i="4"/>
  <c r="BI16" i="4"/>
  <c r="BI18" i="4"/>
  <c r="BC21" i="4"/>
  <c r="AX6" i="4"/>
  <c r="AX8" i="4"/>
  <c r="AX10" i="4"/>
  <c r="AX12" i="4"/>
  <c r="AX14" i="4"/>
  <c r="AX16" i="4"/>
  <c r="AX18" i="4"/>
  <c r="AX20" i="4"/>
  <c r="AX22" i="4"/>
  <c r="AR23" i="4"/>
  <c r="BI19" i="4"/>
  <c r="BM19" i="4" s="1"/>
  <c r="AX5" i="4"/>
  <c r="AX7" i="4"/>
  <c r="AX9" i="4"/>
  <c r="AX11" i="4"/>
  <c r="AX13" i="4"/>
  <c r="AX15" i="4"/>
  <c r="AX17" i="4"/>
  <c r="AX19" i="4"/>
  <c r="AX21" i="4"/>
  <c r="BL17" i="4" l="1"/>
  <c r="BL12" i="4"/>
  <c r="BO12" i="4" s="1"/>
  <c r="BL15" i="4"/>
  <c r="BL14" i="4"/>
  <c r="BM5" i="4"/>
  <c r="BN5" i="4" s="1"/>
  <c r="BN12" i="4"/>
  <c r="BM20" i="4"/>
  <c r="BN20" i="4" s="1"/>
  <c r="BM22" i="4"/>
  <c r="BN22" i="4" s="1"/>
  <c r="BL13" i="4"/>
  <c r="BO13" i="4" s="1"/>
  <c r="BL9" i="4"/>
  <c r="BL11" i="4"/>
  <c r="BN21" i="4"/>
  <c r="BL7" i="4"/>
  <c r="BL6" i="4"/>
  <c r="BL5" i="4"/>
  <c r="BL20" i="4"/>
  <c r="BL10" i="4"/>
  <c r="BO10" i="4" s="1"/>
  <c r="BM14" i="4"/>
  <c r="BN14" i="4" s="1"/>
  <c r="BL16" i="4"/>
  <c r="BN10" i="4"/>
  <c r="BM18" i="4"/>
  <c r="BN18" i="4" s="1"/>
  <c r="BI23" i="4"/>
  <c r="BC23" i="4"/>
  <c r="BL22" i="4"/>
  <c r="BL21" i="4"/>
  <c r="BO21" i="4" s="1"/>
  <c r="BH23" i="4"/>
  <c r="BL19" i="4"/>
  <c r="BO19" i="4" s="1"/>
  <c r="BM7" i="4"/>
  <c r="BN7" i="4" s="1"/>
  <c r="BA23" i="4"/>
  <c r="BL8" i="4"/>
  <c r="BN13" i="4"/>
  <c r="BM6" i="4"/>
  <c r="BN6" i="4" s="1"/>
  <c r="BN19" i="4"/>
  <c r="BE23" i="4"/>
  <c r="AX23" i="4"/>
  <c r="BJ23" i="4"/>
  <c r="BM9" i="4"/>
  <c r="BN9" i="4" s="1"/>
  <c r="BB23" i="4"/>
  <c r="BD23" i="4"/>
  <c r="BF23" i="4"/>
  <c r="BL4" i="4"/>
  <c r="BG23" i="4"/>
  <c r="BM4" i="4"/>
  <c r="BM16" i="4"/>
  <c r="BK23" i="4"/>
  <c r="AY23" i="4"/>
  <c r="BM11" i="4"/>
  <c r="BN11" i="4" s="1"/>
  <c r="BM15" i="4"/>
  <c r="BN15" i="4" s="1"/>
  <c r="BM17" i="4"/>
  <c r="BN17" i="4" s="1"/>
  <c r="BM8" i="4"/>
  <c r="BO18" i="4" l="1"/>
  <c r="BO5" i="4"/>
  <c r="BO22" i="4"/>
  <c r="BO15" i="4"/>
  <c r="BO7" i="4"/>
  <c r="BO20" i="4"/>
  <c r="BO9" i="4"/>
  <c r="BO11" i="4"/>
  <c r="BO14" i="4"/>
  <c r="BO6" i="4"/>
  <c r="BO17" i="4"/>
  <c r="BN16" i="4"/>
  <c r="BO16" i="4"/>
  <c r="BM23" i="4"/>
  <c r="BN4" i="4"/>
  <c r="BN8" i="4"/>
  <c r="BO8" i="4"/>
  <c r="BL23" i="4"/>
  <c r="BO4" i="4"/>
  <c r="BO23" i="4" l="1"/>
  <c r="BN23" i="4"/>
</calcChain>
</file>

<file path=xl/sharedStrings.xml><?xml version="1.0" encoding="utf-8"?>
<sst xmlns="http://schemas.openxmlformats.org/spreadsheetml/2006/main" count="5752" uniqueCount="2629">
  <si>
    <t>STT</t>
  </si>
  <si>
    <t>MSSV</t>
  </si>
  <si>
    <t>BCTT</t>
  </si>
  <si>
    <t>Hội đồng</t>
  </si>
  <si>
    <t>K224141715</t>
  </si>
  <si>
    <t>Phạm Thụy Phương Dung</t>
  </si>
  <si>
    <t>K22414C</t>
  </si>
  <si>
    <t>Tiếng Anh</t>
  </si>
  <si>
    <t>PGS. TS Lê Đức Quang Tú</t>
  </si>
  <si>
    <t>TS Nguyễn Thanh Liêm</t>
  </si>
  <si>
    <t>TS Nguyễn Trung Hiếu</t>
  </si>
  <si>
    <t>ThS Ngô Phú Thanh</t>
  </si>
  <si>
    <t>K224141738</t>
  </si>
  <si>
    <t>Vũ Ngọc Thuỷ Tiên</t>
  </si>
  <si>
    <t>Tiếng Việt</t>
  </si>
  <si>
    <t>K224141652</t>
  </si>
  <si>
    <t>Lê Phúc Chí</t>
  </si>
  <si>
    <t>K22414</t>
  </si>
  <si>
    <t>ỨNG DỤNG MÔ HÌNH HỌC SÂU VÀ HỆ THỐNG TRUY XUẤT THÔNG TIN ĐA CHỈ MỤC TRONG TƯ VẤN ĐẦU TƯ</t>
  </si>
  <si>
    <t>PGS. TS Nguyễn Anh Phong</t>
  </si>
  <si>
    <t>K224141654</t>
  </si>
  <si>
    <t>Đào Mỹ Duyên</t>
  </si>
  <si>
    <t>XÂY DỰNG KHUNG THEO DÕI TRẠNG THÁI TÀI CHÍNH CỦA CÁC DOANH NGHIỆP PHI TÀI CHÍNH NIÊM YẾT TRÊN SỞ GIAO DỊCH CHỨNG KHOÁN THÀNH PHỐ HỒ CHÍ MINH TRONG GIAI ĐOẠN 2020-2024</t>
  </si>
  <si>
    <t>K224141658</t>
  </si>
  <si>
    <t>Đào Ngọc Hà</t>
  </si>
  <si>
    <t>ỨNG DỤNG HỌC MÁY TRONG DỰ BÁO RỦI RO QUẢN TRỊ LỢI NHUẬN VÀ TÁC ĐỘNG ĐẾN TỶ SUẤT SINH LỜI CỔ PHIẾU: BẰNG CHỨNG THỰC NGHIỆM TẠI VIỆT NAM</t>
  </si>
  <si>
    <t>K224040570</t>
  </si>
  <si>
    <t>Nguyễn Yến Linh</t>
  </si>
  <si>
    <t>K22404C</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</si>
  <si>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</si>
  <si>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</si>
  <si>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</si>
  <si>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</si>
  <si>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</si>
  <si>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</si>
  <si>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</si>
  <si>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</si>
  <si>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</si>
  <si>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K224141667</t>
  </si>
  <si>
    <t>Lê Thị Hương</t>
  </si>
  <si>
    <t>K224141714</t>
  </si>
  <si>
    <t>Lê Danh Bách</t>
  </si>
  <si>
    <t>PGS. TS Phạm Thị Thanh Xuân</t>
  </si>
  <si>
    <t>K224141730</t>
  </si>
  <si>
    <t>Đoàn Tuấn Nghĩa</t>
  </si>
  <si>
    <t>K224141733</t>
  </si>
  <si>
    <t>Bùi Đặng Quỳnh Như</t>
  </si>
  <si>
    <t>K224141711</t>
  </si>
  <si>
    <t>Lê Phú An</t>
  </si>
  <si>
    <t>ỨNG DỤNG SURROGATE ML/DL DỰ BÁO EVE VÀ EAR TRONG QUẢN LÝ IRRBB</t>
  </si>
  <si>
    <t>TS Nguyễn Thôn Dã</t>
  </si>
  <si>
    <t>K224141655</t>
  </si>
  <si>
    <t>Lê Thị Mỹ Duyên</t>
  </si>
  <si>
    <t>TS Võ Thị Ngọc Trinh</t>
  </si>
  <si>
    <t>K224141668</t>
  </si>
  <si>
    <t>Phan Vũ Đình Khang</t>
  </si>
  <si>
    <t>K224141703</t>
  </si>
  <si>
    <t>Thông Thị Quế Trân</t>
  </si>
  <si>
    <t>DỰ BÁO TỶ SUẤT SINH LỜI VỐN CHỦ SỞ HỮU CỦA NGÀNH BẤT ĐỘNG SẢN BẰNG MACHINE LEARNING</t>
  </si>
  <si>
    <t>K224141649</t>
  </si>
  <si>
    <t>Trần Lê Quang An</t>
  </si>
  <si>
    <t>K224141657</t>
  </si>
  <si>
    <t>Bùi Thị Ngọc Hà</t>
  </si>
  <si>
    <t>K224141717</t>
  </si>
  <si>
    <t>Trần Đức Duy</t>
  </si>
  <si>
    <t>MỨC ĐỘ TÁC ĐỘNG CỦA FINTECH ĐẾN HIỆU QUẢ HOẠT ĐỘNG CỦA NGÂN HÀNG THƯƠNG MẠI NIÊM YẾT TẠI VIỆT NAM TRONG GIAI ĐOẠN 2014 - 2024</t>
  </si>
  <si>
    <t>ThS Phạm Chí Khoa</t>
  </si>
  <si>
    <t>K224141741</t>
  </si>
  <si>
    <t>Nguyễn Ngọc Thảo Trâm</t>
  </si>
  <si>
    <t>APPLICATION OF MACHINE LEARNING IN BREAKOUT SIGNAL IDENTIFICATION IN THE VIETNAMESE STOCK MARKET</t>
  </si>
  <si>
    <t>K214142085</t>
  </si>
  <si>
    <t>Phan Minh Thức</t>
  </si>
  <si>
    <t>K21414</t>
  </si>
  <si>
    <t>BUILDING A MULTI-LEVEL FINANCIAL RISK RANKING AND EARLY WARNING SYSTEM FOR VIETNAMESE LISTED COMPANIES: APPLYING MACHINE LEARNING AND DEPLOYING A WEB DASHBOARD TO SUPPORT DIGITAL TRANSFORMATION</t>
  </si>
  <si>
    <t>ThS Phan Huy Tâm</t>
  </si>
  <si>
    <t>K224141650</t>
  </si>
  <si>
    <t>Lưu Quỳnh Anh</t>
  </si>
  <si>
    <t>K224141651</t>
  </si>
  <si>
    <t>Nguyễn Ngọc Bảo Châu</t>
  </si>
  <si>
    <t>INTEGRATING CONDITIONAL VALUE AT RISK INTO HIERARCHICAL RISK PARITY: EVIDENCE FROM THE VIETNAMESE MULTI-ASSET MARKET</t>
  </si>
  <si>
    <t>K224141653</t>
  </si>
  <si>
    <t>Trần Nguyên Diễm</t>
  </si>
  <si>
    <t>K224141656</t>
  </si>
  <si>
    <t>Ngô Lam Giang</t>
  </si>
  <si>
    <t>K224141690</t>
  </si>
  <si>
    <t>Bùi Bạch Đoan Tâm</t>
  </si>
  <si>
    <t>TÁC ĐỘNG CỦA CÁC YẾU TỐ VĨ MÔ ĐẾN TỶ GIÁ TRONG GIAI ĐOẠN 2014-2023 : ỨNG DỤNG VECM VÀ MACHINE LEARNING DỰ TRONG DỰ BÁO</t>
  </si>
  <si>
    <t>K224141709</t>
  </si>
  <si>
    <t>Hồ Nguyễn Nhật Vy</t>
  </si>
  <si>
    <t>K224141724</t>
  </si>
  <si>
    <t>Lê Thị Hường</t>
  </si>
  <si>
    <t>K224141725</t>
  </si>
  <si>
    <t>Phạm Hữu Khương</t>
  </si>
  <si>
    <t>APPLYING THE DEEP LEARNING MODEL (LSTM, GRU) IN BITCOIN'S VOLATILITY FORECASTING AND RISK MEASUREMENT (VAR)</t>
  </si>
  <si>
    <t>K224141727</t>
  </si>
  <si>
    <t>TÁC ĐỘNG CỦA CẢM XÚC TIN TỨC ĐẾN KHẢ NĂNG DỰ BÁO BIẾN ĐỘNG LỢI SUẤT CỔ PHIẾU: BẰNG CHỨNG THỰC NGHIỆM TỪ CÁC CỔ PHIẾU THUỘC NGÀNH BẤT ĐỘNG SẢN</t>
  </si>
  <si>
    <t>K224141713</t>
  </si>
  <si>
    <t>Nguyễn Thương Kỳ Anh</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</si>
  <si>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</si>
  <si>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</si>
  <si>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</si>
  <si>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</si>
  <si>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</si>
  <si>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</si>
  <si>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</si>
  <si>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</si>
  <si>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</si>
  <si>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</si>
  <si>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</si>
  <si>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</si>
  <si>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</si>
  <si>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</si>
  <si>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CONSTRUCTING AN OPTIMAL VN30 PORTFOLIO USING THE SINGLE INDEX MODEL</t>
  </si>
  <si>
    <t>K224141744</t>
  </si>
  <si>
    <t>Lâm Thanh Vi</t>
  </si>
  <si>
    <t>MACHINE LEARNING APPROACHES TO MORTGAGE DEFAULT PREDICTION: AN EMPIRICAL STUDY</t>
  </si>
  <si>
    <t>K224141710</t>
  </si>
  <si>
    <t>Lê Hoàng Phi Yến</t>
  </si>
  <si>
    <t>K224141716</t>
  </si>
  <si>
    <t>Nguyễn Quang Duy</t>
  </si>
  <si>
    <t>K224141673</t>
  </si>
  <si>
    <t>Phạm Gia Linh</t>
  </si>
  <si>
    <t>DỰ BÁO TÌNH TRẠNG KIỆT QUỆ TÀI CHÍNH CỦA CÁC DOANH NGHIỆP SẢN XUẤT VIỆT NAM</t>
  </si>
  <si>
    <t>K224141677</t>
  </si>
  <si>
    <t>Nguyễn Bùi Kim Ngân</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</si>
  <si>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</si>
  <si>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</si>
  <si>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</si>
  <si>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</si>
  <si>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</si>
  <si>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</si>
  <si>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</si>
  <si>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</si>
  <si>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</si>
  <si>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</si>
  <si>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</si>
  <si>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</si>
  <si>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</si>
  <si>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</si>
  <si>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K224141687</t>
  </si>
  <si>
    <t>Hứa Nguyễn Như Quỳnh</t>
  </si>
  <si>
    <t>K224141688</t>
  </si>
  <si>
    <t>Mai Như Quỳnh</t>
  </si>
  <si>
    <t>K224141737</t>
  </si>
  <si>
    <t>Lê Vũ Minh Thông</t>
  </si>
  <si>
    <t>ỨNG DỤNG MÁY HỌC TRONG CHẤM ĐIỂM RỦI RO QUÁ HẠN KHOẢN VAY TẠI BIDV - CHI NHÁNH THỦ DẦU MỘT</t>
  </si>
  <si>
    <t>K224141743</t>
  </si>
  <si>
    <t>Lê Việt Tố Uyên</t>
  </si>
  <si>
    <t>ỨNG DỤNG MACHINE LEARNING TRONG DỰ BÁO ROA CỦA CÁC DOANH NGHIỆP PHI TÀI CHÍNH NIÊM YẾT TẠI VIỆT NAM GIAI ĐOẠN 2018–2024</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</si>
  <si>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</si>
  <si>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</si>
  <si>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</si>
  <si>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</si>
  <si>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</si>
  <si>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</si>
  <si>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</si>
  <si>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</si>
  <si>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</si>
  <si>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</si>
  <si>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</si>
  <si>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</si>
  <si>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</si>
  <si>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</si>
  <si>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</si>
  <si>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</si>
  <si>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K224141729</t>
  </si>
  <si>
    <t>Trần Phương Nghi</t>
  </si>
  <si>
    <t>K224141740</t>
  </si>
  <si>
    <t>Phạm Hoàng Ngọc Trang</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</si>
  <si>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</si>
  <si>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</si>
  <si>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</si>
  <si>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</si>
  <si>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</si>
  <si>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</si>
  <si>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</si>
  <si>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</si>
  <si>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</si>
  <si>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</si>
  <si>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</si>
  <si>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</si>
  <si>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</si>
  <si>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</si>
  <si>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</si>
  <si>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</si>
  <si>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</si>
  <si>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</si>
  <si>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</si>
  <si>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</si>
  <si>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</si>
  <si>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</si>
  <si>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</si>
  <si>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K224141665</t>
  </si>
  <si>
    <t>Phan Thị Thu Huyền</t>
  </si>
  <si>
    <t>K224141671</t>
  </si>
  <si>
    <t>Bùi Ngọc Thiên Kim</t>
  </si>
  <si>
    <t>XÂY DỰNG BẢNG ĐIỀU KHIỂN DANH MỤC ĐẦU TƯ TỐI ƯU THEO KHẨU VỊ RỦI RO"</t>
  </si>
  <si>
    <t>K224141674</t>
  </si>
  <si>
    <t>Nguyễn Đồng Mạnh</t>
  </si>
  <si>
    <t>ỨNG DỤNG DỮ LIỆU GIAO DỊCH CỦA KHỐI NGOẠI TRONG DỰ BÁO XU HƯỚNG BIẾN ĐỘNG GIÁ CỔ PHIẾU TẠI THỊ TRƯỜNG CHỨNG KHOÁN VIỆT NAM</t>
  </si>
  <si>
    <t>K224141676</t>
  </si>
  <si>
    <t>Nguyễn Ngọc Kim Nga</t>
  </si>
  <si>
    <t>K224141723</t>
  </si>
  <si>
    <t>Nguyễn Thị Ngọc Huyền</t>
  </si>
  <si>
    <t>K224141660</t>
  </si>
  <si>
    <t>Trần Bích Hà</t>
  </si>
  <si>
    <t>PHÂN TÍCH CẢM XÚC NGƯỜI DÙNG TỪ ĐÁNH GIÁ TRÊN ỨNG DỤNG NGÂN HÀNG SỐ VÀ MỐI LIÊN HỆ VỚI BIẾN ĐỘNG GIÁ CỔ PHIẾU NGÂN HÀNG TẠI VIỆT NAM</t>
  </si>
  <si>
    <t>K224141662</t>
  </si>
  <si>
    <t>Nguyễn Lâm Xuân Hân</t>
  </si>
  <si>
    <t>PHÁT HIỆN SỰ CHUYỂN PHA TRẠNG THÁI THỊ TRƯỜNG CHỨNG KHOÁN VIỆT NAM BẰNG HỌC MÁY KHÔNG GIÁM SÁT VÀ MÔ HÌNH TRẠNG THÁI ẨN HIDDEN MARKOV MODEL</t>
  </si>
  <si>
    <t>K224141666</t>
  </si>
  <si>
    <t>Trần Thị Thu Huỳnh</t>
  </si>
  <si>
    <t>K224141669</t>
  </si>
  <si>
    <t>Bùi Trung Kiên</t>
  </si>
  <si>
    <t>K224141670</t>
  </si>
  <si>
    <t>Nguyễn Hữu Kiên</t>
  </si>
  <si>
    <t>K224141718</t>
  </si>
  <si>
    <t>Huỳnh Thị Mỹ Duyên</t>
  </si>
  <si>
    <t>K224141739</t>
  </si>
  <si>
    <t>Dương Ngọc Trang</t>
  </si>
  <si>
    <t>K224141745</t>
  </si>
  <si>
    <t>Châu Hải Vy</t>
  </si>
  <si>
    <t>K224141728</t>
  </si>
  <si>
    <t>Nguyễn Nhật Nam</t>
  </si>
  <si>
    <t>DỰ BÁO BIẾN ĐỘNG CÁC MÃ CỔ PHIẾU CỦA THỊ TRƯỜNG VIỆT NAM BẰNG MÔ HÌNH GARCH TĂNG CƯỜNG HỌC SÂU LSTM VỚI THÔNG TIN THỊ TRƯỜNG VÀ SENTIMENT TIN TỨC</t>
  </si>
  <si>
    <t>K224141731</t>
  </si>
  <si>
    <t>Nguyễn Trọng Nghĩa</t>
  </si>
  <si>
    <t>XÂY DỰNG MÔ HÌNH DỰ BÁO GIÁ ĐÓNG CỬA NGẮN HẠN CHO CÁC MÃ CỔ PHIẾU THUỘC VN30 BẰNG DEEP LEARNING VÀ ỨNG DỤNG TRONG HỆ THỐNG HỖ TRỢ GIAO DỊCH FINTECH</t>
  </si>
  <si>
    <t>K224141732</t>
  </si>
  <si>
    <t>Cao Hoàng Nhã</t>
  </si>
  <si>
    <t>DỰ BÁO BIẾN ĐỘNG LỢI NHUẬN VÀ RỦI RO SUY GIẢM LỢI NHUẬN CỦA CÁC DOANH NGHIỆP NIÊM YẾT PHI TÀI CHÍNH TẠI VIỆT NAM BẰNG HỌC MÁY</t>
  </si>
  <si>
    <t>K224141734</t>
  </si>
  <si>
    <t>Hoàng Thị Quỳnh Như</t>
  </si>
  <si>
    <t>ỨNG DỤNG MACHINE LEARNING TRONG DỰ BÁO RỦI RO THANH KHOẢN CỦA NGÂN HÀNG THƯƠNG MẠI TẠI VIỆT NAM</t>
  </si>
  <si>
    <t>K224141735</t>
  </si>
  <si>
    <t>Liêu Hoài Phúc</t>
  </si>
  <si>
    <t>K224141719</t>
  </si>
  <si>
    <t>Nguyễn Khánh Hà</t>
  </si>
  <si>
    <t>PHÂN TÍCH CÁC YẾU TỐ TÁC ĐỘNG ĐẾN CĂNG THẲNG TÀI CHÍNH CỦA DOANH NGHIỆP NGÀNH NGUYÊN VẬT LIỆU NIÊM YẾT TRÊN SỞ GIAO DỊCH CHỨNG KHOÁN TP. HỒ CHÍ MINH GIAI ĐOẠN 2014–2024</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</si>
  <si>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</si>
  <si>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</si>
  <si>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</si>
  <si>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K224141680</t>
  </si>
  <si>
    <t>ỨNG DỤNG MACHINE LEARNING TRONG XÂY DỰNG HỆ THỐNG DỰ BÁO RỦI RO CỔ PHIẾU TRÊN THỊ TRƯỜNG CHỨNG KHOÁN VIỆT NAM</t>
  </si>
  <si>
    <t>K224141683</t>
  </si>
  <si>
    <t>Huỳnh Quế Nhu</t>
  </si>
  <si>
    <t>K224141684</t>
  </si>
  <si>
    <t>Phan Kiều Oanh</t>
  </si>
  <si>
    <t>K224141689</t>
  </si>
  <si>
    <t>Trần Ngọc Như Quỳnh</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</si>
  <si>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</si>
  <si>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</si>
  <si>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</si>
  <si>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</si>
  <si>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</si>
  <si>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</si>
  <si>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</si>
  <si>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</si>
  <si>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</si>
  <si>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</si>
  <si>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</si>
  <si>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</si>
  <si>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</si>
  <si>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</si>
  <si>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</si>
  <si>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</si>
  <si>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</si>
  <si>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</si>
  <si>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</si>
  <si>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</si>
  <si>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</si>
  <si>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</si>
  <si>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</si>
  <si>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</si>
  <si>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</si>
  <si>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</si>
  <si>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</si>
  <si>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</si>
  <si>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</si>
  <si>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</si>
  <si>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</si>
  <si>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</si>
  <si>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</si>
  <si>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</si>
  <si>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</si>
  <si>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</si>
  <si>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</si>
  <si>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</si>
  <si>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</si>
  <si>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</si>
  <si>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</si>
  <si>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</si>
  <si>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</si>
  <si>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K224042346</t>
  </si>
  <si>
    <t>Phommavong Thipsouda</t>
  </si>
  <si>
    <t>K224042347</t>
  </si>
  <si>
    <t>Cheemeng Vangchiaxar</t>
  </si>
  <si>
    <t>K224141697</t>
  </si>
  <si>
    <t>Lâm Chánh Tín</t>
  </si>
  <si>
    <t>K224141692</t>
  </si>
  <si>
    <t>Nguyễn Thị Ngọc Thanh</t>
  </si>
  <si>
    <t>K224141672</t>
  </si>
  <si>
    <t>Phan Ánh Linh</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</si>
  <si>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</si>
  <si>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</si>
  <si>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</si>
  <si>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</si>
  <si>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</si>
  <si>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</si>
  <si>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</si>
  <si>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</si>
  <si>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</si>
  <si>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</si>
  <si>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</si>
  <si>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</si>
  <si>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</si>
  <si>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</si>
  <si>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</si>
  <si>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</si>
  <si>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</si>
  <si>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</si>
  <si>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</si>
  <si>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</si>
  <si>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</si>
  <si>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</si>
  <si>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</si>
  <si>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</si>
  <si>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</si>
  <si>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</si>
  <si>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</si>
  <si>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</si>
  <si>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</si>
  <si>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</si>
  <si>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</si>
  <si>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</si>
  <si>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</si>
  <si>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</si>
  <si>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</si>
  <si>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</si>
  <si>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</si>
  <si>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</si>
  <si>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</si>
  <si>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</si>
  <si>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</si>
  <si>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</si>
  <si>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</si>
  <si>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</si>
  <si>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</si>
  <si>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</si>
  <si>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</si>
  <si>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</si>
  <si>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</si>
  <si>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</si>
  <si>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</si>
  <si>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</si>
  <si>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</si>
  <si>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</si>
  <si>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</si>
  <si>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</si>
  <si>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</si>
  <si>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K224141682</t>
  </si>
  <si>
    <t>Hồ Minh Nhí</t>
  </si>
  <si>
    <t>K224141686</t>
  </si>
  <si>
    <t>Phạm Ngọc Quang</t>
  </si>
  <si>
    <t>K224141742</t>
  </si>
  <si>
    <t>Nguyễn Sơn Trường</t>
  </si>
  <si>
    <t>ỨNG DỤNG THUẬT TOÁN K-MEANS TRONG VIỆC PHÂN NHÓM CỔ PHIẾU VÀ TẠO LẬP DANH MỤC ĐẦU TƯ.</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</si>
  <si>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</si>
  <si>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</si>
  <si>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</si>
  <si>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K224141707</t>
  </si>
  <si>
    <t>Lê Thị Mỹ Uyên</t>
  </si>
  <si>
    <t>K224141708</t>
  </si>
  <si>
    <t>Phạm Thị Điệp Vân</t>
  </si>
  <si>
    <t>K224040574</t>
  </si>
  <si>
    <t>Nguyễn Lê Nhật Minh</t>
  </si>
  <si>
    <t>K224142348</t>
  </si>
  <si>
    <t>Nguyễn Duy Ngọc</t>
  </si>
  <si>
    <t>K224141693</t>
  </si>
  <si>
    <t>Vy Đặng Thanh Thảo</t>
  </si>
  <si>
    <t>FORECASTING VN-INDEX RETURNS USING TRADITIONAL MODELS, MACHINE LEARNING AND DEEP LEARNING IN AN EMERGING MARKET</t>
  </si>
  <si>
    <t>K224141696</t>
  </si>
  <si>
    <t>Bùi Việt Hoàng Tín</t>
  </si>
  <si>
    <t>PREDICTING FUTURE GOLD PRICES AND SUGGESTING SUITABLE DERIVATIVE CONTRACTS</t>
  </si>
  <si>
    <t>K224141700</t>
  </si>
  <si>
    <t>Phan Viết Toàn</t>
  </si>
  <si>
    <t>K224141701</t>
  </si>
  <si>
    <t>Nguyễn Thị Mai Trâm</t>
  </si>
  <si>
    <t>K224141705</t>
  </si>
  <si>
    <t>Lê Nam Tuyên</t>
  </si>
  <si>
    <t>K224141746</t>
  </si>
  <si>
    <t>Lê Nguyễn Tường Vy</t>
  </si>
  <si>
    <t>K224040565</t>
  </si>
  <si>
    <t>Mai Đức Dương</t>
  </si>
  <si>
    <t>TÁC ĐỘNG CỦA ĐA DẠNG HÓA NGUỒN VỐN ĐẾN LỢI NHUẬN VÀ RỦI RO CỦA CÁC NGÂN HÀNG THƯƠNG MẠI TẠI VIỆT NAM.</t>
  </si>
  <si>
    <t>ThS Tô Thị Thanh Trúc</t>
  </si>
  <si>
    <t>K224040579</t>
  </si>
  <si>
    <t>Huỳnh Trí Nhân</t>
  </si>
  <si>
    <t>TÁC ĐỘNG CỦA CẤU TRÚC VỐN ĐẾN KHẢ NĂNG SINH LỜI CỦA CÁC NGÂN HÀNG THƯƠNG MẠI TẠI VIỆT NAM</t>
  </si>
  <si>
    <t>K224040562</t>
  </si>
  <si>
    <t>Nguyễn Đức Anh</t>
  </si>
  <si>
    <t>K224040481</t>
  </si>
  <si>
    <t>Vũ Nhật Minh</t>
  </si>
  <si>
    <t>BANK–FINTECH COOPERATION, OWNERSHIP STRUCTURE, AND OVERALL BANK RISK: EMPIRICAL EVIDENCE FROM VIETNAM</t>
  </si>
  <si>
    <t>K224040493</t>
  </si>
  <si>
    <t>Nguyễn Ngọc Quỳnh</t>
  </si>
  <si>
    <t>ẢNH HƯỞNG CỦA CÁC NHÂN TỐ VĨ MÔ VÀ CÁC NHÂN TỐ NỘI TẠI ĐẾN BIÊN LÃI RÒNG CỦA CÁC NGÂN HÀNG THƯƠNG MẠI QUY MÔ VỪA VÀ NHỎ TẠI VIỆT NAM TRONG GIAI ĐOẠN 2014-2024</t>
  </si>
  <si>
    <t>K224040541</t>
  </si>
  <si>
    <t>Lâm Hồng Minh Quân</t>
  </si>
  <si>
    <t>K224040564</t>
  </si>
  <si>
    <t>Nguyễn Vũ Bình</t>
  </si>
  <si>
    <t>K224040567</t>
  </si>
  <si>
    <t>Nguyễn Tấn Đạt</t>
  </si>
  <si>
    <t>TS Nguyễn Hoàng Anh</t>
  </si>
  <si>
    <t>K224040578</t>
  </si>
  <si>
    <t>Đinh Đỗ Hạnh Nguyên</t>
  </si>
  <si>
    <t>THE IMPACT OF CAPITAL STRUCTURE ON PROFITABILITY: A CASE STUDY OF VIETNAMESE NON – FINANCIAL LISTED COMPANIES</t>
  </si>
  <si>
    <t>K224040568</t>
  </si>
  <si>
    <t>Nguyễn Phúc Hưng</t>
  </si>
  <si>
    <t>THE MODERATING ROLE OF DIGITAL BANKING ON THE RELATIONSHIP BETWEEN INCOME DIVERSIFICATION AND BANK PERFORMANCE: EVIDENCE FROM VIETNAMESE COMMERCIAL BANK</t>
  </si>
  <si>
    <t>TS Nguyễn Tiến Trung</t>
  </si>
  <si>
    <t>K224040576</t>
  </si>
  <si>
    <t>Hà Vũ Thúy Mỵ</t>
  </si>
  <si>
    <t>TÁC ĐỘNG CỦA CHUYỂN ĐỔI SỐ VÀ CẤU TRÚC VỐN ĐẾN HIỆU QUẢ HOẠT ĐỘNG: TRƯỜNG HỢP CÁC NGÂN HÀNG THƯƠNG MẠI VIỆT NAM</t>
  </si>
  <si>
    <t>K224040596</t>
  </si>
  <si>
    <t>Nguyễn Đặng Thanh Trúc</t>
  </si>
  <si>
    <t>PHÁT TRIỂN TÍN DỤNG NHÀ Ở DÀNH CHO KHÁCH HÀNG TRẺ TẠI CÁC NGÂN HÀNG THƯƠNG MẠI CỔ PHẦN Ở VIỆT NAM</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</si>
  <si>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</si>
  <si>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</si>
  <si>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</si>
  <si>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</si>
  <si>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</si>
  <si>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</si>
  <si>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</si>
  <si>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TS Nguyễn Thành Đạt</t>
  </si>
  <si>
    <t>K224040572</t>
  </si>
  <si>
    <t>Vũ Gia Linh</t>
  </si>
  <si>
    <t>K224040573</t>
  </si>
  <si>
    <t>Bùi Hương Ly</t>
  </si>
  <si>
    <t>K224040524</t>
  </si>
  <si>
    <t>Võ Bảo Huy</t>
  </si>
  <si>
    <t>TÍNH LAN TỎA GIỮA CÁC TÀI SẢN DEFI, TIỀN MÃ HÓA, CỔ PHIẾU VÀ TÀI SẢN TRÚ ẨN AN TOÀN</t>
  </si>
  <si>
    <t>K204041219</t>
  </si>
  <si>
    <t>Phan Lê Tú Viên</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</si>
  <si>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</si>
  <si>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</si>
  <si>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</si>
  <si>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</si>
  <si>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</si>
  <si>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</si>
  <si>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</si>
  <si>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</si>
  <si>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</si>
  <si>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</si>
  <si>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</si>
  <si>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</si>
  <si>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</si>
  <si>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</si>
  <si>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</si>
  <si>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</si>
  <si>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</si>
  <si>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</si>
  <si>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</si>
  <si>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</si>
  <si>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</si>
  <si>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</si>
  <si>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</si>
  <si>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</si>
  <si>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</si>
  <si>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</si>
  <si>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</si>
  <si>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</si>
  <si>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</si>
  <si>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</si>
  <si>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</si>
  <si>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</si>
  <si>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</si>
  <si>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</si>
  <si>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</si>
  <si>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</si>
  <si>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</si>
  <si>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K224040470</t>
  </si>
  <si>
    <t>Đào Hồ Trúc Giang</t>
  </si>
  <si>
    <t>THE IMPACT OF CEO CHARACTERISTICS ON FINANCIAL PERFORMANCE OF VIETNAMESE COMMERCIAL BANKS</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</si>
  <si>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</si>
  <si>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</si>
  <si>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</si>
  <si>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</si>
  <si>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</si>
  <si>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</si>
  <si>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K224040539</t>
  </si>
  <si>
    <t>Võ Trường Phúc</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</si>
  <si>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</si>
  <si>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</si>
  <si>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</si>
  <si>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</si>
  <si>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</si>
  <si>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</si>
  <si>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</si>
  <si>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</si>
  <si>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</si>
  <si>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</si>
  <si>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</si>
  <si>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</si>
  <si>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</si>
  <si>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</si>
  <si>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</si>
  <si>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</si>
  <si>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</si>
  <si>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</si>
  <si>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</si>
  <si>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</si>
  <si>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</si>
  <si>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</si>
  <si>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K224040480</t>
  </si>
  <si>
    <t>Hồ Thị Bích Ly</t>
  </si>
  <si>
    <t>K224040496</t>
  </si>
  <si>
    <t>Mai Công Thanh</t>
  </si>
  <si>
    <t>THE IMPACT OF BANK-FINTECH COOPERATION ON THE PERFORMANCE OF TRADITIONAL COMMERCIAL BANKS IN VIETNAM: THE MODERATING ROLE OF CEO CHARACTERISTICS</t>
  </si>
  <si>
    <t>K224040503</t>
  </si>
  <si>
    <t>Nguyễn Thị Huyền Trang</t>
  </si>
  <si>
    <t>ẢNH HƯỞNG CỦA NỢ XẤU ĐẾN KHẢ NĂNG SINH LỜI CỦA CÁC NGÂN HÀNG THƯƠNG MẠI VIỆT NAM</t>
  </si>
  <si>
    <t>K224040545</t>
  </si>
  <si>
    <t>Huỳnh Thị Thanh Thảo</t>
  </si>
  <si>
    <t>K224040598</t>
  </si>
  <si>
    <t>Cao Thị Phương Anh</t>
  </si>
  <si>
    <t>K22404CA</t>
  </si>
  <si>
    <t>THE IMPACT OF DIGITAL TRANSFORMATION ON FIRM PERFORMANCE OF LISTED COMPANIES IN THE VIETNAMESE STOCK MARKET</t>
  </si>
  <si>
    <t>K224040611</t>
  </si>
  <si>
    <t>Phan Đức Hiển Long</t>
  </si>
  <si>
    <t>CORPORATE FINANCIALIZATION AND FIXED INVESTMENT RATES: EVIDENCE ON THE MODERATING EFFECTS OF FINANCIAL CONSTRAINTS AND MONETARY POLICY IN VIETNAM</t>
  </si>
  <si>
    <t>K224040618</t>
  </si>
  <si>
    <t>Phạm Lê Thảo Nhi</t>
  </si>
  <si>
    <t>THE IMPACT OF RELATED-PARTY TRANSACTIONS ON CORPORATE BOND HOLDINGS AND BANK RISK: EVIDENCE FROM VIETNAMESE COMMERCIAL BANKS</t>
  </si>
  <si>
    <t>K224040619</t>
  </si>
  <si>
    <t>Võ Hoàng Uyên Nhy</t>
  </si>
  <si>
    <t>K224141721</t>
  </si>
  <si>
    <t>Nguyễn Thị Đức Hạnh</t>
  </si>
  <si>
    <t>K224040615</t>
  </si>
  <si>
    <t>Lê Hoàng Nam</t>
  </si>
  <si>
    <t>K224040626</t>
  </si>
  <si>
    <t>Nguyễn Minh Trí</t>
  </si>
  <si>
    <t>CASH-FLOW VOLATILITY AND FIRM LEVERAGE: MULTI-MEASURE EVIDENCE FROM VIETNAM’S LISTED NON-FINANCIAL FIRMS</t>
  </si>
  <si>
    <t>K224040627</t>
  </si>
  <si>
    <t>Nguyễn Thị Lan Uyên</t>
  </si>
  <si>
    <t>THE IMPACT OF ESG INFORMATION DISCLOSURE ON THE LIQUIDITY RISK OF COMMERCIAL BANKS IN VIETNAM</t>
  </si>
  <si>
    <t>K224040603</t>
  </si>
  <si>
    <t>Đoàn Ngọc Quỳnh Giao</t>
  </si>
  <si>
    <t>THE IMPACT OF ESG DISCLOSURE ON THE COST OF DEBT- THE MODERATING EFFECT OF AGENCY COSTS: EVIDENCE FROM VNX50 FIRMS IN VIETNAM</t>
  </si>
  <si>
    <t>K224040607</t>
  </si>
  <si>
    <t>Nguyễn Đắc Tùng Lâm</t>
  </si>
  <si>
    <t>K224040628</t>
  </si>
  <si>
    <t>Nguyễn Ngọc Hải Vân</t>
  </si>
  <si>
    <t>THE IMPACT OF FUNDING AND INCOME DIVERSIFICATION ON NON-PERFORMING LOANS: AN EMPIRICAL STUDY FROM VIETNAMESE COMMERCIAL BANKS</t>
  </si>
  <si>
    <t>K224040597</t>
  </si>
  <si>
    <t>Trần Quốc Văn</t>
  </si>
  <si>
    <t>K224040601</t>
  </si>
  <si>
    <t>Phan Đức Dân</t>
  </si>
  <si>
    <t>K224040608</t>
  </si>
  <si>
    <t>Âu Dương Ngọc Linh</t>
  </si>
  <si>
    <t>THE IMPACT OF THE AI DISCLOSURE INDEX ON THE MARKET VALUE OF VIETNAM LISTED COMPANIES</t>
  </si>
  <si>
    <t>K224040602</t>
  </si>
  <si>
    <t>Trần Nhật Duật</t>
  </si>
  <si>
    <t>METHODS OF VALUING LISTED ENTERPRISES: THE CASE OF BINH MINH PLASTIC JOINT STOCK COMPANY</t>
  </si>
  <si>
    <t>K224040614</t>
  </si>
  <si>
    <t>Võ Thị Hoàng My</t>
  </si>
  <si>
    <t>ANALYSIS OF CREDIT RISK MANAGEMENT AT JOINT STOCK COMMERCIAL BANK FOR FOREIGN TRADE OF VIETNAM (VIETCOMBANK)</t>
  </si>
  <si>
    <t>K224040617</t>
  </si>
  <si>
    <t>K224040600</t>
  </si>
  <si>
    <t>Nguyễn Phúc Bảo Châu</t>
  </si>
  <si>
    <t>THE IMPACT OF BOARD GENDER DIVERSITY ON THE FIRM VALUE OF LISTED FIRMS IN VIETNAM</t>
  </si>
  <si>
    <t>K224040620</t>
  </si>
  <si>
    <t>Đặng Việt Quang</t>
  </si>
  <si>
    <t>K204151943</t>
  </si>
  <si>
    <t>Lê Anh Đức</t>
  </si>
  <si>
    <t>K20404C</t>
  </si>
  <si>
    <t>K224040622</t>
  </si>
  <si>
    <t>Lê Hoài Trúc Quỳnh</t>
  </si>
  <si>
    <t>K224040624</t>
  </si>
  <si>
    <t>Ngô Quang Tiến</t>
  </si>
  <si>
    <t>K224040625</t>
  </si>
  <si>
    <t>Phạm Thu Trang</t>
  </si>
  <si>
    <t>K224040613</t>
  </si>
  <si>
    <t>Lâm Huỳnh Ái My</t>
  </si>
  <si>
    <t>FACTORS AFFECTING THE FINANCIAL PERFORMANCE OF COMMERCIAL BANKS IN VIETNAM</t>
  </si>
  <si>
    <t>K224040616</t>
  </si>
  <si>
    <t>Nguyễn Huỳnh Bách Ngọc</t>
  </si>
  <si>
    <t>THE IMPACT OF ESG AND INSTITUTIONAL QUALITY ON BANK PERFORMANCE AND STABILITY: PANEL EVIDENCE FROM ASEAN COUNTRIES</t>
  </si>
  <si>
    <t>K224040621</t>
  </si>
  <si>
    <t>Phan Trọng Quí</t>
  </si>
  <si>
    <t>THE IMPACT OF BANK GUARANTEE ACTIVITIES ON RISK AND PERFORMANCE OF VIETNAMESE COMMERCIAL BANKS</t>
  </si>
  <si>
    <t>K224040623</t>
  </si>
  <si>
    <t>ECONOMIC POLICY UNCERTAINTY AND CORPORATE CASH HOLDINGS: EVIDENCE FROM VIETNAMESE NON-FINANCIAL LISTED FIRM</t>
  </si>
  <si>
    <t>K224141736</t>
  </si>
  <si>
    <t>Nguyễn Trường Thi</t>
  </si>
  <si>
    <t>K224040571</t>
  </si>
  <si>
    <t>Trần Phương Linh</t>
  </si>
  <si>
    <t>The impact of financial determinants and board characteristics on the performance of commercial banks in Vietnam</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</si>
  <si>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</si>
  <si>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</si>
  <si>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</si>
  <si>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</si>
  <si>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</si>
  <si>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</si>
  <si>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</si>
  <si>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</si>
  <si>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</si>
  <si>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</si>
  <si>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</si>
  <si>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</si>
  <si>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</si>
  <si>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</si>
  <si>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</si>
  <si>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</si>
  <si>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</si>
  <si>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</si>
  <si>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</si>
  <si>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</si>
  <si>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</si>
  <si>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</si>
  <si>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</si>
  <si>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</si>
  <si>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</si>
  <si>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</si>
  <si>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</si>
  <si>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</si>
  <si>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</si>
  <si>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</si>
  <si>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</si>
  <si>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</si>
  <si>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</si>
  <si>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</si>
  <si>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</si>
  <si>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</si>
  <si>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</si>
  <si>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</si>
  <si>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</si>
  <si>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</si>
  <si>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</si>
  <si>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</si>
  <si>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</si>
  <si>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</si>
  <si>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</si>
  <si>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</si>
  <si>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</si>
  <si>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</si>
  <si>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</si>
  <si>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</si>
  <si>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</si>
  <si>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</si>
  <si>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</si>
  <si>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</si>
  <si>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</si>
  <si>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</si>
  <si>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</si>
  <si>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</si>
  <si>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</si>
  <si>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</si>
  <si>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</si>
  <si>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</si>
  <si>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</si>
  <si>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</si>
  <si>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</si>
  <si>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</si>
  <si>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</si>
  <si>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</si>
  <si>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</si>
  <si>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</si>
  <si>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</si>
  <si>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</si>
  <si>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</si>
  <si>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</si>
  <si>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</si>
  <si>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</si>
  <si>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</si>
  <si>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</si>
  <si>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</si>
  <si>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</si>
  <si>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</si>
  <si>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</si>
  <si>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</si>
  <si>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</si>
  <si>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</si>
  <si>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</si>
  <si>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</si>
  <si>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</si>
  <si>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</si>
  <si>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</si>
  <si>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</si>
  <si>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</si>
  <si>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</si>
  <si>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</si>
  <si>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</si>
  <si>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</si>
  <si>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</si>
  <si>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</si>
  <si>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</si>
  <si>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</si>
  <si>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</si>
  <si>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</si>
  <si>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</si>
  <si>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</si>
  <si>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</si>
  <si>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</si>
  <si>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</si>
  <si>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</si>
  <si>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</si>
  <si>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</si>
  <si>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</si>
  <si>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</si>
  <si>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</si>
  <si>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</si>
  <si>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</si>
  <si>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</si>
  <si>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</si>
  <si>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</si>
  <si>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</si>
  <si>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</si>
  <si>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</si>
  <si>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</si>
  <si>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</si>
  <si>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</si>
  <si>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</si>
  <si>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</si>
  <si>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</si>
  <si>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</si>
  <si>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</si>
  <si>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</si>
  <si>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</si>
  <si>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</si>
  <si>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</si>
  <si>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</si>
  <si>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</si>
  <si>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</si>
  <si>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</si>
  <si>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</si>
  <si>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</si>
  <si>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</si>
  <si>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</si>
  <si>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</si>
  <si>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</si>
  <si>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</si>
  <si>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</si>
  <si>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</si>
  <si>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</si>
  <si>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</si>
  <si>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</si>
  <si>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</si>
  <si>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</si>
  <si>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</si>
  <si>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</si>
  <si>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</si>
  <si>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</si>
  <si>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</si>
  <si>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</si>
  <si>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</si>
  <si>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</si>
  <si>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</si>
  <si>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</si>
  <si>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</si>
  <si>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</si>
  <si>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</si>
  <si>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</si>
  <si>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</si>
  <si>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</si>
  <si>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</si>
  <si>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</si>
  <si>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</si>
  <si>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</si>
  <si>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</si>
  <si>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</si>
  <si>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</si>
  <si>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</si>
  <si>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</si>
  <si>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</si>
  <si>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</si>
  <si>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</si>
  <si>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</si>
  <si>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</si>
  <si>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</si>
  <si>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</si>
  <si>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</si>
  <si>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</si>
  <si>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</si>
  <si>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</si>
  <si>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</si>
  <si>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</si>
  <si>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</si>
  <si>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</si>
  <si>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</si>
  <si>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</si>
  <si>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</si>
  <si>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</si>
  <si>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</si>
  <si>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</si>
  <si>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</si>
  <si>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</si>
  <si>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</si>
  <si>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</si>
  <si>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</si>
  <si>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</si>
  <si>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</si>
  <si>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</si>
  <si>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</si>
  <si>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</si>
  <si>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</si>
  <si>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</si>
  <si>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</si>
  <si>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</si>
  <si>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</si>
  <si>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</si>
  <si>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</si>
  <si>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</si>
  <si>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</si>
  <si>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</si>
  <si>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</si>
  <si>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</si>
  <si>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</si>
  <si>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</si>
  <si>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</si>
  <si>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</si>
  <si>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</si>
  <si>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</si>
  <si>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</si>
  <si>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</si>
  <si>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</si>
  <si>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</si>
  <si>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</si>
  <si>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</si>
  <si>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</si>
  <si>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</si>
  <si>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</si>
  <si>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</si>
  <si>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</si>
  <si>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</si>
  <si>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</si>
  <si>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</si>
  <si>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</si>
  <si>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</si>
  <si>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</si>
  <si>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</si>
  <si>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</si>
  <si>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</si>
  <si>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</si>
  <si>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</si>
  <si>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</si>
  <si>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</si>
  <si>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</si>
  <si>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</si>
  <si>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</si>
  <si>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</si>
  <si>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</si>
  <si>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</si>
  <si>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</si>
  <si>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</si>
  <si>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</si>
  <si>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</si>
  <si>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</si>
  <si>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</si>
  <si>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</si>
  <si>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</si>
  <si>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</si>
  <si>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</si>
  <si>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</si>
  <si>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</si>
  <si>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</si>
  <si>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</si>
  <si>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</si>
  <si>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</si>
  <si>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</si>
  <si>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</si>
  <si>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</si>
  <si>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</si>
  <si>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</si>
  <si>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</si>
  <si>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</si>
  <si>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</si>
  <si>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</si>
  <si>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</si>
  <si>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</si>
  <si>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</si>
  <si>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</si>
  <si>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</si>
  <si>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</si>
  <si>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</si>
  <si>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</si>
  <si>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</si>
  <si>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</si>
  <si>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</si>
  <si>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</si>
  <si>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</si>
  <si>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</si>
  <si>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</si>
  <si>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</si>
  <si>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</si>
  <si>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</si>
  <si>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</si>
  <si>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</si>
  <si>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</si>
  <si>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</si>
  <si>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</si>
  <si>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</si>
  <si>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</si>
  <si>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</si>
  <si>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</si>
  <si>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</si>
  <si>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</si>
  <si>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</si>
  <si>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</si>
  <si>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</si>
  <si>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</si>
  <si>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</si>
  <si>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</si>
  <si>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</si>
  <si>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</si>
  <si>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</si>
  <si>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</si>
  <si>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</si>
  <si>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</si>
  <si>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</si>
  <si>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</si>
  <si>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</si>
  <si>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</si>
  <si>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</si>
  <si>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</si>
  <si>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</si>
  <si>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</si>
  <si>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</si>
  <si>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</si>
  <si>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</si>
  <si>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</si>
  <si>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</si>
  <si>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</si>
  <si>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</si>
  <si>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</si>
  <si>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</si>
  <si>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</si>
  <si>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</si>
  <si>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</si>
  <si>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</si>
  <si>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</si>
  <si>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</si>
  <si>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</si>
  <si>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</si>
  <si>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</si>
  <si>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</si>
  <si>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</si>
  <si>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</si>
  <si>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</si>
  <si>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</si>
  <si>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</si>
  <si>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</si>
  <si>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</si>
  <si>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</si>
  <si>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</si>
  <si>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</si>
  <si>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</si>
  <si>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</si>
  <si>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</si>
  <si>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</si>
  <si>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</si>
  <si>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</si>
  <si>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</si>
  <si>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</si>
  <si>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</si>
  <si>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</si>
  <si>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</si>
  <si>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</si>
  <si>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</si>
  <si>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</si>
  <si>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</si>
  <si>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</si>
  <si>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</si>
  <si>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</si>
  <si>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</si>
  <si>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</si>
  <si>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</si>
  <si>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</si>
  <si>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</si>
  <si>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</si>
  <si>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</si>
  <si>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</si>
  <si>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</si>
  <si>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</si>
  <si>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</si>
  <si>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</si>
  <si>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</si>
  <si>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</si>
  <si>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</si>
  <si>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</si>
  <si>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</si>
  <si>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</si>
  <si>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</si>
  <si>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</si>
  <si>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</si>
  <si>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</si>
  <si>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</si>
  <si>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</si>
  <si>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</si>
  <si>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</si>
  <si>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</si>
  <si>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</si>
  <si>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</si>
  <si>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</si>
  <si>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</si>
  <si>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</si>
  <si>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</si>
  <si>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</si>
  <si>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</si>
  <si>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</si>
  <si>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</si>
  <si>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</si>
  <si>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</si>
  <si>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</si>
  <si>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</si>
  <si>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</si>
  <si>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</si>
  <si>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</si>
  <si>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</si>
  <si>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</si>
  <si>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</si>
  <si>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</si>
  <si>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</si>
  <si>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</si>
  <si>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</si>
  <si>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</si>
  <si>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</si>
  <si>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</si>
  <si>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</si>
  <si>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</si>
  <si>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</si>
  <si>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</si>
  <si>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</si>
  <si>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</si>
  <si>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</si>
  <si>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</si>
  <si>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</si>
  <si>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</si>
  <si>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</si>
  <si>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</si>
  <si>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</si>
  <si>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</si>
  <si>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</si>
  <si>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</si>
  <si>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</si>
  <si>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</si>
  <si>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</si>
  <si>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</si>
  <si>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</si>
  <si>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</si>
  <si>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</si>
  <si>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</si>
  <si>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</si>
  <si>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</si>
  <si>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</si>
  <si>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</si>
  <si>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</si>
  <si>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</si>
  <si>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</si>
  <si>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</si>
  <si>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</si>
  <si>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</si>
  <si>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</si>
  <si>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</si>
  <si>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</si>
  <si>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</si>
  <si>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</si>
  <si>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</si>
  <si>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</si>
  <si>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</si>
  <si>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</si>
  <si>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</si>
  <si>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</si>
  <si>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</si>
  <si>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</si>
  <si>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</si>
  <si>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</si>
  <si>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</si>
  <si>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</si>
  <si>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</si>
  <si>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</si>
  <si>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</si>
  <si>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</si>
  <si>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</si>
  <si>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</si>
  <si>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</si>
  <si>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</si>
  <si>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</si>
  <si>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</si>
  <si>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</si>
  <si>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</si>
  <si>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</si>
  <si>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</si>
  <si>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</si>
  <si>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</si>
  <si>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</si>
  <si>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</si>
  <si>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</si>
  <si>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</si>
  <si>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</si>
  <si>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</si>
  <si>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</si>
  <si>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</si>
  <si>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</si>
  <si>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</si>
  <si>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</si>
  <si>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</si>
  <si>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</si>
  <si>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</si>
  <si>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</si>
  <si>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</si>
  <si>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</si>
  <si>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</si>
  <si>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</si>
  <si>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</si>
  <si>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</si>
  <si>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</si>
  <si>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</si>
  <si>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</si>
  <si>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</si>
  <si>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</si>
  <si>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</si>
  <si>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</si>
  <si>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</si>
  <si>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</si>
  <si>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</si>
  <si>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</si>
  <si>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</si>
  <si>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</si>
  <si>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</si>
  <si>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</si>
  <si>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</si>
  <si>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</si>
  <si>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</si>
  <si>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</si>
  <si>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</si>
  <si>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</si>
  <si>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</si>
  <si>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</si>
  <si>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</si>
  <si>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</si>
  <si>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</si>
  <si>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</si>
  <si>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</si>
  <si>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</si>
  <si>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</si>
  <si>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</si>
  <si>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</si>
  <si>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</si>
  <si>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</si>
  <si>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</si>
  <si>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</si>
  <si>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</si>
  <si>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</si>
  <si>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</si>
  <si>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</si>
  <si>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</si>
  <si>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</si>
  <si>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</si>
  <si>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</si>
  <si>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</si>
  <si>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</si>
  <si>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</si>
  <si>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</si>
  <si>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</si>
  <si>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</si>
  <si>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</si>
  <si>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</si>
  <si>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</si>
  <si>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</si>
  <si>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</si>
  <si>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</si>
  <si>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</si>
  <si>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</si>
  <si>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</si>
  <si>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</si>
  <si>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</si>
  <si>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</si>
  <si>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</si>
  <si>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</si>
  <si>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</si>
  <si>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</si>
  <si>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</si>
  <si>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</si>
  <si>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</si>
  <si>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</si>
  <si>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</si>
  <si>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</si>
  <si>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</si>
  <si>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</si>
  <si>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</si>
  <si>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</si>
  <si>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</si>
  <si>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</si>
  <si>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</si>
  <si>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</si>
  <si>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</si>
  <si>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</si>
  <si>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</si>
  <si>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</si>
  <si>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</si>
  <si>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</si>
  <si>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</si>
  <si>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</si>
  <si>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</si>
  <si>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</si>
  <si>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</si>
  <si>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</si>
  <si>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</si>
  <si>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</si>
  <si>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</si>
  <si>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</si>
  <si>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</si>
  <si>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</si>
  <si>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</si>
  <si>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</si>
  <si>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</si>
  <si>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</si>
  <si>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</si>
  <si>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</si>
  <si>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</si>
  <si>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</si>
  <si>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</si>
  <si>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</si>
  <si>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</si>
  <si>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</si>
  <si>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</si>
  <si>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</si>
  <si>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</si>
  <si>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</si>
  <si>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</si>
  <si>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</si>
  <si>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</si>
  <si>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</si>
  <si>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</si>
  <si>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</si>
  <si>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</si>
  <si>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</si>
  <si>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</si>
  <si>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</si>
  <si>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</si>
  <si>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</si>
  <si>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</si>
  <si>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</si>
  <si>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</si>
  <si>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</si>
  <si>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</si>
  <si>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</si>
  <si>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</si>
  <si>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</si>
  <si>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</si>
  <si>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</si>
  <si>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</si>
  <si>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</si>
  <si>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</si>
  <si>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</si>
  <si>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</si>
  <si>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</si>
  <si>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</si>
  <si>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</si>
  <si>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</si>
  <si>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</si>
  <si>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</si>
  <si>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</si>
  <si>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</si>
  <si>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</si>
  <si>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</si>
  <si>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</si>
  <si>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</si>
  <si>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</si>
  <si>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</si>
  <si>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</si>
  <si>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</si>
  <si>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</si>
  <si>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</si>
  <si>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</si>
  <si>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</si>
  <si>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</si>
  <si>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</si>
  <si>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</si>
  <si>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</si>
  <si>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</si>
  <si>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</si>
  <si>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</si>
  <si>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</si>
  <si>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</si>
  <si>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</si>
  <si>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</si>
  <si>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</si>
  <si>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</si>
  <si>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</si>
  <si>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</si>
  <si>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</si>
  <si>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</si>
  <si>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</si>
  <si>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</si>
  <si>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</si>
  <si>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</si>
  <si>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</si>
  <si>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</si>
  <si>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</si>
  <si>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</si>
  <si>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</si>
  <si>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</si>
  <si>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</si>
  <si>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</si>
  <si>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</si>
  <si>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</si>
  <si>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</si>
  <si>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</si>
  <si>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</si>
  <si>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</si>
  <si>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</si>
  <si>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</si>
  <si>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</si>
  <si>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</si>
  <si>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</si>
  <si>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</si>
  <si>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</si>
  <si>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</si>
  <si>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</si>
  <si>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</si>
  <si>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</si>
  <si>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</si>
  <si>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</si>
  <si>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</si>
  <si>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</si>
  <si>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</si>
  <si>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</si>
  <si>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</si>
  <si>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</si>
  <si>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</si>
  <si>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</si>
  <si>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</si>
  <si>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</si>
  <si>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</si>
  <si>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</si>
  <si>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</si>
  <si>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</si>
  <si>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</si>
  <si>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</si>
  <si>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</si>
  <si>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</si>
  <si>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</si>
  <si>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</si>
  <si>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</si>
  <si>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</si>
  <si>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</si>
  <si>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</si>
  <si>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</si>
  <si>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</si>
  <si>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</si>
  <si>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</si>
  <si>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</si>
  <si>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</si>
  <si>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</si>
  <si>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</si>
  <si>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</si>
  <si>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</si>
  <si>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</si>
  <si>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</si>
  <si>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</si>
  <si>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</si>
  <si>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</si>
  <si>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</si>
  <si>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</si>
  <si>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</si>
  <si>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</si>
  <si>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</si>
  <si>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</si>
  <si>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</si>
  <si>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</si>
  <si>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</si>
  <si>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</si>
  <si>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</si>
  <si>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</si>
  <si>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</si>
  <si>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</si>
  <si>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</si>
  <si>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</si>
  <si>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</si>
  <si>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</si>
  <si>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</si>
  <si>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</si>
  <si>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</si>
  <si>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</si>
  <si>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</si>
  <si>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</si>
  <si>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</si>
  <si>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</si>
  <si>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</si>
  <si>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</si>
  <si>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</si>
  <si>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</si>
  <si>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</si>
  <si>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</si>
  <si>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</si>
  <si>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</si>
  <si>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</si>
  <si>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</si>
  <si>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</si>
  <si>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</si>
  <si>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</si>
  <si>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</si>
  <si>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</si>
  <si>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</si>
  <si>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</si>
  <si>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</si>
  <si>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</si>
  <si>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</si>
  <si>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</si>
  <si>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</si>
  <si>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</si>
  <si>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</si>
  <si>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</si>
  <si>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</si>
  <si>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</si>
  <si>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</si>
  <si>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</si>
  <si>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</si>
  <si>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</si>
  <si>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</si>
  <si>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</si>
  <si>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</si>
  <si>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</si>
  <si>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</si>
  <si>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</si>
  <si>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</si>
  <si>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</si>
  <si>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</si>
  <si>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</si>
  <si>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</si>
  <si>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</si>
  <si>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</si>
  <si>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</si>
  <si>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</si>
  <si>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</si>
  <si>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</si>
  <si>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</si>
  <si>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</si>
  <si>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</si>
  <si>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</si>
  <si>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</si>
  <si>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</si>
  <si>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</si>
  <si>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</si>
  <si>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</si>
  <si>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</si>
  <si>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</si>
  <si>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</si>
  <si>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</si>
  <si>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</si>
  <si>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</si>
  <si>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</si>
  <si>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</si>
  <si>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</si>
  <si>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</si>
  <si>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</si>
  <si>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</si>
  <si>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</si>
  <si>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</si>
  <si>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</si>
  <si>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</si>
  <si>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</si>
  <si>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</si>
  <si>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</si>
  <si>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</si>
  <si>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</si>
  <si>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</si>
  <si>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</si>
  <si>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</si>
  <si>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</si>
  <si>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</si>
  <si>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</si>
  <si>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</si>
  <si>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</si>
  <si>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</si>
  <si>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</si>
  <si>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</si>
  <si>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</si>
  <si>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</si>
  <si>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</si>
  <si>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</si>
  <si>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</si>
  <si>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</si>
  <si>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</si>
  <si>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</si>
  <si>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</si>
  <si>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</si>
  <si>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</si>
  <si>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</si>
  <si>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</si>
  <si>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</si>
  <si>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</si>
  <si>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</si>
  <si>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</si>
  <si>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</si>
  <si>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</si>
  <si>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</si>
  <si>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</si>
  <si>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</si>
  <si>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</si>
  <si>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</si>
  <si>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</si>
  <si>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</si>
  <si>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</si>
  <si>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</si>
  <si>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</si>
  <si>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</si>
  <si>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</si>
  <si>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</si>
  <si>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</si>
  <si>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</si>
  <si>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</si>
  <si>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</si>
  <si>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</si>
  <si>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</si>
  <si>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</si>
  <si>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</si>
  <si>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</si>
  <si>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</si>
  <si>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</si>
  <si>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</si>
  <si>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</si>
  <si>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</si>
  <si>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</si>
  <si>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</si>
  <si>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</si>
  <si>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</si>
  <si>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</si>
  <si>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</si>
  <si>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</si>
  <si>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</si>
  <si>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</si>
  <si>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</si>
  <si>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</si>
  <si>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</si>
  <si>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</si>
  <si>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</si>
  <si>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</si>
  <si>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</si>
  <si>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</si>
  <si>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</si>
  <si>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</si>
  <si>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</si>
  <si>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</si>
  <si>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</si>
  <si>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</si>
  <si>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</si>
  <si>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</si>
  <si>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</si>
  <si>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</si>
  <si>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</si>
  <si>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</si>
  <si>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</si>
  <si>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</si>
  <si>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</si>
  <si>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</si>
  <si>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</si>
  <si>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</si>
  <si>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</si>
  <si>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</si>
  <si>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</si>
  <si>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</si>
  <si>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</si>
  <si>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</si>
  <si>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</si>
  <si>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</si>
  <si>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</si>
  <si>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</si>
  <si>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</si>
  <si>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</si>
  <si>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</si>
  <si>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</si>
  <si>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</si>
  <si>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</si>
  <si>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</si>
  <si>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</si>
  <si>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</si>
  <si>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</si>
  <si>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</si>
  <si>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</si>
  <si>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</si>
  <si>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</si>
  <si>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</si>
  <si>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</si>
  <si>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</si>
  <si>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</si>
  <si>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</si>
  <si>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</si>
  <si>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</si>
  <si>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</si>
  <si>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</si>
  <si>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</si>
  <si>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</si>
  <si>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</si>
  <si>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</si>
  <si>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</si>
  <si>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</si>
  <si>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</si>
  <si>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</si>
  <si>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</si>
  <si>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</si>
  <si>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</si>
  <si>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</si>
  <si>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</si>
  <si>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</si>
  <si>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</si>
  <si>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</si>
  <si>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</si>
  <si>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</si>
  <si>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</si>
  <si>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</si>
  <si>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</si>
  <si>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</si>
  <si>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</si>
  <si>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</si>
  <si>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</si>
  <si>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</si>
  <si>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</si>
  <si>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</si>
  <si>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</si>
  <si>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</si>
  <si>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</si>
  <si>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</si>
  <si>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</si>
  <si>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</si>
  <si>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</si>
  <si>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</si>
  <si>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</si>
  <si>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</si>
  <si>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</si>
  <si>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</si>
  <si>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</si>
  <si>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</si>
  <si>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</si>
  <si>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</si>
  <si>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</si>
  <si>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</si>
  <si>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</si>
  <si>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</si>
  <si>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</si>
  <si>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</si>
  <si>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</si>
  <si>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</si>
  <si>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</si>
  <si>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</si>
  <si>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</si>
  <si>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</si>
  <si>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</si>
  <si>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</si>
  <si>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</si>
  <si>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</si>
  <si>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</si>
  <si>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</si>
  <si>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</si>
  <si>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</si>
  <si>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</si>
  <si>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</si>
  <si>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</si>
  <si>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</si>
  <si>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</si>
  <si>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</si>
  <si>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</si>
  <si>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</si>
  <si>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</si>
  <si>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</si>
  <si>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</si>
  <si>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</si>
  <si>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</si>
  <si>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</si>
  <si>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</si>
  <si>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</si>
  <si>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</si>
  <si>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</si>
  <si>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</si>
  <si>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</si>
  <si>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</si>
  <si>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</si>
  <si>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</si>
  <si>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</si>
  <si>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</si>
  <si>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</si>
  <si>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</si>
  <si>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</si>
  <si>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</si>
  <si>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</si>
  <si>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</si>
  <si>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</si>
  <si>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</si>
  <si>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</si>
  <si>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</si>
  <si>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</si>
  <si>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</si>
  <si>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</si>
  <si>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</si>
  <si>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</si>
  <si>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</si>
  <si>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</si>
  <si>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</si>
  <si>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</si>
  <si>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</si>
  <si>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</si>
  <si>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</si>
  <si>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</si>
  <si>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</si>
  <si>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</si>
  <si>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</si>
  <si>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</si>
  <si>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</si>
  <si>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</si>
  <si>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</si>
  <si>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</si>
  <si>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</si>
  <si>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</si>
  <si>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</si>
  <si>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</si>
  <si>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</si>
  <si>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</si>
  <si>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</si>
  <si>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</si>
  <si>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</si>
  <si>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</si>
  <si>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</si>
  <si>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</si>
  <si>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</si>
  <si>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</si>
  <si>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</si>
  <si>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</si>
  <si>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</si>
  <si>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</si>
  <si>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</si>
  <si>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</si>
  <si>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</si>
  <si>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</si>
  <si>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</si>
  <si>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</si>
  <si>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</si>
  <si>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</si>
  <si>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</si>
  <si>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</si>
  <si>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</si>
  <si>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</si>
  <si>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</si>
  <si>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</si>
  <si>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</si>
  <si>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</si>
  <si>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</si>
  <si>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</si>
  <si>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</si>
  <si>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</si>
  <si>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</si>
  <si>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</si>
  <si>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</si>
  <si>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</si>
  <si>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</si>
  <si>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</si>
  <si>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</si>
  <si>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</si>
  <si>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</si>
  <si>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</si>
  <si>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</si>
  <si>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</si>
  <si>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</si>
  <si>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</si>
  <si>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</si>
  <si>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</si>
  <si>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</si>
  <si>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</si>
  <si>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</si>
  <si>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</si>
  <si>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</si>
  <si>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</si>
  <si>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</si>
  <si>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</si>
  <si>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</si>
  <si>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</si>
  <si>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</si>
  <si>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</si>
  <si>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</si>
  <si>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</si>
  <si>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</si>
  <si>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</si>
  <si>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</si>
  <si>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</si>
  <si>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</si>
  <si>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</si>
  <si>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</si>
  <si>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</si>
  <si>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</si>
  <si>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</si>
  <si>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</si>
  <si>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</si>
  <si>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</si>
  <si>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</si>
  <si>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</si>
  <si>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</si>
  <si>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</si>
  <si>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</si>
  <si>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</si>
  <si>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</si>
  <si>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</si>
  <si>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</si>
  <si>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</si>
  <si>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</si>
  <si>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</si>
  <si>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</si>
  <si>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</si>
  <si>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</si>
  <si>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</si>
  <si>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</si>
  <si>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</si>
  <si>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</si>
  <si>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</si>
  <si>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</si>
  <si>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</si>
  <si>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</si>
  <si>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</si>
  <si>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</si>
  <si>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</si>
  <si>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</si>
  <si>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</si>
  <si>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</si>
  <si>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</si>
  <si>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</si>
  <si>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</si>
  <si>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</si>
  <si>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</si>
  <si>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</si>
  <si>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</si>
  <si>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</si>
  <si>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</si>
  <si>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</si>
  <si>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</si>
  <si>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</si>
  <si>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</si>
  <si>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</si>
  <si>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</si>
  <si>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</si>
  <si>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</si>
  <si>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</si>
  <si>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</si>
  <si>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</si>
  <si>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</si>
  <si>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</si>
  <si>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</si>
  <si>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</si>
  <si>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</si>
  <si>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</si>
  <si>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</si>
  <si>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</si>
  <si>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</si>
  <si>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</si>
  <si>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</si>
  <si>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</si>
  <si>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</si>
  <si>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</si>
  <si>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</si>
  <si>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</si>
  <si>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</si>
  <si>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</si>
  <si>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</si>
  <si>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</si>
  <si>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</si>
  <si>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</si>
  <si>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</si>
  <si>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</si>
  <si>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</si>
  <si>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</si>
  <si>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</si>
  <si>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</si>
  <si>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</si>
  <si>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</si>
  <si>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</si>
  <si>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</si>
  <si>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</si>
  <si>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</si>
  <si>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</si>
  <si>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</si>
  <si>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</si>
  <si>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</si>
  <si>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</si>
  <si>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</si>
  <si>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</si>
  <si>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</si>
  <si>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</si>
  <si>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</si>
  <si>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</si>
  <si>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</si>
  <si>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</si>
  <si>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</si>
  <si>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</si>
  <si>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</si>
  <si>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</si>
  <si>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</si>
  <si>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</si>
  <si>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</si>
  <si>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</si>
  <si>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</si>
  <si>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</si>
  <si>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</si>
  <si>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</si>
  <si>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</si>
  <si>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</si>
  <si>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</si>
  <si>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</si>
  <si>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</si>
  <si>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</si>
  <si>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</si>
  <si>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</si>
  <si>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</si>
  <si>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</si>
  <si>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</si>
  <si>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</si>
  <si>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</si>
  <si>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</si>
  <si>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</si>
  <si>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</si>
  <si>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</si>
  <si>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</si>
  <si>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</si>
  <si>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</si>
  <si>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</si>
  <si>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</si>
  <si>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</si>
  <si>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</si>
  <si>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</si>
  <si>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</si>
  <si>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</si>
  <si>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</si>
  <si>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</si>
  <si>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</si>
  <si>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</si>
  <si>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</si>
  <si>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</si>
  <si>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</si>
  <si>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</si>
  <si>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</si>
  <si>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</si>
  <si>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</si>
  <si>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</si>
  <si>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</si>
  <si>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</si>
  <si>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</si>
  <si>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</si>
  <si>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</si>
  <si>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</si>
  <si>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</si>
  <si>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</si>
  <si>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</si>
  <si>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</si>
  <si>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</si>
  <si>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</si>
  <si>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</si>
  <si>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</si>
  <si>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</si>
  <si>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</si>
  <si>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</si>
  <si>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</si>
  <si>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</si>
  <si>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</si>
  <si>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</si>
  <si>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</si>
  <si>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</si>
  <si>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</si>
  <si>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</si>
  <si>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</si>
  <si>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</si>
  <si>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</si>
  <si>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</si>
  <si>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</si>
  <si>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</si>
  <si>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</si>
  <si>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</si>
  <si>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</si>
  <si>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</si>
  <si>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</si>
  <si>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</si>
  <si>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</si>
  <si>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</si>
  <si>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</si>
  <si>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</si>
  <si>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</si>
  <si>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</si>
  <si>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</si>
  <si>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</si>
  <si>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</si>
  <si>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</si>
  <si>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</si>
  <si>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</si>
  <si>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</si>
  <si>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</si>
  <si>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</si>
  <si>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</si>
  <si>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</si>
  <si>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</si>
  <si>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</si>
  <si>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</si>
  <si>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</si>
  <si>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</si>
  <si>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</si>
  <si>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</si>
  <si>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</si>
  <si>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</si>
  <si>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</si>
  <si>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</si>
  <si>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</si>
  <si>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</si>
  <si>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</si>
  <si>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</si>
  <si>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</si>
  <si>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</si>
  <si>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</si>
  <si>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</si>
  <si>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</si>
  <si>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</si>
  <si>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</si>
  <si>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</si>
  <si>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</si>
  <si>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</si>
  <si>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</si>
  <si>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</si>
  <si>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</si>
  <si>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</si>
  <si>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</si>
  <si>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</si>
  <si>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</si>
  <si>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</si>
  <si>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</si>
  <si>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</si>
  <si>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</si>
  <si>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</si>
  <si>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</si>
  <si>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</si>
  <si>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</si>
  <si>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</si>
  <si>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</si>
  <si>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</si>
  <si>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</si>
  <si>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</si>
  <si>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</si>
  <si>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</si>
  <si>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</si>
  <si>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</si>
  <si>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</si>
  <si>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</si>
  <si>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</si>
  <si>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</si>
  <si>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</si>
  <si>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</si>
  <si>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</si>
  <si>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</si>
  <si>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</si>
  <si>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</si>
  <si>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</si>
  <si>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</si>
  <si>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</si>
  <si>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</si>
  <si>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</si>
  <si>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</si>
  <si>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</si>
  <si>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</si>
  <si>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</si>
  <si>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</si>
  <si>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</si>
  <si>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</si>
  <si>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</si>
  <si>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</si>
  <si>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</si>
  <si>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</si>
  <si>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</si>
  <si>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</si>
  <si>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</si>
  <si>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</si>
  <si>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</si>
  <si>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</si>
  <si>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</si>
  <si>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</si>
  <si>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</si>
  <si>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</si>
  <si>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</si>
  <si>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</si>
  <si>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</si>
  <si>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</si>
  <si>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</si>
  <si>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</si>
  <si>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</si>
  <si>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</si>
  <si>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</si>
  <si>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</si>
  <si>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</si>
  <si>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</si>
  <si>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</si>
  <si>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</si>
  <si>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</si>
  <si>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</si>
  <si>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</si>
  <si>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</si>
  <si>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</si>
  <si>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</si>
  <si>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</si>
  <si>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</si>
  <si>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</si>
  <si>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</si>
  <si>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</si>
  <si>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</si>
  <si>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</si>
  <si>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</si>
  <si>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</si>
  <si>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</si>
  <si>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</si>
  <si>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</si>
  <si>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</si>
  <si>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</si>
  <si>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</si>
  <si>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</si>
  <si>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</si>
  <si>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</si>
  <si>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</si>
  <si>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</si>
  <si>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</si>
  <si>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</si>
  <si>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</si>
  <si>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</si>
  <si>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</si>
  <si>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</si>
  <si>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</si>
  <si>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</si>
  <si>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</si>
  <si>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</si>
  <si>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</si>
  <si>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</si>
  <si>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</si>
  <si>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</si>
  <si>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</si>
  <si>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</si>
  <si>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</si>
  <si>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</si>
  <si>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</si>
  <si>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</si>
  <si>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</si>
  <si>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</si>
  <si>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</si>
  <si>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</si>
  <si>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</si>
  <si>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</si>
  <si>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</si>
  <si>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</si>
  <si>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</si>
  <si>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</si>
  <si>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</si>
  <si>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</si>
  <si>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</si>
  <si>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</si>
  <si>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</si>
  <si>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</si>
  <si>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</si>
  <si>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</si>
  <si>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</si>
  <si>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</si>
  <si>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</si>
  <si>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</si>
  <si>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</si>
  <si>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</si>
  <si>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</si>
  <si>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</si>
  <si>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</si>
  <si>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</si>
  <si>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</si>
  <si>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</si>
  <si>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</si>
  <si>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</si>
  <si>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</si>
  <si>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</si>
  <si>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</si>
  <si>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</si>
  <si>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</si>
  <si>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</si>
  <si>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</si>
  <si>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</si>
  <si>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</si>
  <si>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</si>
  <si>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</si>
  <si>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</si>
  <si>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</si>
  <si>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</si>
  <si>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</si>
  <si>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</si>
  <si>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</si>
  <si>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</si>
  <si>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</si>
  <si>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</si>
  <si>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</si>
  <si>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</si>
  <si>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</si>
  <si>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</si>
  <si>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</si>
  <si>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</si>
  <si>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</si>
  <si>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</si>
  <si>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</si>
  <si>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</si>
  <si>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</si>
  <si>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</si>
  <si>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</si>
  <si>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</si>
  <si>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</si>
  <si>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</si>
  <si>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</si>
  <si>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</si>
  <si>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</si>
  <si>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</si>
  <si>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</si>
  <si>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</si>
  <si>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</si>
  <si>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</si>
  <si>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</si>
  <si>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</si>
  <si>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</si>
  <si>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</si>
  <si>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</si>
  <si>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</si>
  <si>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</si>
  <si>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</si>
  <si>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</si>
  <si>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</si>
  <si>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</si>
  <si>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</si>
  <si>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</si>
  <si>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</si>
  <si>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</si>
  <si>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</si>
  <si>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</si>
  <si>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</si>
  <si>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</si>
  <si>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</si>
  <si>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</si>
  <si>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</si>
  <si>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</si>
  <si>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</si>
  <si>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</si>
  <si>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</si>
  <si>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</si>
  <si>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</si>
  <si>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</si>
  <si>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</si>
  <si>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</si>
  <si>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</si>
  <si>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</si>
  <si>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</si>
  <si>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</si>
  <si>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</si>
  <si>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</si>
  <si>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</si>
  <si>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</si>
  <si>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</si>
  <si>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</si>
  <si>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</si>
  <si>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</si>
  <si>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</si>
  <si>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</si>
  <si>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</si>
  <si>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</si>
  <si>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</si>
  <si>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</si>
  <si>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</si>
  <si>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</si>
  <si>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</si>
  <si>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</si>
  <si>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</si>
  <si>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</si>
  <si>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</si>
  <si>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</si>
  <si>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</si>
  <si>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</si>
  <si>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</si>
  <si>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</si>
  <si>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</si>
  <si>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</si>
  <si>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</si>
  <si>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</si>
  <si>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</si>
  <si>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</si>
  <si>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</si>
  <si>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</si>
  <si>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</si>
  <si>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</si>
  <si>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</si>
  <si>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</si>
  <si>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</si>
  <si>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</si>
  <si>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</si>
  <si>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</si>
  <si>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</si>
  <si>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</si>
  <si>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</si>
  <si>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</si>
  <si>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</si>
  <si>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</si>
  <si>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</si>
  <si>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</si>
  <si>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</si>
  <si>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</si>
  <si>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</si>
  <si>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</si>
  <si>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</si>
  <si>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</si>
  <si>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</si>
  <si>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</si>
  <si>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</si>
  <si>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</si>
  <si>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</si>
  <si>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</si>
  <si>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</si>
  <si>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</si>
  <si>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</si>
  <si>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</si>
  <si>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</si>
  <si>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</si>
  <si>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</si>
  <si>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</si>
  <si>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</si>
  <si>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</si>
  <si>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</si>
  <si>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</si>
  <si>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</si>
  <si>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</si>
  <si>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</si>
  <si>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</si>
  <si>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</si>
  <si>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</si>
  <si>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</si>
  <si>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</si>
  <si>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</si>
  <si>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</si>
  <si>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</si>
  <si>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</si>
  <si>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</si>
  <si>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</si>
  <si>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</si>
  <si>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</si>
  <si>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</si>
  <si>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</si>
  <si>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</si>
  <si>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</si>
  <si>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</si>
  <si>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</si>
  <si>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</si>
  <si>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</si>
  <si>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</si>
  <si>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</si>
  <si>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</si>
  <si>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</si>
  <si>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</si>
  <si>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</si>
  <si>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</si>
  <si>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</si>
  <si>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</si>
  <si>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</si>
  <si>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</si>
  <si>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</si>
  <si>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</si>
  <si>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</si>
  <si>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</si>
  <si>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</si>
  <si>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</si>
  <si>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</si>
  <si>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</si>
  <si>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</si>
  <si>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</si>
  <si>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</si>
  <si>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</si>
  <si>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</si>
  <si>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</si>
  <si>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</si>
  <si>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</si>
  <si>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</si>
  <si>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</si>
  <si>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</si>
  <si>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</si>
  <si>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</si>
  <si>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</si>
  <si>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</si>
  <si>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</si>
  <si>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</si>
  <si>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</si>
  <si>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</si>
  <si>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</si>
  <si>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</si>
  <si>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</si>
  <si>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</si>
  <si>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</si>
  <si>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</si>
  <si>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</si>
  <si>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</si>
  <si>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</si>
  <si>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</si>
  <si>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</si>
  <si>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</si>
  <si>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</si>
  <si>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</si>
  <si>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</si>
  <si>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</si>
  <si>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</si>
  <si>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</si>
  <si>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</si>
  <si>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</si>
  <si>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</si>
  <si>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</si>
  <si>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</si>
  <si>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</si>
  <si>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</si>
  <si>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</si>
  <si>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</si>
  <si>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</si>
  <si>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</si>
  <si>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</si>
  <si>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</si>
  <si>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</si>
  <si>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</si>
  <si>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</si>
  <si>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</si>
  <si>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</si>
  <si>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</si>
  <si>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</si>
  <si>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</si>
  <si>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</si>
  <si>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</si>
  <si>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</si>
  <si>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</si>
  <si>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</si>
  <si>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</si>
  <si>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</si>
  <si>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</si>
  <si>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</si>
  <si>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</si>
  <si>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</si>
  <si>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</si>
  <si>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</si>
  <si>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</si>
  <si>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</si>
  <si>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</si>
  <si>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</si>
  <si>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</si>
  <si>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</si>
  <si>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</si>
  <si>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</si>
  <si>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</si>
  <si>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</si>
  <si>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</si>
  <si>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</si>
  <si>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</si>
  <si>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</si>
  <si>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</si>
  <si>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</si>
  <si>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</si>
  <si>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</si>
  <si>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</si>
  <si>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</si>
  <si>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</si>
  <si>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</si>
  <si>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</si>
  <si>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</si>
  <si>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</si>
  <si>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</si>
  <si>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</si>
  <si>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</si>
  <si>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</si>
  <si>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</si>
  <si>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</si>
  <si>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</si>
  <si>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</si>
  <si>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</si>
  <si>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</si>
  <si>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</si>
  <si>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</si>
  <si>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</si>
  <si>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</si>
  <si>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</si>
  <si>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</si>
  <si>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</si>
  <si>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</si>
  <si>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</si>
  <si>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</si>
  <si>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</si>
  <si>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</si>
  <si>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</si>
  <si>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</si>
  <si>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</si>
  <si>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</si>
  <si>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</si>
  <si>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</si>
  <si>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</si>
  <si>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</si>
  <si>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</si>
  <si>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</si>
  <si>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</si>
  <si>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</si>
  <si>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</si>
  <si>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</si>
  <si>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</si>
  <si>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</si>
  <si>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</si>
  <si>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</si>
  <si>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</si>
  <si>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</si>
  <si>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</si>
  <si>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</si>
  <si>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</si>
  <si>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</si>
  <si>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</si>
  <si>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</si>
  <si>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</si>
  <si>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</si>
  <si>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</si>
  <si>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</si>
  <si>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</si>
  <si>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</si>
  <si>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</si>
  <si>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</si>
  <si>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</si>
  <si>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</si>
  <si>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</si>
  <si>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</si>
  <si>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</si>
  <si>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</si>
  <si>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</si>
  <si>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</si>
  <si>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</si>
  <si>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</si>
  <si>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</si>
  <si>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</si>
  <si>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</si>
  <si>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</si>
  <si>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</si>
  <si>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</si>
  <si>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</si>
  <si>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</si>
  <si>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</si>
  <si>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</si>
  <si>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</si>
  <si>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</si>
  <si>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</si>
  <si>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</si>
  <si>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</si>
  <si>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</si>
  <si>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</si>
  <si>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</si>
  <si>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</si>
  <si>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</si>
  <si>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</si>
  <si>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</si>
  <si>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</si>
  <si>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</si>
  <si>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</si>
  <si>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</si>
  <si>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</si>
  <si>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</si>
  <si>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</si>
  <si>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</si>
  <si>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</si>
  <si>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</si>
  <si>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</si>
  <si>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</si>
  <si>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</si>
  <si>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</si>
  <si>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</si>
  <si>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</si>
  <si>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</si>
  <si>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</si>
  <si>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</si>
  <si>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</si>
  <si>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</si>
  <si>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</si>
  <si>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</si>
  <si>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</si>
  <si>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</si>
  <si>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</si>
  <si>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</si>
  <si>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</si>
  <si>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</si>
  <si>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</si>
  <si>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</si>
  <si>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</si>
  <si>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</si>
  <si>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</si>
  <si>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</si>
  <si>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</si>
  <si>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</si>
  <si>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</si>
  <si>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</si>
  <si>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</si>
  <si>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</si>
  <si>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</si>
  <si>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</si>
  <si>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</si>
  <si>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</si>
  <si>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</si>
  <si>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</si>
  <si>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</si>
  <si>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</si>
  <si>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</si>
  <si>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</si>
  <si>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</si>
  <si>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</si>
  <si>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</si>
  <si>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</si>
  <si>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</si>
  <si>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</si>
  <si>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</si>
  <si>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</si>
  <si>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</si>
  <si>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</si>
  <si>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</si>
  <si>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</si>
  <si>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</si>
  <si>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</si>
  <si>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</si>
  <si>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</si>
  <si>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</si>
  <si>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</si>
  <si>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</si>
  <si>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</si>
  <si>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</si>
  <si>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</si>
  <si>
    <t>Tên đề tài</t>
  </si>
  <si>
    <t>Link bài</t>
  </si>
  <si>
    <t>Link Turnitin</t>
  </si>
  <si>
    <t>Ngôn ngữ KLTN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</si>
</sst>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yy"/>
    <numFmt numFmtId="166" formatCode="_-* #,##0\ _₫_-;\-* #,##0\ _₫_-;_-* &quot;-&quot;??\ _₫_-;_-@"/>
    <numFmt numFmtId="167" formatCode="m/d/yyyy\ h:mm:ss"/>
  </numFmts>
  <fonts count="17" x14ac:knownFonts="1">
    <font>
      <sz val="10"/>
      <color rgb="FF000000"/>
      <name val="Arial"/>
      <scheme val="minor"/>
    </font>
    <font>
      <b/>
      <sz val="13"/>
      <color rgb="FF000000"/>
      <name val="Times New Roman"/>
      <family val="1"/>
    </font>
    <font>
      <sz val="13"/>
      <color rgb="FF000000"/>
      <name val="Times New Roman"/>
      <family val="1"/>
    </font>
    <font>
      <sz val="13"/>
      <color theme="1"/>
      <name val="Times New Roman"/>
      <family val="1"/>
    </font>
    <font>
      <sz val="10"/>
      <color rgb="FF000000"/>
      <name val="Arial"/>
      <family val="2"/>
    </font>
    <font>
      <sz val="11"/>
      <color rgb="FF000000"/>
      <name val="Calibri"/>
      <family val="2"/>
    </font>
    <font>
      <sz val="10"/>
      <color theme="1"/>
      <name val="Arial"/>
      <family val="2"/>
      <scheme val="minor"/>
    </font>
    <font>
      <b/>
      <i/>
      <sz val="13"/>
      <color rgb="FF000000"/>
      <name val="Times New Roman"/>
      <family val="1"/>
    </font>
    <font>
      <sz val="10"/>
      <name val="Arial"/>
      <family val="2"/>
    </font>
    <font>
      <i/>
      <sz val="13"/>
      <color rgb="FF000000"/>
      <name val="Times New Roman"/>
      <family val="1"/>
    </font>
    <font>
      <b/>
      <i/>
      <sz val="13"/>
      <color theme="1"/>
      <name val="Times New Roman"/>
      <family val="1"/>
    </font>
    <font>
      <sz val="10"/>
      <color rgb="FF000000"/>
      <name val="Arial"/>
      <family val="2"/>
    </font>
    <font>
      <u/>
      <sz val="10"/>
      <color rgb="FF0000FF"/>
      <name val="Roboto"/>
    </font>
    <font>
      <u/>
      <sz val="10"/>
      <color rgb="FF0000FF"/>
      <name val="Roboto"/>
    </font>
    <font>
      <sz val="10"/>
      <color rgb="FF9C0006"/>
      <name val="Arial"/>
      <family val="2"/>
    </font>
    <font>
      <u/>
      <sz val="10"/>
      <color rgb="FF0000FF"/>
      <name val="Roboto"/>
    </font>
    <font>
      <u/>
      <sz val="10"/>
      <color rgb="FF1155CC"/>
      <name val="Roboto"/>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
      <left style="thin">
        <color rgb="FF000000"/>
      </left>
      <right style="thin">
        <color rgb="FF000000"/>
      </right>
      <top/>
      <bottom/>
      <diagonal/>
    </border>
  </borders>
  <cellStyleXfs count="1">
    <xf numFmtId="0" fontId="0" fillId="0" borderId="0"/>
  </cellStyleXfs>
  <cellXfs count="74">
    <xf numFmtId="0" fontId="0" fillId="0" borderId="0" xfId="0"/>
    <xf numFmtId="0" fontId="2" fillId="0" borderId="0" xfId="0" applyFont="1"/>
    <xf numFmtId="0" fontId="3" fillId="0" borderId="1" xfId="0" applyFont="1" applyBorder="1" applyAlignment="1">
      <alignment vertical="center" wrapText="1"/>
    </xf>
    <xf numFmtId="0" fontId="5" fillId="0" borderId="1" xfId="0" applyFont="1" applyBorder="1" applyAlignment="1">
      <alignment horizontal="left"/>
    </xf>
    <xf numFmtId="165" fontId="5" fillId="0" borderId="1" xfId="0" applyNumberFormat="1" applyFont="1" applyBorder="1" applyAlignment="1">
      <alignment horizontal="left"/>
    </xf>
    <xf numFmtId="14" fontId="5" fillId="0" borderId="1" xfId="0" applyNumberFormat="1" applyFont="1" applyBorder="1" applyAlignment="1">
      <alignment horizontal="left"/>
    </xf>
    <xf numFmtId="0" fontId="5" fillId="0" borderId="1" xfId="0" applyFont="1" applyBorder="1"/>
    <xf numFmtId="0" fontId="6" fillId="0" borderId="0" xfId="0" applyFont="1"/>
    <xf numFmtId="0" fontId="2" fillId="0" borderId="1" xfId="0" applyFont="1" applyBorder="1"/>
    <xf numFmtId="0" fontId="1" fillId="0" borderId="1" xfId="0" applyFont="1" applyBorder="1" applyAlignment="1">
      <alignment horizontal="center"/>
    </xf>
    <xf numFmtId="0" fontId="1" fillId="0" borderId="1" xfId="0" applyFont="1" applyBorder="1"/>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9" fillId="0" borderId="10" xfId="0" applyFont="1" applyBorder="1" applyAlignment="1">
      <alignment horizontal="center"/>
    </xf>
    <xf numFmtId="166" fontId="9" fillId="0" borderId="1" xfId="0" applyNumberFormat="1" applyFont="1" applyBorder="1"/>
    <xf numFmtId="166" fontId="9" fillId="0" borderId="5" xfId="0" applyNumberFormat="1" applyFont="1" applyBorder="1"/>
    <xf numFmtId="0" fontId="7" fillId="0" borderId="1" xfId="0" applyFont="1" applyBorder="1" applyAlignment="1">
      <alignment horizontal="right"/>
    </xf>
    <xf numFmtId="0" fontId="10" fillId="0" borderId="6" xfId="0" applyFont="1" applyBorder="1" applyAlignment="1">
      <alignment horizontal="center"/>
    </xf>
    <xf numFmtId="0" fontId="10" fillId="0" borderId="7" xfId="0" applyFont="1" applyBorder="1" applyAlignment="1">
      <alignment horizontal="center"/>
    </xf>
    <xf numFmtId="164" fontId="10" fillId="0" borderId="8" xfId="0" applyNumberFormat="1" applyFont="1" applyBorder="1" applyAlignment="1">
      <alignment horizontal="center"/>
    </xf>
    <xf numFmtId="0" fontId="10" fillId="0" borderId="8" xfId="0" applyFont="1" applyBorder="1" applyAlignment="1">
      <alignment horizontal="center"/>
    </xf>
    <xf numFmtId="0" fontId="9" fillId="0" borderId="1" xfId="0" applyFont="1" applyBorder="1"/>
    <xf numFmtId="0" fontId="9" fillId="0" borderId="5" xfId="0" applyFont="1" applyBorder="1"/>
    <xf numFmtId="0" fontId="3" fillId="0" borderId="6" xfId="0" applyFont="1" applyBorder="1"/>
    <xf numFmtId="0" fontId="3" fillId="0" borderId="8" xfId="0" applyFont="1" applyBorder="1"/>
    <xf numFmtId="0" fontId="3" fillId="0" borderId="9" xfId="0" applyFont="1" applyBorder="1"/>
    <xf numFmtId="0" fontId="3" fillId="0" borderId="10" xfId="0" applyFont="1" applyBorder="1"/>
    <xf numFmtId="0" fontId="3" fillId="0" borderId="7" xfId="0" applyFont="1" applyBorder="1"/>
    <xf numFmtId="166" fontId="2" fillId="0" borderId="1" xfId="0" applyNumberFormat="1" applyFont="1" applyBorder="1"/>
    <xf numFmtId="166" fontId="7" fillId="0" borderId="1" xfId="0" applyNumberFormat="1" applyFont="1" applyBorder="1" applyAlignment="1">
      <alignment horizontal="left"/>
    </xf>
    <xf numFmtId="0" fontId="3" fillId="0" borderId="1" xfId="0" applyFont="1" applyBorder="1"/>
    <xf numFmtId="0" fontId="7" fillId="0" borderId="0" xfId="0" applyFont="1"/>
    <xf numFmtId="166" fontId="7" fillId="0" borderId="0" xfId="0" applyNumberFormat="1" applyFont="1"/>
    <xf numFmtId="0" fontId="3" fillId="0" borderId="0" xfId="0" applyFont="1" applyAlignment="1">
      <alignment vertical="center" wrapText="1"/>
    </xf>
    <xf numFmtId="0" fontId="11" fillId="2" borderId="12" xfId="0" applyFont="1" applyFill="1" applyBorder="1" applyAlignment="1">
      <alignment horizontal="left"/>
    </xf>
    <xf numFmtId="0" fontId="11" fillId="2" borderId="13" xfId="0" applyFont="1" applyFill="1" applyBorder="1" applyAlignment="1">
      <alignment horizontal="left"/>
    </xf>
    <xf numFmtId="0" fontId="11" fillId="2" borderId="14" xfId="0" applyFont="1" applyFill="1" applyBorder="1" applyAlignment="1">
      <alignment horizontal="left"/>
    </xf>
    <xf numFmtId="167" fontId="11" fillId="3" borderId="15" xfId="0" applyNumberFormat="1" applyFont="1" applyFill="1" applyBorder="1" applyAlignment="1">
      <alignment horizontal="right"/>
    </xf>
    <xf numFmtId="0" fontId="11" fillId="3" borderId="0" xfId="0" applyFont="1" applyFill="1" applyAlignment="1">
      <alignment horizontal="left"/>
    </xf>
    <xf numFmtId="0" fontId="12" fillId="0" borderId="0" xfId="0" applyFont="1" applyAlignment="1">
      <alignment horizontal="left"/>
    </xf>
    <xf numFmtId="0" fontId="11" fillId="3" borderId="0" xfId="0" applyFont="1" applyFill="1"/>
    <xf numFmtId="0" fontId="11" fillId="3" borderId="16" xfId="0" applyFont="1" applyFill="1" applyBorder="1"/>
    <xf numFmtId="167" fontId="11" fillId="4" borderId="15" xfId="0" applyNumberFormat="1" applyFont="1" applyFill="1" applyBorder="1" applyAlignment="1">
      <alignment horizontal="right"/>
    </xf>
    <xf numFmtId="0" fontId="11" fillId="4" borderId="0" xfId="0" applyFont="1" applyFill="1" applyAlignment="1">
      <alignment horizontal="left"/>
    </xf>
    <xf numFmtId="0" fontId="11" fillId="4" borderId="0" xfId="0" applyFont="1" applyFill="1"/>
    <xf numFmtId="0" fontId="11" fillId="4" borderId="16" xfId="0" applyFont="1" applyFill="1" applyBorder="1"/>
    <xf numFmtId="0" fontId="11" fillId="4" borderId="0" xfId="0" applyFont="1" applyFill="1" applyAlignment="1">
      <alignment horizontal="right"/>
    </xf>
    <xf numFmtId="0" fontId="13" fillId="0" borderId="16" xfId="0" applyFont="1" applyBorder="1" applyAlignment="1">
      <alignment horizontal="left"/>
    </xf>
    <xf numFmtId="0" fontId="14" fillId="5" borderId="0" xfId="0" applyFont="1" applyFill="1" applyAlignment="1">
      <alignment horizontal="left"/>
    </xf>
    <xf numFmtId="0" fontId="11" fillId="3" borderId="0" xfId="0" applyFont="1" applyFill="1" applyAlignment="1">
      <alignment horizontal="right"/>
    </xf>
    <xf numFmtId="167" fontId="11" fillId="4" borderId="17" xfId="0" applyNumberFormat="1" applyFont="1" applyFill="1" applyBorder="1" applyAlignment="1">
      <alignment horizontal="right"/>
    </xf>
    <xf numFmtId="0" fontId="11" fillId="4" borderId="18" xfId="0" applyFont="1" applyFill="1" applyBorder="1" applyAlignment="1">
      <alignment horizontal="left"/>
    </xf>
    <xf numFmtId="0" fontId="11" fillId="4" borderId="18" xfId="0" applyFont="1" applyFill="1" applyBorder="1"/>
    <xf numFmtId="0" fontId="15" fillId="0" borderId="18" xfId="0" applyFont="1" applyBorder="1" applyAlignment="1">
      <alignment horizontal="left"/>
    </xf>
    <xf numFmtId="0" fontId="4" fillId="0" borderId="0" xfId="0" applyFont="1" applyAlignment="1">
      <alignment wrapText="1"/>
    </xf>
    <xf numFmtId="0" fontId="1" fillId="0" borderId="1" xfId="0" applyFont="1" applyBorder="1" applyAlignment="1">
      <alignment horizontal="center" wrapText="1"/>
    </xf>
    <xf numFmtId="0" fontId="2" fillId="0" borderId="1" xfId="0" applyFont="1" applyBorder="1" applyAlignment="1">
      <alignment horizontal="left"/>
    </xf>
    <xf numFmtId="0" fontId="2" fillId="0" borderId="1" xfId="0" applyFont="1" applyBorder="1" applyAlignment="1">
      <alignment horizontal="left" vertical="center"/>
    </xf>
    <xf numFmtId="0" fontId="3" fillId="0" borderId="1" xfId="0" applyFont="1" applyBorder="1" applyAlignment="1">
      <alignment horizontal="left"/>
    </xf>
    <xf numFmtId="0" fontId="1" fillId="0" borderId="19" xfId="0" applyFont="1" applyBorder="1" applyAlignment="1">
      <alignment horizontal="center" wrapText="1"/>
    </xf>
    <xf numFmtId="0" fontId="1" fillId="0" borderId="5" xfId="0" applyFont="1" applyBorder="1" applyAlignment="1">
      <alignment horizontal="center" wrapText="1"/>
    </xf>
    <xf numFmtId="0" fontId="8" fillId="0" borderId="11" xfId="0" applyFont="1" applyBorder="1"/>
    <xf numFmtId="0" fontId="7" fillId="0" borderId="4" xfId="0" applyFont="1" applyBorder="1" applyAlignment="1">
      <alignment horizontal="center"/>
    </xf>
    <xf numFmtId="0" fontId="8" fillId="0" borderId="3" xfId="0" applyFont="1" applyBorder="1"/>
    <xf numFmtId="0" fontId="8" fillId="0" borderId="2" xfId="0" applyFont="1" applyBorder="1"/>
    <xf numFmtId="0" fontId="11" fillId="4" borderId="0" xfId="0" applyFont="1" applyFill="1" applyAlignment="1">
      <alignment horizontal="left"/>
    </xf>
    <xf numFmtId="0" fontId="0" fillId="0" borderId="0" xfId="0"/>
    <xf numFmtId="0" fontId="12" fillId="0" borderId="0" xfId="0" applyFont="1" applyAlignment="1">
      <alignment horizontal="left"/>
    </xf>
    <xf numFmtId="0" fontId="11" fillId="3" borderId="0" xfId="0" applyFont="1" applyFill="1" applyAlignment="1">
      <alignment horizontal="left"/>
    </xf>
    <xf numFmtId="0" fontId="11" fillId="4" borderId="18" xfId="0" applyFont="1" applyFill="1" applyBorder="1" applyAlignment="1">
      <alignment horizontal="left"/>
    </xf>
    <xf numFmtId="0" fontId="8" fillId="0" borderId="18" xfId="0" applyFont="1" applyBorder="1"/>
    <xf numFmtId="0" fontId="15" fillId="0" borderId="18"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q\Desktop\KLTN_Project\M&#7851;u%20Ph&#226;n%20c&#244;ng%20GVHD%20BCTT%20-%20KLTN%202025%20-%202026%20Final.xlsx" TargetMode="External"/><Relationship Id="rId1" Type="http://schemas.openxmlformats.org/officeDocument/2006/relationships/externalLinkPath" Target="M&#7851;u%20Ph&#226;n%20c&#244;ng%20GVHD%20BCTT%20-%20KLTN%202025%20-%202026%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hân công"/>
      <sheetName val="Sheet5"/>
      <sheetName val="Số bài mỗi hội đồng"/>
      <sheetName val="Thù lao"/>
      <sheetName val="Bài nộp"/>
      <sheetName val="Sheet1"/>
    </sheetNames>
    <sheetDataSet>
      <sheetData sheetId="0">
        <row r="2">
          <cell r="B2" t="str">
            <v>K224141715</v>
          </cell>
          <cell r="C2" t="str">
            <v>Phạm Thụy Phương Dung</v>
          </cell>
          <cell r="D2" t="str">
            <v>K22414C</v>
          </cell>
          <cell r="E2" t="str">
            <v>X</v>
          </cell>
          <cell r="F2" t="str">
            <v>X</v>
          </cell>
          <cell r="H2" t="str">
            <v>MACHINE LEARNING-BASED EARLY WARNING SYSTEM OF FINANCIAL BUBBLES: EVIDENCE FROM VN-INDEX AND HNX-INDEX</v>
          </cell>
          <cell r="I2" t="str">
            <v>Tiếng Anh</v>
          </cell>
          <cell r="J2" t="str">
            <v>Tiếng Anh</v>
          </cell>
          <cell r="K2" t="str">
            <v>https://drive.google.com/open?id=1roGwRX1qQWVB3DYsV7C8leHhhPo-3mOn</v>
          </cell>
        </row>
        <row r="3">
          <cell r="B3" t="str">
            <v>K224141738</v>
          </cell>
          <cell r="C3" t="str">
            <v>Vũ Ngọc Thuỷ Tiên</v>
          </cell>
          <cell r="D3" t="str">
            <v>K22414C</v>
          </cell>
          <cell r="E3" t="str">
            <v>X</v>
          </cell>
          <cell r="F3" t="str">
            <v>X</v>
          </cell>
          <cell r="H3" t="str">
            <v>ỨNG DỤNG MACHINE LEARNING ĐỂ PHÁT HIỆN RỦI RO SAI LỆCH TRONG BÁO CÁO TÀI CHÍNH CỦA CÁC CÔNG TY ĐƯỢC NIÊM YẾT TRÊN SÀN GIAO DỊCH CHỨNG KHOÁN</v>
          </cell>
          <cell r="I3" t="str">
            <v>Tiếng Anh</v>
          </cell>
          <cell r="J3" t="str">
            <v>Tiếng Việt</v>
          </cell>
          <cell r="K3" t="str">
            <v>KLTN_K224141738_Vũ Ngọc Thuỷ Tiên.pdf</v>
          </cell>
        </row>
        <row r="4">
          <cell r="B4" t="str">
            <v>K224141652</v>
          </cell>
          <cell r="C4" t="str">
            <v>Lê Phúc Chí</v>
          </cell>
          <cell r="D4" t="str">
            <v>K22414</v>
          </cell>
          <cell r="E4" t="str">
            <v>X</v>
          </cell>
          <cell r="F4" t="str">
            <v>X</v>
          </cell>
          <cell r="H4" t="str">
            <v>ỨNG DỤNG MÔ HÌNH HỌC SÂU VÀ HỆ THỐNG TRUY XUẤT THÔNG TIN ĐA CHỈ MỤC TRONG TƯ VẤN ĐẦU TƯ</v>
          </cell>
          <cell r="I4" t="str">
            <v>Tiếng Việt</v>
          </cell>
          <cell r="J4" t="str">
            <v>Tiếng Việt</v>
          </cell>
          <cell r="K4" t="str">
            <v>https://drive.google.com/open?id=1jc7fXPv1wf52g4ApMQpNbwU67t9CZQbi</v>
          </cell>
        </row>
        <row r="5">
          <cell r="B5" t="str">
            <v>K224141654</v>
          </cell>
          <cell r="C5" t="str">
            <v>Đào Mỹ Duyên</v>
          </cell>
          <cell r="D5" t="str">
            <v>K22414</v>
          </cell>
          <cell r="E5" t="str">
            <v>X</v>
          </cell>
          <cell r="F5" t="str">
            <v>X</v>
          </cell>
          <cell r="H5" t="str">
            <v>XÂY DỰNG KHUNG THEO DÕI TRẠNG THÁI TÀI CHÍNH CỦA CÁC DOANH NGHIỆP PHI TÀI CHÍNH NIÊM YẾT TRÊN SỞ GIAO DỊCH CHỨNG KHOÁN THÀNH PHỐ HỒ CHÍ MINH TRONG GIAI ĐOẠN 2020-2024</v>
          </cell>
          <cell r="I5" t="str">
            <v>Tiếng Anh</v>
          </cell>
          <cell r="J5" t="str">
            <v>Tiếng Việt</v>
          </cell>
          <cell r="K5" t="str">
            <v>https://drive.google.com/open?id=1l93mWrG5nsk37PxUH--elC6lb_9Jb_h1</v>
          </cell>
        </row>
        <row r="6">
          <cell r="B6" t="str">
            <v>K224141658</v>
          </cell>
          <cell r="C6" t="str">
            <v>Đào Ngọc Hà</v>
          </cell>
          <cell r="D6" t="str">
            <v>K22414</v>
          </cell>
          <cell r="E6" t="str">
            <v>X</v>
          </cell>
          <cell r="F6" t="str">
            <v>X</v>
          </cell>
          <cell r="H6" t="str">
            <v>ỨNG DỤNG HỌC MÁY TRONG DỰ BÁO RỦI RO QUẢN TRỊ LỢI NHUẬN VÀ TÁC ĐỘNG ĐẾN TỶ SUẤT SINH LỜI CỔ PHIẾU: BẰNG CHỨNG THỰC NGHIỆM TẠI VIỆT NAM</v>
          </cell>
          <cell r="I6" t="str">
            <v>Tiếng Việt</v>
          </cell>
          <cell r="J6" t="str">
            <v>Tiếng Việt</v>
          </cell>
          <cell r="K6" t="str">
            <v>https://drive.google.com/open?id=1153IDWCNz6trk9W6EzfQ2m3DdjqONwc1</v>
          </cell>
        </row>
        <row r="7">
          <cell r="B7" t="str">
            <v>K224040570</v>
          </cell>
          <cell r="C7" t="str">
            <v>Nguyễn Yến Linh</v>
          </cell>
          <cell r="D7" t="str">
            <v>K22404C</v>
          </cell>
          <cell r="F7" t="str">
            <v>X</v>
          </cell>
          <cell r="G7" t="str">
            <v>X</v>
          </cell>
          <cell r="H7" t="str">
            <v/>
          </cell>
          <cell r="I7" t="str">
            <v>Tiếng Anh</v>
          </cell>
        </row>
        <row r="8">
          <cell r="B8" t="str">
            <v>K224040583</v>
          </cell>
          <cell r="C8" t="str">
            <v>Tô Như Quỳnh</v>
          </cell>
          <cell r="D8" t="str">
            <v>K22404C</v>
          </cell>
          <cell r="F8" t="str">
            <v>X</v>
          </cell>
          <cell r="G8" t="str">
            <v>X</v>
          </cell>
          <cell r="H8" t="str">
            <v/>
          </cell>
          <cell r="I8" t="str">
            <v>Tiếng Việt</v>
          </cell>
        </row>
        <row r="9">
          <cell r="B9" t="str">
            <v>K224040584</v>
          </cell>
          <cell r="C9" t="str">
            <v>Trần Ngọc Lan Thanh</v>
          </cell>
          <cell r="D9" t="str">
            <v>K22404C</v>
          </cell>
          <cell r="F9" t="str">
            <v>X</v>
          </cell>
          <cell r="G9" t="str">
            <v>X</v>
          </cell>
          <cell r="H9" t="str">
            <v/>
          </cell>
          <cell r="I9" t="str">
            <v>Tiếng Anh</v>
          </cell>
        </row>
        <row r="10">
          <cell r="B10" t="str">
            <v>K224040585</v>
          </cell>
          <cell r="C10" t="str">
            <v>Ngô Nguyễn Quỳnh Thơ</v>
          </cell>
          <cell r="D10" t="str">
            <v>K22404C</v>
          </cell>
          <cell r="F10" t="str">
            <v>X</v>
          </cell>
          <cell r="G10" t="str">
            <v>X</v>
          </cell>
          <cell r="H10" t="str">
            <v/>
          </cell>
          <cell r="I10" t="str">
            <v>Tiếng Anh</v>
          </cell>
        </row>
        <row r="11">
          <cell r="B11" t="str">
            <v>K224141659</v>
          </cell>
          <cell r="C11" t="str">
            <v>Mai Thị Thanh Hà</v>
          </cell>
          <cell r="D11" t="str">
            <v>K22414</v>
          </cell>
          <cell r="E11" t="str">
            <v>X</v>
          </cell>
          <cell r="F11" t="str">
            <v>X</v>
          </cell>
          <cell r="H11" t="str">
            <v>DỰ BÁO KHẢ NĂNG ĐẠT HIỆU QUẢ SỬ DỤNG TÀI SẢN TRÊN MỨC TRUNG VỊ NGÀNH CỦA CÁC DOANH NGHIỆP BẤT ĐỘNG SẢN NIÊM YẾT TẠI VIỆT NAM - SỬ DỤNG MÔ HÌNH HỌC MÁY</v>
          </cell>
          <cell r="I11" t="str">
            <v>Tiếng Việt</v>
          </cell>
          <cell r="J11" t="str">
            <v>Tiếng Việt</v>
          </cell>
          <cell r="K11" t="str">
            <v>https://drive.google.com/open?id=1bm7GSIXpzAZpqC1ATkUbutqdzq8eJory</v>
          </cell>
        </row>
        <row r="12">
          <cell r="B12" t="str">
            <v>K224141667</v>
          </cell>
          <cell r="C12" t="str">
            <v>Lê Thị Hương</v>
          </cell>
          <cell r="D12" t="str">
            <v>K22414</v>
          </cell>
          <cell r="E12" t="str">
            <v>X</v>
          </cell>
          <cell r="H12" t="str">
            <v>ỨNG DỤNG MÔ HÌNH ARIMA  VÀ HỌC SÂU TRONG DỰ BÁO HỆ SỐ PRICE-TO-EARNINGS NGÀNH HÀNG TIÊU DÙNG TRÊN THỊ TRƯỜNG  CHỨNG KHOÁN VIỆT NAM</v>
          </cell>
          <cell r="I12" t="str">
            <v>Tiếng Việt</v>
          </cell>
          <cell r="J12" t="str">
            <v>Tiếng Việt</v>
          </cell>
          <cell r="K12" t="str">
            <v>https://drive.google.com/open?id=1EbA-MSLsMnBHdQmrX3OV8YTaupwNCiqt</v>
          </cell>
        </row>
        <row r="13">
          <cell r="B13" t="str">
            <v>K224141714</v>
          </cell>
          <cell r="C13" t="str">
            <v>Lê Danh Bách</v>
          </cell>
          <cell r="D13" t="str">
            <v>K22414C</v>
          </cell>
          <cell r="E13" t="str">
            <v>X</v>
          </cell>
          <cell r="F13" t="str">
            <v>X</v>
          </cell>
          <cell r="H13" t="str">
            <v>MỐI QUAN HỆ PHI TUYẾN GIỮA THANH KHOẢN VÀ LỢI SUẤT TRÊN THỊ TRƯỜNG ETHEREUM: TIẾP CẬN HỌC MÁY VÀ SHAP TREEEXPLAINER</v>
          </cell>
          <cell r="I13" t="str">
            <v>Tiếng Việt</v>
          </cell>
          <cell r="J13" t="str">
            <v>Tiếng Việt</v>
          </cell>
          <cell r="K13" t="str">
            <v>https://drive.google.com/open?id=1iTEAtvZfBercHJesinF_8Lc_Gx6uBYzD</v>
          </cell>
        </row>
        <row r="14">
          <cell r="B14" t="str">
            <v>K224141730</v>
          </cell>
          <cell r="C14" t="str">
            <v>Đoàn Tuấn Nghĩa</v>
          </cell>
          <cell r="D14" t="str">
            <v>K22414C</v>
          </cell>
          <cell r="E14" t="str">
            <v>X</v>
          </cell>
          <cell r="F14" t="str">
            <v>X</v>
          </cell>
          <cell r="H14" t="str">
            <v>MACHINE LEARNING-BASED PREDICTION OF  FINANCIAL DISTRESS: EVIDENCE FROM NON-FINANCIAL LISTED COMPANIES IN VIETNAM (2010-2024)</v>
          </cell>
          <cell r="I14" t="str">
            <v>Tiếng Việt</v>
          </cell>
          <cell r="J14" t="str">
            <v>Tiếng Anh</v>
          </cell>
          <cell r="K14" t="str">
            <v>https://drive.google.com/open?id=1YKlFWxBwgZHNewtrzHHtpZYHTFxwdSjS</v>
          </cell>
        </row>
        <row r="15">
          <cell r="B15" t="str">
            <v>K224141733</v>
          </cell>
          <cell r="C15" t="str">
            <v>Bùi Đặng Quỳnh Như</v>
          </cell>
          <cell r="D15" t="str">
            <v>K22414C</v>
          </cell>
          <cell r="E15" t="str">
            <v>X</v>
          </cell>
          <cell r="F15" t="str">
            <v>X</v>
          </cell>
          <cell r="H15" t="str">
            <v>ỨNG DỤNG MÔ HÌNH BLACK–LITTERMAN KẾT HỢP  REGULARIZED REGRESSION TRONG TỐI ƯU HÓA DANH MỤC  ĐẦU TƯ TẠI THỊ TRƯỜNG CHỨNG KHOÁN VIỆT NAM: BẰNG  CHỨNG TỪ TẬP CỔ PHIẾU VN30-2026 GIAI ĐOẠN 2021-2026</v>
          </cell>
          <cell r="I15" t="str">
            <v>Tiếng Anh</v>
          </cell>
          <cell r="J15" t="str">
            <v>Tiếng Việt</v>
          </cell>
          <cell r="K15" t="str">
            <v>https://drive.google.com/open?id=1JjgXaN9TNlzrcDVCl7QjPQBhYsOK68qR</v>
          </cell>
        </row>
        <row r="16">
          <cell r="B16" t="str">
            <v>K224141711</v>
          </cell>
          <cell r="C16" t="str">
            <v>Lê Phú An</v>
          </cell>
          <cell r="D16" t="str">
            <v>K22414C</v>
          </cell>
          <cell r="E16" t="str">
            <v>X</v>
          </cell>
          <cell r="F16" t="str">
            <v>X</v>
          </cell>
          <cell r="H16" t="str">
            <v>ỨNG DỤNG SURROGATE ML/DL DỰ BÁO EVE VÀ EAR TRONG QUẢN LÝ IRRBB</v>
          </cell>
          <cell r="I16" t="str">
            <v>Tiếng Việt</v>
          </cell>
          <cell r="J16" t="str">
            <v>Tiếng Việt</v>
          </cell>
          <cell r="K16" t="str">
            <v>https://drive.google.com/open?id=18tJZVAsGfXKDv7Q1HFdrAi2hVfn4fFOB</v>
          </cell>
        </row>
        <row r="17">
          <cell r="B17" t="str">
            <v>K224141655</v>
          </cell>
          <cell r="C17" t="str">
            <v>Lê Thị Mỹ Duyên</v>
          </cell>
          <cell r="D17" t="str">
            <v>K22414</v>
          </cell>
          <cell r="E17" t="str">
            <v>X</v>
          </cell>
          <cell r="F17" t="str">
            <v>X</v>
          </cell>
          <cell r="H17" t="str">
            <v>XÂY DỰNG HỆ THỐNG RAG PHÂN TÍCH BÁO CÁO TÀI CHÍNH TỰ ĐỘNG</v>
          </cell>
          <cell r="I17" t="str">
            <v>Tiếng Việt</v>
          </cell>
          <cell r="J17" t="str">
            <v>Tiếng Việt</v>
          </cell>
          <cell r="K17" t="str">
            <v>https://drive.google.com/open?id=1IQ_vRg57sOvz5O5OJg-FXxkH4N5gZTWy</v>
          </cell>
        </row>
        <row r="18">
          <cell r="B18" t="str">
            <v>K224141668</v>
          </cell>
          <cell r="C18" t="str">
            <v>Phan Vũ Đình Khang</v>
          </cell>
          <cell r="D18" t="str">
            <v>K22414</v>
          </cell>
          <cell r="E18" t="str">
            <v>X</v>
          </cell>
          <cell r="F18" t="str">
            <v>X</v>
          </cell>
          <cell r="H18" t="str">
            <v xml:space="preserve">XÂY DỰNG HỆ THỐNG HỖ TRỢ QUYẾT ĐỊNH ĐẦU TƯ CHỨNG KHOÁN DỰA TRÊN MACHINE LEARNING, TỐI ƯU DANH MỤC THEO MARKOWITZ VÀ CHATBOT SỬ DỤNG MÔ HÌNH NGÔN NGỮ LỚN </v>
          </cell>
          <cell r="I18" t="str">
            <v>Tiếng Việt</v>
          </cell>
          <cell r="J18" t="str">
            <v>Tiếng Việt</v>
          </cell>
          <cell r="K18" t="str">
            <v>https://drive.google.com/open?id=1lGSvce6eokP8gde93QUuRwi_6C08vTCI</v>
          </cell>
        </row>
        <row r="19">
          <cell r="B19" t="str">
            <v>K224141703</v>
          </cell>
          <cell r="C19" t="str">
            <v>Thông Thị Quế Trân</v>
          </cell>
          <cell r="D19" t="str">
            <v>K22414</v>
          </cell>
          <cell r="E19" t="str">
            <v>X</v>
          </cell>
          <cell r="F19" t="str">
            <v>X</v>
          </cell>
          <cell r="H19" t="str">
            <v>DỰ BÁO TỶ SUẤT SINH LỜI VỐN CHỦ SỞ HỮU CỦA NGÀNH BẤT ĐỘNG SẢN BẰNG MACHINE LEARNING</v>
          </cell>
          <cell r="I19" t="str">
            <v>Tiếng Việt</v>
          </cell>
          <cell r="J19" t="str">
            <v>Tiếng Việt</v>
          </cell>
          <cell r="K19" t="str">
            <v>https://drive.google.com/open?id=1N3lcfAsakig5w7KQk8bS-G6dankkAlwF</v>
          </cell>
        </row>
        <row r="20">
          <cell r="B20" t="str">
            <v>K224141649</v>
          </cell>
          <cell r="C20" t="str">
            <v>Trần Lê Quang An</v>
          </cell>
          <cell r="D20" t="str">
            <v>K22414</v>
          </cell>
          <cell r="E20" t="str">
            <v>X</v>
          </cell>
          <cell r="F20" t="str">
            <v>X</v>
          </cell>
          <cell r="H20" t="str">
            <v>XÂY DỰNG CHATBOT HỖ TRỢ RA KHUYẾN NGHỊ ĐẦU TƯ TIỀN ĐIỆN TỬ</v>
          </cell>
          <cell r="I20" t="str">
            <v>Tiếng Việt</v>
          </cell>
          <cell r="J20" t="str">
            <v>Tiếng Việt</v>
          </cell>
          <cell r="K20" t="str">
            <v>https://drive.google.com/open?id=1RN1TNxYPyT1vVOP2nd3VKKLv5ByX3D5R</v>
          </cell>
        </row>
        <row r="21">
          <cell r="B21" t="str">
            <v>K224141657</v>
          </cell>
          <cell r="C21" t="str">
            <v>Bùi Thị Ngọc Hà</v>
          </cell>
          <cell r="D21" t="str">
            <v>K22414</v>
          </cell>
          <cell r="E21" t="str">
            <v>X</v>
          </cell>
          <cell r="H21" t="str">
            <v>PHÂN TÍCH THỰC NGHIỆM TÁC ĐỘNG CỦA THÔNG TIN CƠ BẢN, KỸ THUẬT VÀ TÂM LÝ ĐẾN DỰ BÁO XU HƯỚNG CỔ PHIẾU THEO NGÀNH: ỨNG DỤNG MẠNG NƠ-RON ĐA LỚP (MLP)</v>
          </cell>
          <cell r="I21" t="str">
            <v>Tiếng Việt</v>
          </cell>
          <cell r="J21" t="str">
            <v>Tiếng Việt</v>
          </cell>
          <cell r="K21" t="str">
            <v>https://drive.google.com/open?id=1TAM1UI94ZpbJT2dn4apzTYwpPmqKkRIH</v>
          </cell>
        </row>
        <row r="22">
          <cell r="B22" t="str">
            <v>K224141717</v>
          </cell>
          <cell r="C22" t="str">
            <v>Trần Đức Duy</v>
          </cell>
          <cell r="D22" t="str">
            <v>K22414C</v>
          </cell>
          <cell r="E22" t="str">
            <v>X</v>
          </cell>
          <cell r="H22" t="str">
            <v>MỨC ĐỘ TÁC ĐỘNG CỦA FINTECH ĐẾN HIỆU QUẢ HOẠT ĐỘNG CỦA NGÂN HÀNG THƯƠNG MẠI NIÊM YẾT TẠI VIỆT NAM TRONG GIAI ĐOẠN 2014 - 2024</v>
          </cell>
          <cell r="I22" t="str">
            <v>Tiếng Việt</v>
          </cell>
          <cell r="J22" t="str">
            <v>Tiếng Việt</v>
          </cell>
          <cell r="K22" t="str">
            <v>https://drive.google.com/open?id=1SFyMzggOYrOCej4FkZcKyxcOLQXBrPOj</v>
          </cell>
        </row>
        <row r="23">
          <cell r="B23" t="str">
            <v>K224141741</v>
          </cell>
          <cell r="C23" t="str">
            <v>Nguyễn Ngọc Thảo Trâm</v>
          </cell>
          <cell r="D23" t="str">
            <v>K22414C</v>
          </cell>
          <cell r="E23" t="str">
            <v>X</v>
          </cell>
          <cell r="F23" t="str">
            <v>X</v>
          </cell>
          <cell r="H23" t="str">
            <v>APPLICATION OF MACHINE LEARNING IN BREAKOUT SIGNAL IDENTIFICATION IN THE VIETNAMESE STOCK MARKET</v>
          </cell>
          <cell r="I23" t="str">
            <v>Tiếng Anh</v>
          </cell>
          <cell r="J23" t="str">
            <v>Tiếng Anh</v>
          </cell>
          <cell r="K23" t="str">
            <v>https://drive.google.com/open?id=12cFSDH0GuX9HjaeSIOjZeugd06MdvNM8</v>
          </cell>
        </row>
        <row r="24">
          <cell r="B24" t="str">
            <v>K214142085</v>
          </cell>
          <cell r="C24" t="str">
            <v>Phan Minh Thức</v>
          </cell>
          <cell r="D24" t="str">
            <v>K21414</v>
          </cell>
          <cell r="E24" t="str">
            <v>X</v>
          </cell>
          <cell r="F24" t="str">
            <v>X</v>
          </cell>
          <cell r="H24" t="str">
            <v>BUILDING A MULTI-LEVEL FINANCIAL RISK RANKING AND EARLY WARNING SYSTEM FOR VIETNAMESE LISTED COMPANIES: APPLYING MACHINE LEARNING AND DEPLOYING A WEB DASHBOARD TO SUPPORT DIGITAL TRANSFORMATION</v>
          </cell>
          <cell r="I24" t="str">
            <v>Tiếng Anh</v>
          </cell>
          <cell r="J24" t="str">
            <v>Tiếng Anh</v>
          </cell>
          <cell r="K24" t="str">
            <v>https://drive.google.com/open?id=1KXMAUkRmNMu1emYJWtJmPBEJC4oSaAsu</v>
          </cell>
        </row>
        <row r="25">
          <cell r="B25" t="str">
            <v>K224141650</v>
          </cell>
          <cell r="C25" t="str">
            <v>Lưu Quỳnh Anh</v>
          </cell>
          <cell r="D25" t="str">
            <v>K22414</v>
          </cell>
          <cell r="E25" t="str">
            <v>X</v>
          </cell>
          <cell r="F25" t="str">
            <v>X</v>
          </cell>
          <cell r="H25" t="str">
            <v>NEWS-AWARE MULTI-AGENT REINFORCEMENT LEARNING FOR PORTFOLIO OPTIMIZATION WITH ADAPTIVE RISK CONTROL: EVIDENCE FROM THE VIETNAMESE EQUITY MARKET</v>
          </cell>
          <cell r="I25" t="str">
            <v>Tiếng Anh</v>
          </cell>
          <cell r="J25" t="str">
            <v>Tiếng Anh</v>
          </cell>
          <cell r="K25" t="str">
            <v>https://drive.google.com/open?id=13djDLGL9aZ3nBG4CqjNscOjeR1V1Fgf1</v>
          </cell>
        </row>
        <row r="26">
          <cell r="B26" t="str">
            <v>K224141651</v>
          </cell>
          <cell r="C26" t="str">
            <v>Nguyễn Ngọc Bảo Châu</v>
          </cell>
          <cell r="D26" t="str">
            <v>K22414</v>
          </cell>
          <cell r="E26" t="str">
            <v>X</v>
          </cell>
          <cell r="F26" t="str">
            <v>X</v>
          </cell>
          <cell r="H26" t="str">
            <v>INTEGRATING CONDITIONAL VALUE AT RISK INTO HIERARCHICAL RISK PARITY: EVIDENCE FROM THE VIETNAMESE MULTI-ASSET MARKET</v>
          </cell>
          <cell r="I26" t="str">
            <v>Tiếng Anh</v>
          </cell>
          <cell r="J26" t="str">
            <v>Tiếng Anh</v>
          </cell>
          <cell r="K26" t="str">
            <v>https://drive.google.com/open?id=1F-jRjtqt-14dhtWiA78S3WjXKNdQ6pC1</v>
          </cell>
        </row>
        <row r="27">
          <cell r="B27" t="str">
            <v>K224141653</v>
          </cell>
          <cell r="C27" t="str">
            <v>Trần Nguyên Diễm</v>
          </cell>
          <cell r="D27" t="str">
            <v>K22414</v>
          </cell>
          <cell r="E27" t="str">
            <v>X</v>
          </cell>
          <cell r="F27" t="str">
            <v>X</v>
          </cell>
          <cell r="H27" t="str">
            <v>ỨNG DỤNG MACHINE LEARNING TRONG PHÁT HIỆN CÁC CHIẾN LƯỢC QUẢN TRỊ LỢI NHUẬN Ở DOANH NGHIỆP VIỆT NAM THEO TÌNH TRẠNG TÀI CHÍNH</v>
          </cell>
          <cell r="I27" t="str">
            <v>Tiếng Việt</v>
          </cell>
          <cell r="J27" t="str">
            <v>Tiếng Việt</v>
          </cell>
          <cell r="K27" t="str">
            <v>https://drive.google.com/open?id=1vzOw3FzKVSVE-vq7vQbOXk79ucHrj0Rr</v>
          </cell>
        </row>
        <row r="28">
          <cell r="B28" t="str">
            <v>K224141656</v>
          </cell>
          <cell r="C28" t="str">
            <v>Ngô Lam Giang</v>
          </cell>
          <cell r="D28" t="str">
            <v>K22414</v>
          </cell>
          <cell r="E28" t="str">
            <v>X</v>
          </cell>
          <cell r="H28" t="str">
            <v>ỨNG DỤNG MÔ HÌNH HỌC MÁY CÓ KHẢ NĂNG GIẢI THÍCH TRONG DỰ BÁO RỦI RO KIỆT QUỆ  TÀI CHÍNH CỦA CÁC DOANH NGHIỆP BẤT ĐỘNG SẢN NIÊM YẾT TẠI VIỆT NAM</v>
          </cell>
          <cell r="I28" t="str">
            <v>Tiếng Anh</v>
          </cell>
          <cell r="J28" t="str">
            <v>Tiếng Việt</v>
          </cell>
          <cell r="K28" t="str">
            <v>https://drive.google.com/open?id=1K2ZxRpl4NSKuDU44lsyNt3C8sasMGbzt</v>
          </cell>
        </row>
        <row r="29">
          <cell r="B29" t="str">
            <v>K224141690</v>
          </cell>
          <cell r="C29" t="str">
            <v>Bùi Bạch Đoan Tâm</v>
          </cell>
          <cell r="D29" t="str">
            <v>K22414</v>
          </cell>
          <cell r="E29" t="str">
            <v>X</v>
          </cell>
          <cell r="F29" t="str">
            <v>X</v>
          </cell>
          <cell r="H29" t="str">
            <v>TÁC ĐỘNG CỦA CÁC YẾU TỐ VĨ MÔ ĐẾN TỶ GIÁ TRONG GIAI ĐOẠN 2014-2023 : ỨNG DỤNG VECM VÀ MACHINE LEARNING DỰ TRONG DỰ BÁO</v>
          </cell>
          <cell r="I29" t="str">
            <v>Tiếng Việt</v>
          </cell>
          <cell r="J29" t="str">
            <v>Tiếng Việt</v>
          </cell>
          <cell r="K29" t="str">
            <v>https://drive.google.com/open?id=1rPSGxBx8ACS2FijTLvbAw1UTdVWKaPVf</v>
          </cell>
        </row>
        <row r="30">
          <cell r="B30" t="str">
            <v>K224141709</v>
          </cell>
          <cell r="C30" t="str">
            <v>Hồ Nguyễn Nhật Vy</v>
          </cell>
          <cell r="D30" t="str">
            <v>K22414</v>
          </cell>
          <cell r="E30" t="str">
            <v>X</v>
          </cell>
          <cell r="F30" t="str">
            <v>X</v>
          </cell>
          <cell r="H30" t="str">
            <v xml:space="preserve">XÂY DỰNG HỆ THỐNG GIAO DỊCH CỔ PHIẾU: SO SÁNH DỰ BÁO TÍN HIỆU GIAO DỊCH: PHƯƠNG PHÁP KỸ THUẬT TRUYỀN THỐNG VÀ MACHINE LEARNING </v>
          </cell>
          <cell r="I30" t="str">
            <v>Tiếng Anh</v>
          </cell>
          <cell r="J30" t="str">
            <v>Tiếng Việt</v>
          </cell>
          <cell r="K30" t="str">
            <v>https://drive.google.com/open?id=1PxZ3CQdJ6MRHVAhJxcILeCY7uISOQ9sx</v>
          </cell>
        </row>
        <row r="31">
          <cell r="B31" t="str">
            <v>K224141724</v>
          </cell>
          <cell r="C31" t="str">
            <v>Lê Thị Hường</v>
          </cell>
          <cell r="D31" t="str">
            <v>K22414C</v>
          </cell>
          <cell r="E31" t="str">
            <v>X</v>
          </cell>
          <cell r="F31" t="str">
            <v>X</v>
          </cell>
          <cell r="H31" t="str">
            <v xml:space="preserve">TỐI ƯU HÓA DANH MỤC ĐẦU TƯ DỰA TRÊN DỰ BÁO  LỢI SUẤT BẰNG CÁC MÔ HÌNH HỌC MÁY VÀ HỌC SÂU </v>
          </cell>
          <cell r="I31" t="str">
            <v>Tiếng Việt</v>
          </cell>
          <cell r="J31" t="str">
            <v>Tiếng Việt</v>
          </cell>
          <cell r="K31" t="str">
            <v>https://drive.google.com/open?id=19cSXqoAzuh-GmVZ9lbsd1KmaUprdwCrM</v>
          </cell>
        </row>
        <row r="32">
          <cell r="B32" t="str">
            <v>K224141725</v>
          </cell>
          <cell r="C32" t="str">
            <v>Phạm Hữu Khương</v>
          </cell>
          <cell r="D32" t="str">
            <v>K22414C</v>
          </cell>
          <cell r="E32" t="str">
            <v>X</v>
          </cell>
          <cell r="F32" t="str">
            <v>X</v>
          </cell>
          <cell r="H32" t="str">
            <v>APPLYING THE DEEP LEARNING MODEL (LSTM, GRU) IN BITCOIN'S VOLATILITY FORECASTING AND RISK MEASUREMENT (VAR)</v>
          </cell>
          <cell r="I32" t="str">
            <v>Tiếng Anh</v>
          </cell>
          <cell r="J32" t="str">
            <v>Tiếng Anh</v>
          </cell>
          <cell r="K32" t="str">
            <v>https://drive.google.com/open?id=11b_GyBPkt4aVlZCigPrVOxSvf481_Qzi</v>
          </cell>
        </row>
        <row r="33">
          <cell r="B33" t="str">
            <v>K224141727</v>
          </cell>
          <cell r="C33" t="str">
            <v>Nguyễn Thị Thuỳ Linh</v>
          </cell>
          <cell r="D33" t="str">
            <v>K22414C</v>
          </cell>
          <cell r="E33" t="str">
            <v>X</v>
          </cell>
          <cell r="F33" t="str">
            <v>X</v>
          </cell>
          <cell r="H33" t="str">
            <v>TÁC ĐỘNG CỦA CẢM XÚC TIN TỨC ĐẾN KHẢ NĂNG DỰ BÁO BIẾN ĐỘNG LỢI SUẤT CỔ PHIẾU: BẰNG CHỨNG THỰC NGHIỆM TỪ CÁC CỔ PHIẾU THUỘC NGÀNH BẤT ĐỘNG SẢN</v>
          </cell>
          <cell r="I33" t="str">
            <v>Tiếng Anh</v>
          </cell>
          <cell r="J33" t="str">
            <v>Tiếng Việt</v>
          </cell>
          <cell r="K33" t="str">
            <v>https://drive.google.com/open?id=1m5FU35p93TuLe9zWALJhV_TU14_0oMhx</v>
          </cell>
        </row>
        <row r="34">
          <cell r="B34" t="str">
            <v>K224141713</v>
          </cell>
          <cell r="C34" t="str">
            <v>Nguyễn Thương Kỳ Anh</v>
          </cell>
          <cell r="D34" t="str">
            <v>K22414C</v>
          </cell>
          <cell r="E34" t="str">
            <v>X</v>
          </cell>
          <cell r="F34" t="str">
            <v>X</v>
          </cell>
          <cell r="H34" t="str">
            <v>FINANCIAL NEWS SENTIMENT AND SHORT-TERM STOCK DIRECTION PREDICTION:\\ EVIDENCE FROM VN30 FIRMS</v>
          </cell>
          <cell r="I34" t="str">
            <v>Tiếng Anh</v>
          </cell>
          <cell r="J34" t="str">
            <v>Tiếng Anh</v>
          </cell>
          <cell r="K34" t="str">
            <v>https://drive.google.com/open?id=1Sev5CtkGnJJUDJwyzkgSsXgA5db3m3jZ</v>
          </cell>
        </row>
        <row r="35">
          <cell r="B35" t="str">
            <v>K224040575</v>
          </cell>
          <cell r="C35" t="str">
            <v>Phan Quang Minh</v>
          </cell>
          <cell r="D35" t="str">
            <v>K22404C</v>
          </cell>
          <cell r="F35" t="str">
            <v>X</v>
          </cell>
          <cell r="G35" t="str">
            <v>X</v>
          </cell>
          <cell r="H35" t="str">
            <v/>
          </cell>
          <cell r="I35" t="str">
            <v>Tiếng Anh</v>
          </cell>
        </row>
        <row r="36">
          <cell r="B36" t="str">
            <v>K224040586</v>
          </cell>
          <cell r="C36" t="str">
            <v>Đặng Hoài Minh Thư</v>
          </cell>
          <cell r="D36" t="str">
            <v>K22404C</v>
          </cell>
          <cell r="F36" t="str">
            <v>X</v>
          </cell>
          <cell r="G36" t="str">
            <v>X</v>
          </cell>
          <cell r="H36" t="str">
            <v/>
          </cell>
          <cell r="I36" t="str">
            <v>Tiếng Anh</v>
          </cell>
        </row>
        <row r="37">
          <cell r="B37" t="str">
            <v>K224040591</v>
          </cell>
          <cell r="C37" t="str">
            <v>Nguyễn Hà Trâm</v>
          </cell>
          <cell r="D37" t="str">
            <v>K22404C</v>
          </cell>
          <cell r="F37" t="str">
            <v>X</v>
          </cell>
          <cell r="G37" t="str">
            <v>X</v>
          </cell>
          <cell r="H37" t="str">
            <v/>
          </cell>
          <cell r="I37" t="str">
            <v>Tiếng Việt</v>
          </cell>
        </row>
        <row r="38">
          <cell r="B38" t="str">
            <v>K224040593</v>
          </cell>
          <cell r="C38" t="str">
            <v>Phạm Văn Trọng</v>
          </cell>
          <cell r="D38" t="str">
            <v>K22404C</v>
          </cell>
          <cell r="F38" t="str">
            <v>X</v>
          </cell>
          <cell r="G38" t="str">
            <v>X</v>
          </cell>
          <cell r="H38" t="str">
            <v/>
          </cell>
          <cell r="I38" t="str">
            <v>Tiếng Việt</v>
          </cell>
        </row>
        <row r="39">
          <cell r="B39" t="str">
            <v>K224040594</v>
          </cell>
          <cell r="C39" t="str">
            <v>Nguyễn Thành Trung</v>
          </cell>
          <cell r="D39" t="str">
            <v>K22404C</v>
          </cell>
          <cell r="F39" t="str">
            <v>X</v>
          </cell>
          <cell r="G39" t="str">
            <v>X</v>
          </cell>
          <cell r="H39" t="str">
            <v/>
          </cell>
          <cell r="I39" t="str">
            <v>Tiếng Việt</v>
          </cell>
        </row>
        <row r="40">
          <cell r="B40" t="str">
            <v>K224040595</v>
          </cell>
          <cell r="C40" t="str">
            <v>Lê Nguyễn Thanh Trúc</v>
          </cell>
          <cell r="D40" t="str">
            <v>K22404C</v>
          </cell>
          <cell r="F40" t="str">
            <v>X</v>
          </cell>
          <cell r="G40" t="str">
            <v>X</v>
          </cell>
          <cell r="H40" t="str">
            <v/>
          </cell>
          <cell r="I40" t="str">
            <v>Tiếng Anh</v>
          </cell>
        </row>
        <row r="41">
          <cell r="B41" t="str">
            <v>K224141726</v>
          </cell>
          <cell r="C41" t="str">
            <v>Dương Thị Thuỳ Linh</v>
          </cell>
          <cell r="D41" t="str">
            <v>K22414C</v>
          </cell>
          <cell r="E41" t="str">
            <v>X</v>
          </cell>
          <cell r="F41" t="str">
            <v>X</v>
          </cell>
          <cell r="H41" t="str">
            <v>CONSTRUCTING AN OPTIMAL VN30 PORTFOLIO USING THE SINGLE INDEX MODEL</v>
          </cell>
          <cell r="I41" t="str">
            <v>Tiếng Anh</v>
          </cell>
          <cell r="J41" t="str">
            <v>Tiếng Anh</v>
          </cell>
          <cell r="K41" t="str">
            <v>https://drive.google.com/open?id=137Bc0e9Rfq_KOa8V8tra8rBiu6dAJAyq</v>
          </cell>
        </row>
        <row r="42">
          <cell r="B42" t="str">
            <v>K224141744</v>
          </cell>
          <cell r="C42" t="str">
            <v>Lâm Thanh Vi</v>
          </cell>
          <cell r="D42" t="str">
            <v>K22414C</v>
          </cell>
          <cell r="E42" t="str">
            <v>X</v>
          </cell>
          <cell r="F42" t="str">
            <v>X</v>
          </cell>
          <cell r="H42" t="str">
            <v>MACHINE LEARNING APPROACHES TO MORTGAGE DEFAULT PREDICTION: AN EMPIRICAL STUDY</v>
          </cell>
          <cell r="I42" t="str">
            <v>Tiếng Anh</v>
          </cell>
          <cell r="J42" t="str">
            <v>Tiếng Anh</v>
          </cell>
          <cell r="K42" t="str">
            <v>https://drive.google.com/open?id=15PyTZKySg0d-5tuWMFzHLDp_SPPpB-PZ</v>
          </cell>
        </row>
        <row r="43">
          <cell r="B43" t="str">
            <v>K224141710</v>
          </cell>
          <cell r="C43" t="str">
            <v>Lê Hoàng Phi Yến</v>
          </cell>
          <cell r="D43" t="str">
            <v>K22414</v>
          </cell>
          <cell r="E43" t="str">
            <v>X</v>
          </cell>
          <cell r="H43" t="str">
            <v>DỰ BÁO TỶ LỆ ĐÒN BẨY TÀI CHÍNH: SO SÁNH VÀ PHÂN TÍCH KHẢ NĂNG DỰ BÁO GIỮA CÁC MÔ HÌNH HỌC MÁY VÀ MÔ HÌNH KINH TẾ LƯỢNG TRUYỀN THỐNG ĐỐI VỚI CÁC DOANH NGHIỆP PHI TÀI CHÍNH ĐƯỢC NIÊM YẾT TẠI VIỆT NAM</v>
          </cell>
          <cell r="I43" t="str">
            <v>Tiếng Việt</v>
          </cell>
          <cell r="J43" t="str">
            <v>Tiếng Việt</v>
          </cell>
          <cell r="K43" t="str">
            <v>https://drive.google.com/open?id=1_dzaRlymbqO_J7lNRGkF7Ga1qICe0WQq</v>
          </cell>
        </row>
        <row r="44">
          <cell r="B44" t="str">
            <v>K224141716</v>
          </cell>
          <cell r="C44" t="str">
            <v>Nguyễn Quang Duy</v>
          </cell>
          <cell r="D44" t="str">
            <v>K22414C</v>
          </cell>
          <cell r="E44" t="str">
            <v>X</v>
          </cell>
          <cell r="H44" t="str">
            <v>CÁC YẾU TỐ ẢNH HƯỞNG ĐẾN HÀNH VI SỬ DỤNG VÀ DUY TRÌ THANH TOÁN SỐ TẠI VIỆT NAM: TIẾP CẬN KẾT HỢP PHÂN TÍCH ĐỊNH LƯỢNG VÀ KHAI PHÁ DỮ LIỆU CẢM XÚC.</v>
          </cell>
          <cell r="I44" t="str">
            <v>Tiếng Việt</v>
          </cell>
          <cell r="J44" t="str">
            <v>Tiếng Việt</v>
          </cell>
          <cell r="K44" t="str">
            <v>https://drive.google.com/open?id=1EW521o6EsqDPKN4Ls3xmI5PWrzCECI8r</v>
          </cell>
        </row>
        <row r="45">
          <cell r="B45" t="str">
            <v>K224141673</v>
          </cell>
          <cell r="C45" t="str">
            <v>Phạm Gia Linh</v>
          </cell>
          <cell r="D45" t="str">
            <v>K22414</v>
          </cell>
          <cell r="E45" t="str">
            <v>X</v>
          </cell>
          <cell r="F45" t="str">
            <v>X</v>
          </cell>
          <cell r="H45" t="str">
            <v>DỰ BÁO TÌNH TRẠNG KIỆT QUỆ TÀI CHÍNH CỦA CÁC DOANH NGHIỆP SẢN XUẤT VIỆT NAM</v>
          </cell>
          <cell r="I45" t="str">
            <v>Tiếng Việt</v>
          </cell>
          <cell r="J45" t="str">
            <v>Tiếng Việt</v>
          </cell>
          <cell r="K45" t="str">
            <v>https://drive.google.com/open?id=1MMO2klqiwJmVx71SU3BM3tUGI3JYt4N6</v>
          </cell>
        </row>
        <row r="46">
          <cell r="B46" t="str">
            <v>K224141677</v>
          </cell>
          <cell r="C46" t="str">
            <v>Nguyễn Bùi Kim Ngân</v>
          </cell>
          <cell r="D46" t="str">
            <v>K22414</v>
          </cell>
          <cell r="E46" t="str">
            <v>X</v>
          </cell>
          <cell r="F46" t="str">
            <v>X</v>
          </cell>
          <cell r="H46" t="str">
            <v xml:space="preserve">SỬ DỤNG MÁY HỌC DỰ ĐOÁN RỦI RO GIAN LẬN BÁO CÁO TÀI CHÍNH </v>
          </cell>
          <cell r="I46" t="str">
            <v>Tiếng Việt</v>
          </cell>
          <cell r="J46" t="str">
            <v>Tiếng Việt</v>
          </cell>
          <cell r="K46" t="str">
            <v>https://drive.google.com/open?id=1x6N9A5xvj3l1952kvKryUl6h8W4FJ96l</v>
          </cell>
        </row>
        <row r="47">
          <cell r="B47" t="str">
            <v>K224040550</v>
          </cell>
          <cell r="C47" t="str">
            <v>Nguyễn Thị Hải Tiên</v>
          </cell>
          <cell r="D47" t="str">
            <v>K22404</v>
          </cell>
          <cell r="F47" t="str">
            <v>X</v>
          </cell>
          <cell r="G47" t="str">
            <v>X</v>
          </cell>
          <cell r="H47" t="str">
            <v/>
          </cell>
          <cell r="I47" t="str">
            <v>Tiếng Việt</v>
          </cell>
        </row>
        <row r="48">
          <cell r="B48" t="str">
            <v>K224040553</v>
          </cell>
          <cell r="C48" t="str">
            <v>Lý Bảo Trân</v>
          </cell>
          <cell r="D48" t="str">
            <v>K22404</v>
          </cell>
          <cell r="F48" t="str">
            <v>X</v>
          </cell>
          <cell r="G48" t="str">
            <v>X</v>
          </cell>
          <cell r="H48" t="str">
            <v/>
          </cell>
          <cell r="I48" t="str">
            <v>Tiếng Việt</v>
          </cell>
        </row>
        <row r="49">
          <cell r="B49" t="str">
            <v>K224040555</v>
          </cell>
          <cell r="C49" t="str">
            <v>Nguyễn Trần Ngọc Trúc</v>
          </cell>
          <cell r="D49" t="str">
            <v>K22404</v>
          </cell>
          <cell r="F49" t="str">
            <v>X</v>
          </cell>
          <cell r="G49" t="str">
            <v>X</v>
          </cell>
          <cell r="H49" t="str">
            <v/>
          </cell>
          <cell r="I49" t="str">
            <v>Tiếng Việt</v>
          </cell>
        </row>
        <row r="50">
          <cell r="B50" t="str">
            <v>K224040580</v>
          </cell>
          <cell r="C50" t="str">
            <v>Vũ Thị Hồng Phúc</v>
          </cell>
          <cell r="D50" t="str">
            <v>K22404C</v>
          </cell>
          <cell r="F50" t="str">
            <v>X</v>
          </cell>
          <cell r="G50" t="str">
            <v>X</v>
          </cell>
          <cell r="H50" t="str">
            <v/>
          </cell>
          <cell r="I50" t="str">
            <v>Tiếng Anh</v>
          </cell>
        </row>
        <row r="51">
          <cell r="B51" t="str">
            <v>K224040581</v>
          </cell>
          <cell r="C51" t="str">
            <v>Đoàn Hà Phương</v>
          </cell>
          <cell r="D51" t="str">
            <v>K22404C</v>
          </cell>
          <cell r="F51" t="str">
            <v>X</v>
          </cell>
          <cell r="G51" t="str">
            <v>X</v>
          </cell>
          <cell r="H51" t="str">
            <v/>
          </cell>
          <cell r="I51" t="str">
            <v>Tiếng Anh</v>
          </cell>
        </row>
        <row r="52">
          <cell r="B52" t="str">
            <v>K224141679</v>
          </cell>
          <cell r="C52" t="str">
            <v>Trần Khánh Ngọc</v>
          </cell>
          <cell r="D52" t="str">
            <v>K22414</v>
          </cell>
          <cell r="E52" t="str">
            <v>X</v>
          </cell>
          <cell r="F52" t="str">
            <v>X</v>
          </cell>
          <cell r="H52" t="str">
            <v>XÂY DỰNG HỆ THỐNG REGTECH HỖ TRỢ CHẨM ĐIỂM RỦI RO BẤT ĐỘNG SẢN VÀ TÍNH NGHĨA VỤ TÀI CHÍNH THEO BẢNG GIÁ ĐẤT TP.HCM 2026</v>
          </cell>
          <cell r="I52" t="str">
            <v>Tiếng Anh</v>
          </cell>
          <cell r="J52" t="str">
            <v>Tiếng Việt</v>
          </cell>
          <cell r="K52" t="str">
            <v>https://drive.google.com/open?id=1tAuqpUrxfohDlAFfLpwZYLKSFnaaFLI9</v>
          </cell>
        </row>
        <row r="53">
          <cell r="B53" t="str">
            <v>K224141687</v>
          </cell>
          <cell r="C53" t="str">
            <v>Hứa Nguyễn Như Quỳnh</v>
          </cell>
          <cell r="D53" t="str">
            <v>K22414</v>
          </cell>
          <cell r="E53" t="str">
            <v>X</v>
          </cell>
          <cell r="F53" t="str">
            <v>X</v>
          </cell>
          <cell r="H53" t="str">
            <v xml:space="preserve">ỨNG DỤNG HỌC MÁY TRONG XÁC ĐỊNH  TỶ LỆ NẮM GIỮ TIỀN MẶT TỐI ƯU CỦA DOANH NGHIỆP PHI TÀI CHÍNH TẠI VIỆT NAM </v>
          </cell>
          <cell r="I53" t="str">
            <v>Tiếng Anh</v>
          </cell>
          <cell r="J53" t="str">
            <v>Tiếng Việt</v>
          </cell>
          <cell r="K53" t="str">
            <v>https://drive.google.com/open?id=1IHmCXj6UpzuYT5Tf4zUozICgocSzpAV-</v>
          </cell>
        </row>
        <row r="54">
          <cell r="B54" t="str">
            <v>K224141688</v>
          </cell>
          <cell r="C54" t="str">
            <v>Mai Như Quỳnh</v>
          </cell>
          <cell r="D54" t="str">
            <v>K22414</v>
          </cell>
          <cell r="E54" t="str">
            <v>X</v>
          </cell>
          <cell r="F54" t="str">
            <v>X</v>
          </cell>
          <cell r="H54" t="str">
            <v>XẾP HẠNG TÍN NHIỆM CÁC NGÂN HÀNG THƯƠNG MẠI TẠI VIỆT NAM DỰA TRÊN CHỈ SỐ TÀI CHÍNH TỔNG HỢP</v>
          </cell>
          <cell r="I54" t="str">
            <v>Tiếng Việt</v>
          </cell>
          <cell r="J54" t="str">
            <v>Tiếng Việt</v>
          </cell>
          <cell r="K54" t="str">
            <v>https://drive.google.com/open?id=1Eh72Ph2M1E1oyxl12YcWeHNOexQk04dD</v>
          </cell>
        </row>
        <row r="55">
          <cell r="B55" t="str">
            <v>K224141737</v>
          </cell>
          <cell r="C55" t="str">
            <v>Lê Vũ Minh Thông</v>
          </cell>
          <cell r="D55" t="str">
            <v>K22414C</v>
          </cell>
          <cell r="E55" t="str">
            <v>X</v>
          </cell>
          <cell r="H55" t="str">
            <v>ỨNG DỤNG MÁY HỌC TRONG CHẤM ĐIỂM RỦI RO QUÁ HẠN KHOẢN VAY TẠI BIDV - CHI NHÁNH THỦ DẦU MỘT</v>
          </cell>
          <cell r="I55" t="str">
            <v>Tiếng Anh</v>
          </cell>
          <cell r="J55" t="str">
            <v>Tiếng Việt</v>
          </cell>
          <cell r="K55" t="str">
            <v>https://drive.google.com/open?id=1i-hHqujFgTa7XcnC4VkcWos2AzaivvAI</v>
          </cell>
        </row>
        <row r="56">
          <cell r="B56" t="str">
            <v>K224141743</v>
          </cell>
          <cell r="C56" t="str">
            <v>Lê Việt Tố Uyên</v>
          </cell>
          <cell r="D56" t="str">
            <v>K22414C</v>
          </cell>
          <cell r="E56" t="str">
            <v>X</v>
          </cell>
          <cell r="F56" t="str">
            <v>X</v>
          </cell>
          <cell r="H56" t="str">
            <v>ỨNG DỤNG MACHINE LEARNING TRONG DỰ BÁO ROA CỦA CÁC DOANH NGHIỆP PHI TÀI CHÍNH NIÊM YẾT TẠI VIỆT NAM GIAI ĐOẠN 2018–2024</v>
          </cell>
          <cell r="I56" t="str">
            <v>Tiếng Anh</v>
          </cell>
          <cell r="J56" t="str">
            <v>Tiếng Việt</v>
          </cell>
          <cell r="K56" t="str">
            <v>https://drive.google.com/open?id=1-rZ-ZucoaJauNbvzEgG6VPW2Kj9jqGPf</v>
          </cell>
        </row>
        <row r="57">
          <cell r="B57" t="str">
            <v>K224040556</v>
          </cell>
          <cell r="C57" t="str">
            <v>Đinh Quang Tuấn</v>
          </cell>
          <cell r="D57" t="str">
            <v>K22404</v>
          </cell>
          <cell r="F57" t="str">
            <v>X</v>
          </cell>
          <cell r="G57" t="str">
            <v>X</v>
          </cell>
          <cell r="H57" t="str">
            <v/>
          </cell>
          <cell r="I57" t="str">
            <v>Tiếng Việt</v>
          </cell>
        </row>
        <row r="58">
          <cell r="B58" t="str">
            <v>K224040558</v>
          </cell>
          <cell r="C58" t="str">
            <v>Trần Thị Trúc Uyên</v>
          </cell>
          <cell r="D58" t="str">
            <v>K22404</v>
          </cell>
          <cell r="F58" t="str">
            <v>X</v>
          </cell>
          <cell r="G58" t="str">
            <v>X</v>
          </cell>
          <cell r="H58" t="str">
            <v/>
          </cell>
          <cell r="I58" t="str">
            <v>Tiếng Việt</v>
          </cell>
        </row>
        <row r="59">
          <cell r="B59" t="str">
            <v>K224040560</v>
          </cell>
          <cell r="C59" t="str">
            <v>Nguyễn Thị Hà Vy</v>
          </cell>
          <cell r="D59" t="str">
            <v>K22404</v>
          </cell>
          <cell r="F59" t="str">
            <v>X</v>
          </cell>
          <cell r="G59" t="str">
            <v>X</v>
          </cell>
          <cell r="H59" t="str">
            <v/>
          </cell>
          <cell r="I59" t="str">
            <v>Tiếng Việt</v>
          </cell>
        </row>
        <row r="60">
          <cell r="B60" t="str">
            <v>K224040569</v>
          </cell>
          <cell r="C60" t="str">
            <v>Phạm Thị Thu Hương</v>
          </cell>
          <cell r="D60" t="str">
            <v>K22404C</v>
          </cell>
          <cell r="F60" t="str">
            <v>X</v>
          </cell>
          <cell r="G60" t="str">
            <v>X</v>
          </cell>
          <cell r="H60" t="str">
            <v/>
          </cell>
          <cell r="I60" t="str">
            <v>Tiếng Việt</v>
          </cell>
        </row>
        <row r="61">
          <cell r="B61" t="str">
            <v>K224040587</v>
          </cell>
          <cell r="C61" t="str">
            <v>Nguyễn Thị Minh Thư</v>
          </cell>
          <cell r="D61" t="str">
            <v>K22404C</v>
          </cell>
          <cell r="F61" t="str">
            <v>X</v>
          </cell>
          <cell r="G61" t="str">
            <v>X</v>
          </cell>
          <cell r="H61" t="str">
            <v/>
          </cell>
          <cell r="I61" t="str">
            <v>Tiếng Việt</v>
          </cell>
        </row>
        <row r="62">
          <cell r="B62" t="str">
            <v>K224040589</v>
          </cell>
          <cell r="C62" t="str">
            <v>Hồ Nguyễn Anh Thy</v>
          </cell>
          <cell r="D62" t="str">
            <v>K22404C</v>
          </cell>
          <cell r="F62" t="str">
            <v>X</v>
          </cell>
          <cell r="G62" t="str">
            <v>X</v>
          </cell>
          <cell r="H62" t="str">
            <v/>
          </cell>
          <cell r="I62" t="str">
            <v>Tiếng Anh</v>
          </cell>
        </row>
        <row r="63">
          <cell r="B63" t="str">
            <v>K224141722</v>
          </cell>
          <cell r="C63" t="str">
            <v>Nguyễn Thị Mai Hạnh</v>
          </cell>
          <cell r="D63" t="str">
            <v>K22414C</v>
          </cell>
          <cell r="E63" t="str">
            <v>X</v>
          </cell>
          <cell r="H63" t="str">
            <v>PHÂN TÍCH CẢM XÚC CỦA NGƯỜI DÙNG BIDV MINI APP TRÊN NỀN TẢNG VNPAY BẰNG CÁC PHƯƠNG PHÁP HỌC MÁY</v>
          </cell>
          <cell r="I63" t="str">
            <v>Tiếng Anh</v>
          </cell>
          <cell r="J63" t="str">
            <v>Tiếng Việt</v>
          </cell>
          <cell r="K63" t="str">
            <v>https://drive.google.com/open?id=147hMUBO1QwgInt8wGO1akv-7fT6QoB1Y</v>
          </cell>
        </row>
        <row r="64">
          <cell r="B64" t="str">
            <v>K224141729</v>
          </cell>
          <cell r="C64" t="str">
            <v>Trần Phương Nghi</v>
          </cell>
          <cell r="D64" t="str">
            <v>K22414C</v>
          </cell>
          <cell r="E64" t="str">
            <v>X</v>
          </cell>
          <cell r="F64" t="str">
            <v>X</v>
          </cell>
          <cell r="H64" t="str">
            <v>ỨNG DỤNG HIỆP PHƯƠNG SAI CO RÚT LEDOIT-WOLF TRONG XÂY DỰNG PHÂN CỤM PHÂN CẤP:  BẰNG CHỨNG THỰC NGHIỆM TẠI THỊ TRƯỜNG CHỨNG KHOÁN VIỆT NAM</v>
          </cell>
          <cell r="I64" t="str">
            <v>Tiếng Việt</v>
          </cell>
          <cell r="J64" t="str">
            <v>Tiếng Việt</v>
          </cell>
          <cell r="K64" t="str">
            <v>https://drive.google.com/open?id=1NRsBqbjPhrPvWL20W2LELyZlz3Yvf3os</v>
          </cell>
        </row>
        <row r="65">
          <cell r="B65" t="str">
            <v>K224141740</v>
          </cell>
          <cell r="C65" t="str">
            <v>Phạm Hoàng Ngọc Trang</v>
          </cell>
          <cell r="D65" t="str">
            <v>K22414C</v>
          </cell>
          <cell r="E65" t="str">
            <v>X</v>
          </cell>
          <cell r="F65" t="str">
            <v>X</v>
          </cell>
          <cell r="H65" t="str">
            <v xml:space="preserve">ỨNG DỤNG HỌC MÁY KHÔNG GIÁM SÁT TRONG PHÂN TÍCH HÀNH VI GIÁ CỔ PHIẾU VÀ XÂY DỰNG DANH MỤC ĐẦU TƯ TRÊN THỊ TRƯỜNG CHỨNG KHOÁN VIỆT NAM </v>
          </cell>
          <cell r="I65" t="str">
            <v>Tiếng Việt</v>
          </cell>
          <cell r="J65" t="str">
            <v>Tiếng Việt</v>
          </cell>
          <cell r="K65" t="str">
            <v>https://drive.google.com/open?id=1go0o92OlcI3SdTEDYOnuqqRxwlTlr93z</v>
          </cell>
        </row>
        <row r="66">
          <cell r="B66" t="str">
            <v>K224040483</v>
          </cell>
          <cell r="C66" t="str">
            <v>Phan Thúy Ngân</v>
          </cell>
          <cell r="D66" t="str">
            <v>K22404</v>
          </cell>
          <cell r="F66" t="str">
            <v>X</v>
          </cell>
          <cell r="G66" t="str">
            <v>X</v>
          </cell>
          <cell r="H66" t="str">
            <v/>
          </cell>
          <cell r="I66" t="str">
            <v>Tiếng Việt</v>
          </cell>
        </row>
        <row r="67">
          <cell r="B67" t="str">
            <v>K224040484</v>
          </cell>
          <cell r="C67" t="str">
            <v>Trần Huỳnh Phương Nghi</v>
          </cell>
          <cell r="D67" t="str">
            <v>K22404</v>
          </cell>
          <cell r="F67" t="str">
            <v>X</v>
          </cell>
          <cell r="G67" t="str">
            <v>X</v>
          </cell>
          <cell r="H67" t="str">
            <v/>
          </cell>
          <cell r="I67" t="str">
            <v>Tiếng Việt</v>
          </cell>
        </row>
        <row r="68">
          <cell r="B68" t="str">
            <v>K224040486</v>
          </cell>
          <cell r="C68" t="str">
            <v>Hoàng Thị Huệ Nhi</v>
          </cell>
          <cell r="D68" t="str">
            <v>K22404</v>
          </cell>
          <cell r="F68" t="str">
            <v>X</v>
          </cell>
          <cell r="G68" t="str">
            <v>X</v>
          </cell>
          <cell r="H68" t="str">
            <v/>
          </cell>
          <cell r="I68" t="str">
            <v>Tiếng Việt</v>
          </cell>
        </row>
        <row r="69">
          <cell r="B69" t="str">
            <v>K224040488</v>
          </cell>
          <cell r="C69" t="str">
            <v>Nguyễn Thị Thanh Nhung</v>
          </cell>
          <cell r="D69" t="str">
            <v>K22404</v>
          </cell>
          <cell r="F69" t="str">
            <v>X</v>
          </cell>
          <cell r="G69" t="str">
            <v>X</v>
          </cell>
          <cell r="H69" t="str">
            <v/>
          </cell>
          <cell r="I69" t="str">
            <v>Tiếng Việt</v>
          </cell>
        </row>
        <row r="70">
          <cell r="B70" t="str">
            <v>K224040492</v>
          </cell>
          <cell r="C70" t="str">
            <v>Lê Mạnh Quân</v>
          </cell>
          <cell r="D70" t="str">
            <v>K22404</v>
          </cell>
          <cell r="F70" t="str">
            <v>X</v>
          </cell>
          <cell r="G70" t="str">
            <v>X</v>
          </cell>
          <cell r="H70" t="str">
            <v/>
          </cell>
          <cell r="I70" t="str">
            <v>Tiếng Anh</v>
          </cell>
        </row>
        <row r="71">
          <cell r="B71" t="str">
            <v>K224040561</v>
          </cell>
          <cell r="C71" t="str">
            <v>Hà Thị Lan Anh</v>
          </cell>
          <cell r="D71" t="str">
            <v>K22404C</v>
          </cell>
          <cell r="F71" t="str">
            <v>X</v>
          </cell>
          <cell r="G71" t="str">
            <v>X</v>
          </cell>
          <cell r="H71" t="str">
            <v/>
          </cell>
          <cell r="I71" t="str">
            <v>Tiếng Việt</v>
          </cell>
        </row>
        <row r="72">
          <cell r="B72" t="str">
            <v>K224040563</v>
          </cell>
          <cell r="C72" t="str">
            <v>Nguyễn Hồng Ánh</v>
          </cell>
          <cell r="D72" t="str">
            <v>K22404C</v>
          </cell>
          <cell r="F72" t="str">
            <v>X</v>
          </cell>
          <cell r="G72" t="str">
            <v>X</v>
          </cell>
          <cell r="H72" t="str">
            <v/>
          </cell>
          <cell r="I72" t="str">
            <v>Tiếng Anh</v>
          </cell>
        </row>
        <row r="73">
          <cell r="B73" t="str">
            <v>K224040582</v>
          </cell>
          <cell r="C73" t="str">
            <v>Phạm Thị Phương</v>
          </cell>
          <cell r="D73" t="str">
            <v>K22404C</v>
          </cell>
          <cell r="F73" t="str">
            <v>X</v>
          </cell>
          <cell r="G73" t="str">
            <v>X</v>
          </cell>
          <cell r="H73" t="str">
            <v/>
          </cell>
          <cell r="I73" t="str">
            <v>Tiếng Việt</v>
          </cell>
        </row>
        <row r="74">
          <cell r="B74" t="str">
            <v>K224040590</v>
          </cell>
          <cell r="C74" t="str">
            <v>Nguyễn Ngọc Thiên Trang</v>
          </cell>
          <cell r="D74" t="str">
            <v>K22404C</v>
          </cell>
          <cell r="F74" t="str">
            <v>X</v>
          </cell>
          <cell r="G74" t="str">
            <v>X</v>
          </cell>
          <cell r="H74" t="str">
            <v/>
          </cell>
          <cell r="I74" t="str">
            <v>Tiếng Anh</v>
          </cell>
        </row>
        <row r="75">
          <cell r="B75" t="str">
            <v>K224040592</v>
          </cell>
          <cell r="C75" t="str">
            <v>Nguyễn Hoài Tuyết Trân</v>
          </cell>
          <cell r="D75" t="str">
            <v>K22404C</v>
          </cell>
          <cell r="F75" t="str">
            <v>X</v>
          </cell>
          <cell r="G75" t="str">
            <v>X</v>
          </cell>
          <cell r="H75" t="str">
            <v/>
          </cell>
          <cell r="I75" t="str">
            <v>Tiếng Anh</v>
          </cell>
        </row>
        <row r="76">
          <cell r="B76" t="str">
            <v>K224141661</v>
          </cell>
          <cell r="C76" t="str">
            <v>Nguyễn Hạo</v>
          </cell>
          <cell r="D76" t="str">
            <v>K22414</v>
          </cell>
          <cell r="E76" t="str">
            <v>X</v>
          </cell>
          <cell r="F76" t="str">
            <v>X</v>
          </cell>
          <cell r="H76" t="str">
            <v>ỨNG DỤNG MÔ HÌNH DEEP LEARNING ĐỂ TỐI ƯU HÓA DANH MỤC ĐẦU TƯ THEO TRẠNG THÁI RỦI RO THỊ TRƯỜNG</v>
          </cell>
          <cell r="I76" t="str">
            <v>Tiếng Việt</v>
          </cell>
          <cell r="J76" t="str">
            <v>Tiếng Việt</v>
          </cell>
          <cell r="K76" t="str">
            <v>https://drive.google.com/open?id=1iI6ZSutx79BM-umg-FzqYTGQMcj2PUne</v>
          </cell>
        </row>
        <row r="77">
          <cell r="B77" t="str">
            <v>K224141665</v>
          </cell>
          <cell r="C77" t="str">
            <v>Phan Thị Thu Huyền</v>
          </cell>
          <cell r="D77" t="str">
            <v>K22414</v>
          </cell>
          <cell r="E77" t="str">
            <v>X</v>
          </cell>
          <cell r="F77" t="str">
            <v>X</v>
          </cell>
          <cell r="H77" t="str">
            <v xml:space="preserve">ỨNG DỤNG GRAPH NEURAL NETWORK TRONG DỰ BÁO VÀ PHÂN TÍCH LAN TRUYỀN RỦI RO TÀI CHÍNH DOANH NGHIỆP TẠI VIỆT NAM </v>
          </cell>
          <cell r="I77" t="str">
            <v>Tiếng Việt</v>
          </cell>
          <cell r="J77" t="str">
            <v>Tiếng Việt</v>
          </cell>
          <cell r="K77" t="str">
            <v>https://drive.google.com/open?id=1U5K_-h0dv_c1uIKCkahKmWmzVeaTolni</v>
          </cell>
        </row>
        <row r="78">
          <cell r="B78" t="str">
            <v>K224141671</v>
          </cell>
          <cell r="C78" t="str">
            <v>Bùi Ngọc Thiên Kim</v>
          </cell>
          <cell r="D78" t="str">
            <v>K22414</v>
          </cell>
          <cell r="E78" t="str">
            <v>X</v>
          </cell>
          <cell r="F78" t="str">
            <v>X</v>
          </cell>
          <cell r="H78" t="str">
            <v>XÂY DỰNG BẢNG ĐIỀU KHIỂN DANH MỤC ĐẦU TƯ TỐI ƯU THEO KHẨU VỊ RỦI RO"</v>
          </cell>
          <cell r="I78" t="str">
            <v>Tiếng Việt</v>
          </cell>
          <cell r="J78" t="str">
            <v>Tiếng Việt</v>
          </cell>
          <cell r="K78" t="str">
            <v>https://drive.google.com/open?id=1Zt3d2tQWoEksEjCQPYlZTMlOO3qvLmqo</v>
          </cell>
        </row>
        <row r="79">
          <cell r="B79" t="str">
            <v>K224141674</v>
          </cell>
          <cell r="C79" t="str">
            <v>Nguyễn Đồng Mạnh</v>
          </cell>
          <cell r="D79" t="str">
            <v>K22414</v>
          </cell>
          <cell r="E79" t="str">
            <v>X</v>
          </cell>
          <cell r="F79" t="str">
            <v>X</v>
          </cell>
          <cell r="H79" t="str">
            <v>ỨNG DỤNG DỮ LIỆU GIAO DỊCH CỦA KHỐI NGOẠI TRONG DỰ BÁO XU HƯỚNG BIẾN ĐỘNG GIÁ CỔ PHIẾU TẠI THỊ TRƯỜNG CHỨNG KHOÁN VIỆT NAM</v>
          </cell>
          <cell r="I79" t="str">
            <v>Tiếng Việt</v>
          </cell>
          <cell r="J79" t="str">
            <v>Tiếng Việt</v>
          </cell>
          <cell r="K79" t="str">
            <v>https://drive.google.com/open?id=1u37wNTDv0xz4kVPM1Qmf0Iiq7zsN7KrC</v>
          </cell>
        </row>
        <row r="80">
          <cell r="B80" t="str">
            <v>K224141676</v>
          </cell>
          <cell r="C80" t="str">
            <v>Nguyễn Ngọc Kim Nga</v>
          </cell>
          <cell r="D80" t="str">
            <v>K22414</v>
          </cell>
          <cell r="E80" t="str">
            <v>X</v>
          </cell>
          <cell r="F80" t="str">
            <v>X</v>
          </cell>
          <cell r="H80" t="str">
            <v>NGHIÊN CỨU HIỆU QUẢ CỦA MÔ HÌNH LSTM  TRONG DỰ BÁO GIÁ CỔ PHIẾU VÀ ỨNG DỤNG VÀO  TỐI ƯU HÓA DANH MỤC ĐẦU TƯ: SO SÁNH PHƯƠNG  PHÁP EQUAL WEIGHT, MARKOWITZ VÀ HRP</v>
          </cell>
          <cell r="I80" t="str">
            <v>Tiếng Việt</v>
          </cell>
          <cell r="J80" t="str">
            <v>Tiếng Việt</v>
          </cell>
          <cell r="K80" t="str">
            <v>https://drive.google.com/open?id=1Chxfwa4KIr49Z8PxbGqkrfxzUTN_ciAO</v>
          </cell>
        </row>
        <row r="81">
          <cell r="B81" t="str">
            <v>K224141723</v>
          </cell>
          <cell r="C81" t="str">
            <v>Nguyễn Thị Ngọc Huyền</v>
          </cell>
          <cell r="D81" t="str">
            <v>K22414C</v>
          </cell>
          <cell r="E81" t="str">
            <v>X</v>
          </cell>
          <cell r="F81" t="str">
            <v>X</v>
          </cell>
          <cell r="H81" t="str">
            <v>ỨNG DỤNG MACHINE LEARNING ĐỂ DỰ ĐOÁN QUYẾT ĐỊNH CHI TRẢ CỔ TỨC CỦA  CÁC DOANH NGHIỆP NIÊM YẾT TRÊN SÀN HOSE</v>
          </cell>
          <cell r="I81" t="str">
            <v>Tiếng Việt</v>
          </cell>
          <cell r="J81" t="str">
            <v>Tiếng Việt</v>
          </cell>
          <cell r="K81" t="str">
            <v>https://drive.google.com/open?id=1gBGPHVhSQscehQZeM2kMNvmmLUukyJ6f</v>
          </cell>
        </row>
        <row r="82">
          <cell r="B82" t="str">
            <v>K224141660</v>
          </cell>
          <cell r="C82" t="str">
            <v>Trần Bích Hà</v>
          </cell>
          <cell r="D82" t="str">
            <v>K22414</v>
          </cell>
          <cell r="E82" t="str">
            <v>X</v>
          </cell>
          <cell r="F82" t="str">
            <v>X</v>
          </cell>
          <cell r="H82" t="str">
            <v>PHÂN TÍCH CẢM XÚC NGƯỜI DÙNG TỪ ĐÁNH GIÁ TRÊN ỨNG DỤNG NGÂN HÀNG SỐ VÀ MỐI LIÊN HỆ VỚI BIẾN ĐỘNG GIÁ CỔ PHIẾU NGÂN HÀNG TẠI VIỆT NAM</v>
          </cell>
          <cell r="I82" t="str">
            <v>Tiếng Anh</v>
          </cell>
          <cell r="J82" t="str">
            <v>Tiếng Việt</v>
          </cell>
          <cell r="K82" t="str">
            <v>https://drive.google.com/open?id=1Y1omWwEte0_-Bo5eVfaV1blqX1b6A2jt</v>
          </cell>
        </row>
        <row r="83">
          <cell r="B83" t="str">
            <v>K224141662</v>
          </cell>
          <cell r="C83" t="str">
            <v>Nguyễn Lâm Xuân Hân</v>
          </cell>
          <cell r="D83" t="str">
            <v>K22414</v>
          </cell>
          <cell r="E83" t="str">
            <v>X</v>
          </cell>
          <cell r="F83" t="str">
            <v>X</v>
          </cell>
          <cell r="H83" t="str">
            <v>PHÁT HIỆN SỰ CHUYỂN PHA TRẠNG THÁI THỊ TRƯỜNG CHỨNG KHOÁN VIỆT NAM BẰNG HỌC MÁY KHÔNG GIÁM SÁT VÀ MÔ HÌNH TRẠNG THÁI ẨN HIDDEN MARKOV MODEL</v>
          </cell>
          <cell r="I83" t="str">
            <v>Tiếng Việt</v>
          </cell>
          <cell r="J83" t="str">
            <v>Tiếng Việt</v>
          </cell>
          <cell r="K83" t="str">
            <v>https://drive.google.com/open?id=1HFZnhy3nirBh46hG9mOOdZOkmUDJt1ut</v>
          </cell>
        </row>
        <row r="84">
          <cell r="B84" t="str">
            <v>K224141666</v>
          </cell>
          <cell r="C84" t="str">
            <v>Trần Thị Thu Huỳnh</v>
          </cell>
          <cell r="D84" t="str">
            <v>K22414</v>
          </cell>
          <cell r="E84" t="str">
            <v>X</v>
          </cell>
          <cell r="F84" t="str">
            <v>X</v>
          </cell>
          <cell r="H84" t="str">
            <v>ỨNG DỤNG THUẬT TOÁN PHÂN CỤM TRONG XÂY DỰNG MÔ HÌNH CHẤM ĐIỂM TÍN  DỤNG DOANH NGHIỆP</v>
          </cell>
          <cell r="I84" t="str">
            <v>Tiếng Việt</v>
          </cell>
          <cell r="J84" t="str">
            <v>Tiếng Việt</v>
          </cell>
          <cell r="K84" t="str">
            <v>https://drive.google.com/open?id=192cNv33ABUm8Z5LICz_76AKJv5OesCV5</v>
          </cell>
        </row>
        <row r="85">
          <cell r="B85" t="str">
            <v>K224141669</v>
          </cell>
          <cell r="C85" t="str">
            <v>Bùi Trung Kiên</v>
          </cell>
          <cell r="D85" t="str">
            <v>K22414</v>
          </cell>
          <cell r="E85" t="str">
            <v>X</v>
          </cell>
          <cell r="F85" t="str">
            <v>X</v>
          </cell>
          <cell r="H85" t="str">
            <v>MOMENTUM TRADING IN CRYPTOCURRENCY MARKETS: A MACHINE LEARNING APPROACH WITH RISK ANALYSIS</v>
          </cell>
          <cell r="I85" t="str">
            <v>Tiếng Anh</v>
          </cell>
          <cell r="J85" t="str">
            <v>Tiếng Anh</v>
          </cell>
          <cell r="K85" t="str">
            <v>https://drive.google.com/open?id=1tR2s-a6yp1tI3UwCqoQM1JtMs3qLNzFm</v>
          </cell>
        </row>
        <row r="86">
          <cell r="B86" t="str">
            <v>K224141670</v>
          </cell>
          <cell r="C86" t="str">
            <v>Nguyễn Hữu Kiên</v>
          </cell>
          <cell r="D86" t="str">
            <v>K22414</v>
          </cell>
          <cell r="E86" t="str">
            <v>X</v>
          </cell>
          <cell r="H86" t="str">
            <v>UNVEILING HIDDEN FINANCIAL STATEMENT FRAUD THROUGH WEAK SUPERVISION AND DYNAMIC ENSEMBLE SELECTION: EVIDENCE FROM VIETNAM</v>
          </cell>
          <cell r="I86" t="str">
            <v>Tiếng Anh</v>
          </cell>
          <cell r="J86" t="str">
            <v>Tiếng Anh</v>
          </cell>
          <cell r="K86" t="str">
            <v>https://drive.google.com/open?id=1XohfkH1kyZdLJBcurOVOABNzd9VZckoM</v>
          </cell>
        </row>
        <row r="87">
          <cell r="B87" t="str">
            <v>K224141718</v>
          </cell>
          <cell r="C87" t="str">
            <v>Huỳnh Thị Mỹ Duyên</v>
          </cell>
          <cell r="D87" t="str">
            <v>K22414C</v>
          </cell>
          <cell r="E87" t="str">
            <v>X</v>
          </cell>
          <cell r="F87" t="str">
            <v>X</v>
          </cell>
          <cell r="H87" t="str">
            <v xml:space="preserve">DỰ BÁO XÁC SUẤT VỠ NỢ (PD) CHO KHOẢN VAY THẾ CHẤP GIAI ĐOẠN 2020–2023 VÀ HÀM Ý QUẢN TRỊ RỦI RO TÍN DỤNG </v>
          </cell>
          <cell r="I87" t="str">
            <v>Tiếng Việt</v>
          </cell>
          <cell r="J87" t="str">
            <v>Tiếng Việt</v>
          </cell>
          <cell r="K87" t="str">
            <v>https://drive.google.com/open?id=13tiQizfrzO5NHU9rj9NYOM5AuvZbj0jq&amp;usp=drive_fs</v>
          </cell>
        </row>
        <row r="88">
          <cell r="B88" t="str">
            <v>K224141739</v>
          </cell>
          <cell r="C88" t="str">
            <v>Dương Ngọc Trang</v>
          </cell>
          <cell r="D88" t="str">
            <v>K22414C</v>
          </cell>
          <cell r="E88" t="str">
            <v>X</v>
          </cell>
          <cell r="F88" t="str">
            <v>X</v>
          </cell>
          <cell r="H88" t="str">
            <v>UNVEILING NON-LINEAR DYNAMICS: HOW ECONOMIC POLICY  UNCERTAINTY IMPACTS MANUFACTURING STOCK RETURNS THROUGH XGBOOST AND  RANDOM FOREST ANALYSIS.</v>
          </cell>
          <cell r="I88" t="str">
            <v>Tiếng Anh</v>
          </cell>
          <cell r="J88" t="str">
            <v>Tiếng Anh</v>
          </cell>
          <cell r="K88" t="str">
            <v>https://drive.google.com/open?id=1BXrXuHjaYZJeGqw9UA-qrMNj4p-OSff8</v>
          </cell>
        </row>
        <row r="89">
          <cell r="B89" t="str">
            <v>K224141745</v>
          </cell>
          <cell r="C89" t="str">
            <v>Châu Hải Vy</v>
          </cell>
          <cell r="D89" t="str">
            <v>K22414C</v>
          </cell>
          <cell r="E89" t="str">
            <v>X</v>
          </cell>
          <cell r="F89" t="str">
            <v>X</v>
          </cell>
          <cell r="H89" t="str">
            <v xml:space="preserve">REGIME-SWITCHING ANALYSIS OF THE VIETNAMESE STOCK MARKET: BENCHMARKING CLASSICAL MODELS AND A HYBRID LATENT FRAMEWORK </v>
          </cell>
          <cell r="I89" t="str">
            <v>Tiếng Anh</v>
          </cell>
          <cell r="J89" t="str">
            <v>Tiếng Anh</v>
          </cell>
          <cell r="K89" t="str">
            <v>https://drive.google.com/open?id=14KHr1oKnpdzF5_09SOuwK-O0zfLjJslG</v>
          </cell>
        </row>
        <row r="90">
          <cell r="B90" t="str">
            <v>K224141728</v>
          </cell>
          <cell r="C90" t="str">
            <v>Nguyễn Nhật Nam</v>
          </cell>
          <cell r="D90" t="str">
            <v>K22414C</v>
          </cell>
          <cell r="E90" t="str">
            <v>X</v>
          </cell>
          <cell r="F90" t="str">
            <v>X</v>
          </cell>
          <cell r="H90" t="str">
            <v>DỰ BÁO BIẾN ĐỘNG CÁC MÃ CỔ PHIẾU CỦA THỊ TRƯỜNG VIỆT NAM BẰNG MÔ HÌNH GARCH TĂNG CƯỜNG HỌC SÂU LSTM VỚI THÔNG TIN THỊ TRƯỜNG VÀ SENTIMENT TIN TỨC</v>
          </cell>
          <cell r="I90" t="str">
            <v>Tiếng Việt</v>
          </cell>
          <cell r="J90" t="str">
            <v>Tiếng Việt</v>
          </cell>
          <cell r="K90" t="str">
            <v>https://drive.google.com/open?id=1Zmv0pbvytBv__aLOHzeoDpxFwoaE6qxZ</v>
          </cell>
        </row>
        <row r="91">
          <cell r="B91" t="str">
            <v>K224141731</v>
          </cell>
          <cell r="C91" t="str">
            <v>Nguyễn Trọng Nghĩa</v>
          </cell>
          <cell r="D91" t="str">
            <v>K22414C</v>
          </cell>
          <cell r="E91" t="str">
            <v>X</v>
          </cell>
          <cell r="F91" t="str">
            <v>X</v>
          </cell>
          <cell r="H91" t="str">
            <v>XÂY DỰNG MÔ HÌNH DỰ BÁO GIÁ ĐÓNG CỬA NGẮN HẠN CHO CÁC MÃ CỔ PHIẾU THUỘC VN30 BẰNG DEEP LEARNING VÀ ỨNG DỤNG TRONG HỆ THỐNG HỖ TRỢ GIAO DỊCH FINTECH</v>
          </cell>
          <cell r="I91" t="str">
            <v>Tiếng Việt</v>
          </cell>
          <cell r="J91" t="str">
            <v>Tiếng Việt</v>
          </cell>
          <cell r="K91" t="str">
            <v>https://drive.google.com/open?id=1Jc-UMnspQBNZr0Nbb25qrUlnyEfUSwVu</v>
          </cell>
        </row>
        <row r="92">
          <cell r="B92" t="str">
            <v>K224141732</v>
          </cell>
          <cell r="C92" t="str">
            <v>Cao Hoàng Nhã</v>
          </cell>
          <cell r="D92" t="str">
            <v>K22414C</v>
          </cell>
          <cell r="E92" t="str">
            <v>X</v>
          </cell>
          <cell r="F92" t="str">
            <v>X</v>
          </cell>
          <cell r="H92" t="str">
            <v>DỰ BÁO BIẾN ĐỘNG LỢI NHUẬN VÀ RỦI RO SUY GIẢM LỢI NHUẬN CỦA CÁC DOANH NGHIỆP NIÊM YẾT PHI TÀI CHÍNH TẠI VIỆT NAM BẰNG HỌC MÁY</v>
          </cell>
          <cell r="I92" t="str">
            <v>Tiếng Anh</v>
          </cell>
          <cell r="J92" t="str">
            <v>Tiếng Việt</v>
          </cell>
          <cell r="K92" t="str">
            <v>https://drive.google.com/open?id=1dJq_RVgjBeEYnc_ImqAGy9-JBEjabtLd</v>
          </cell>
        </row>
        <row r="93">
          <cell r="B93" t="str">
            <v>K224141734</v>
          </cell>
          <cell r="C93" t="str">
            <v>Hoàng Thị Quỳnh Như</v>
          </cell>
          <cell r="D93" t="str">
            <v>K22414C</v>
          </cell>
          <cell r="E93" t="str">
            <v>X</v>
          </cell>
          <cell r="F93" t="str">
            <v>X</v>
          </cell>
          <cell r="H93" t="str">
            <v>ỨNG DỤNG MACHINE LEARNING TRONG DỰ BÁO RỦI RO THANH KHOẢN CỦA NGÂN HÀNG THƯƠNG MẠI TẠI VIỆT NAM</v>
          </cell>
          <cell r="I93" t="str">
            <v>Tiếng Anh</v>
          </cell>
          <cell r="J93" t="str">
            <v>Tiếng Việt</v>
          </cell>
          <cell r="K93" t="str">
            <v>https://drive.google.com/open?id=1h_mZeupS44TgPflfSEpuY_s05KHp6vlX</v>
          </cell>
        </row>
        <row r="94">
          <cell r="B94" t="str">
            <v>K224141735</v>
          </cell>
          <cell r="C94" t="str">
            <v>Liêu Hoài Phúc</v>
          </cell>
          <cell r="D94" t="str">
            <v>K22414C</v>
          </cell>
          <cell r="E94" t="str">
            <v>X</v>
          </cell>
          <cell r="F94" t="str">
            <v>X</v>
          </cell>
          <cell r="H94" t="str">
            <v>QUANTVN STRATEGY FORGE: THIẾT KẾ VÀ TRIỂN KHAI NỀN TẢNG PHÂN TÍCH ĐỊNH LƯỢNG HỖ TRỢ XÂY DỰNG CHIẾN LƯỢC GIAO DỊCH VÀ KIỂM ĐỊNH QUÁ KHỨ TRÊN THỊ TRƯỜNG CỔ PHIẾU VIỆT NAM (HOSE)</v>
          </cell>
          <cell r="I94" t="str">
            <v>Tiếng Việt</v>
          </cell>
          <cell r="J94" t="str">
            <v>Tiếng Việt</v>
          </cell>
          <cell r="K94" t="str">
            <v>https://drive.google.com/open?id=17R1d5-5pxA0Ba0AC7kKHNbZKHZrnAYss</v>
          </cell>
        </row>
        <row r="95">
          <cell r="B95" t="str">
            <v>K224141719</v>
          </cell>
          <cell r="C95" t="str">
            <v>Nguyễn Khánh Hà</v>
          </cell>
          <cell r="D95" t="str">
            <v>K22414C</v>
          </cell>
          <cell r="E95" t="str">
            <v>X</v>
          </cell>
          <cell r="H95" t="str">
            <v>PHÂN TÍCH CÁC YẾU TỐ TÁC ĐỘNG ĐẾN CĂNG THẲNG TÀI CHÍNH CỦA DOANH NGHIỆP NGÀNH NGUYÊN VẬT LIỆU NIÊM YẾT TRÊN SỞ GIAO DỊCH CHỨNG KHOÁN TP. HỒ CHÍ MINH GIAI ĐOẠN 2014–2024</v>
          </cell>
          <cell r="I95" t="str">
            <v>Tiếng Anh</v>
          </cell>
          <cell r="J95" t="str">
            <v>Tiếng Việt</v>
          </cell>
          <cell r="K95" t="str">
            <v>https://drive.google.com/open?id=18QfMm1Jj2t20BOVXKpXpIhlVpP8jeB7H</v>
          </cell>
        </row>
        <row r="96">
          <cell r="B96" t="str">
            <v>K224141720</v>
          </cell>
          <cell r="C96" t="str">
            <v>Phạm Thị Duyên Hải</v>
          </cell>
          <cell r="D96" t="str">
            <v>K22414C</v>
          </cell>
          <cell r="E96" t="str">
            <v>X</v>
          </cell>
          <cell r="F96" t="str">
            <v>X</v>
          </cell>
          <cell r="H96" t="str">
            <v>PHÂN TÍCH HIỆU SUẤT TÀI CHÍNH VÀ CHI PHÍ CƠ HỘI CỦA DANH MỤC ĐẦU TƯ TÍCH HỢP TIÊU CHÍ ESG TẠI THỊ TRƯỜNG CHỨNG KHOÁN VIỆT NAM: TIẾP CẬN TỪ MÔ HÌNH MARKOWITZ VÀ THUẬT TOÁN NSGA-II</v>
          </cell>
          <cell r="I96" t="str">
            <v>Tiếng Anh</v>
          </cell>
          <cell r="J96" t="str">
            <v>Tiếng Việt</v>
          </cell>
          <cell r="K96" t="str">
            <v>https://drive.google.com/open?id=1xSfqh-DHR1Rawo8iMrafNTP9XhVOIfBZ</v>
          </cell>
        </row>
        <row r="97">
          <cell r="B97" t="str">
            <v>K224141680</v>
          </cell>
          <cell r="C97" t="str">
            <v>HUỲNH THỊ NGỌC NHI</v>
          </cell>
          <cell r="D97" t="str">
            <v>K22414</v>
          </cell>
          <cell r="E97" t="str">
            <v>X</v>
          </cell>
          <cell r="F97" t="str">
            <v>X</v>
          </cell>
          <cell r="H97" t="str">
            <v>ỨNG DỤNG MACHINE LEARNING TRONG XÂY DỰNG HỆ THỐNG DỰ BÁO RỦI RO CỔ PHIẾU TRÊN THỊ TRƯỜNG CHỨNG KHOÁN VIỆT NAM</v>
          </cell>
          <cell r="I97" t="str">
            <v>Tiếng Việt</v>
          </cell>
          <cell r="J97" t="str">
            <v>Tiếng Việt</v>
          </cell>
          <cell r="K97" t="str">
            <v>https://drive.google.com/open?id=1pV3dCYZAj-pE5bgCdYuZjTNK9r2yHBLF</v>
          </cell>
        </row>
        <row r="98">
          <cell r="B98" t="str">
            <v>K224141683</v>
          </cell>
          <cell r="C98" t="str">
            <v>Huỳnh Quế Nhu</v>
          </cell>
          <cell r="D98" t="str">
            <v>K22414</v>
          </cell>
          <cell r="E98" t="str">
            <v>X</v>
          </cell>
          <cell r="F98" t="str">
            <v>X</v>
          </cell>
          <cell r="H98" t="str">
            <v>XÂY DỰNG TRỢ LÝ HỖ TRỢ NGHIỆP VỤ NGÂN HÀNG DỰA TRÊN MÔ HÌNH RAG VÀ KỸ THUẬT OCR TRONG XỬ LÝ VĂN BẢN</v>
          </cell>
          <cell r="I98" t="str">
            <v>Tiếng Việt</v>
          </cell>
          <cell r="J98" t="str">
            <v>Tiếng Việt</v>
          </cell>
          <cell r="K98" t="str">
            <v>https://drive.google.com/open?id=1-CkXnJchq4dIj2pgPHRfaPhDXGfLlDB_</v>
          </cell>
        </row>
        <row r="99">
          <cell r="B99" t="str">
            <v>K224141684</v>
          </cell>
          <cell r="C99" t="str">
            <v>Phan Kiều Oanh</v>
          </cell>
          <cell r="D99" t="str">
            <v>K22414</v>
          </cell>
          <cell r="E99" t="str">
            <v>X</v>
          </cell>
          <cell r="F99" t="str">
            <v>X</v>
          </cell>
          <cell r="H99" t="str">
            <v xml:space="preserve">XÂY DỰNG HỆ THỐNG CẢNH BÁO SỚM TÌNH TRẠNG KIỆT QUỆ TÀI CHÍNH ĐỐI VỚI CÁC DOANH NGHIỆP PHI TÀI CHÍNH NIÊM YẾT TRÊN SỞ GIAO DỊCH CHỨNG KHOÁN TP. HỒ CHÍ MINH (HOSE) GIAI ĐOẠN 2014-2024 BẰNG DASHBOARD ỨNG DỤNG STREAMLIT </v>
          </cell>
          <cell r="I99" t="str">
            <v>Tiếng Việt</v>
          </cell>
          <cell r="J99" t="str">
            <v>Tiếng Việt</v>
          </cell>
          <cell r="K99" t="str">
            <v>https://drive.google.com/open?id=1yJA-6axgvCBgcGCVhqRZMQCfZNVEc6yw</v>
          </cell>
        </row>
        <row r="100">
          <cell r="B100" t="str">
            <v>K224141689</v>
          </cell>
          <cell r="C100" t="str">
            <v>Trần Ngọc Như Quỳnh</v>
          </cell>
          <cell r="D100" t="str">
            <v>K22414</v>
          </cell>
          <cell r="E100" t="str">
            <v>X</v>
          </cell>
          <cell r="F100" t="str">
            <v>X</v>
          </cell>
          <cell r="H100" t="str">
            <v>ỨNG DỤNG MÔ HÌNH MEAN - VARIANCE VÀ HIERARCHICAL RISK PARITY TRONG PHÂN BỔ DANH MỤC CỔ PHIẾU TẠI THỊ TRƯỜNG CHỨNG KHOÁN VIỆT NAM</v>
          </cell>
          <cell r="I100" t="str">
            <v>Tiếng Việt</v>
          </cell>
          <cell r="J100" t="str">
            <v>Tiếng Việt</v>
          </cell>
          <cell r="K100" t="str">
            <v>https://drive.google.com/open?id=1u_Y61HKiFIFxBoTp3KxWmkF3T5WpVdB7</v>
          </cell>
        </row>
        <row r="101">
          <cell r="B101" t="str">
            <v>K204041141</v>
          </cell>
          <cell r="C101" t="str">
            <v>Nguyễn Ngọc Hoàng</v>
          </cell>
          <cell r="D101" t="str">
            <v>K20404</v>
          </cell>
          <cell r="F101" t="str">
            <v>X</v>
          </cell>
          <cell r="G101" t="str">
            <v>X</v>
          </cell>
          <cell r="H101" t="str">
            <v/>
          </cell>
          <cell r="I101" t="str">
            <v>Tiếng Việt</v>
          </cell>
        </row>
        <row r="102">
          <cell r="B102" t="str">
            <v>K214041625</v>
          </cell>
          <cell r="C102" t="str">
            <v>Nguyễn Hoàng Tuân</v>
          </cell>
          <cell r="D102" t="str">
            <v>K21404</v>
          </cell>
          <cell r="F102" t="str">
            <v>X</v>
          </cell>
          <cell r="G102" t="str">
            <v>X</v>
          </cell>
          <cell r="H102" t="str">
            <v/>
          </cell>
          <cell r="I102" t="str">
            <v>Tiếng Việt</v>
          </cell>
        </row>
        <row r="103">
          <cell r="B103" t="str">
            <v>K224040466</v>
          </cell>
          <cell r="C103" t="str">
            <v>Nguyễn Đình Thiên Ân</v>
          </cell>
          <cell r="D103" t="str">
            <v>K22412</v>
          </cell>
          <cell r="F103" t="str">
            <v>X</v>
          </cell>
          <cell r="G103" t="str">
            <v>X</v>
          </cell>
          <cell r="H103" t="str">
            <v/>
          </cell>
          <cell r="I103" t="str">
            <v>Tiếng Việt</v>
          </cell>
        </row>
        <row r="104">
          <cell r="B104" t="str">
            <v>K224040467</v>
          </cell>
          <cell r="C104" t="str">
            <v>Tô Gia Bảo</v>
          </cell>
          <cell r="D104" t="str">
            <v>K22412</v>
          </cell>
          <cell r="F104" t="str">
            <v>X</v>
          </cell>
          <cell r="G104" t="str">
            <v>X</v>
          </cell>
          <cell r="H104" t="str">
            <v/>
          </cell>
          <cell r="I104" t="str">
            <v>Tiếng Anh</v>
          </cell>
        </row>
        <row r="105">
          <cell r="B105" t="str">
            <v>K224040468</v>
          </cell>
          <cell r="C105" t="str">
            <v>Phạm Mai Chi</v>
          </cell>
          <cell r="D105" t="str">
            <v>K22412</v>
          </cell>
          <cell r="F105" t="str">
            <v>X</v>
          </cell>
          <cell r="G105" t="str">
            <v>X</v>
          </cell>
          <cell r="H105" t="str">
            <v/>
          </cell>
          <cell r="I105" t="str">
            <v>Tiếng Việt</v>
          </cell>
        </row>
        <row r="106">
          <cell r="B106" t="str">
            <v>K224040478</v>
          </cell>
          <cell r="C106" t="str">
            <v>Nguyễn Tuấn Kiệt</v>
          </cell>
          <cell r="D106" t="str">
            <v>K22412</v>
          </cell>
          <cell r="F106" t="str">
            <v>X</v>
          </cell>
          <cell r="G106" t="str">
            <v>X</v>
          </cell>
          <cell r="H106" t="str">
            <v/>
          </cell>
          <cell r="I106" t="str">
            <v>Tiếng Anh</v>
          </cell>
        </row>
        <row r="107">
          <cell r="B107" t="str">
            <v>K224040487</v>
          </cell>
          <cell r="C107" t="str">
            <v>Nghiêm Thùy Yến Nhi</v>
          </cell>
          <cell r="D107" t="str">
            <v>K22412</v>
          </cell>
          <cell r="F107" t="str">
            <v>X</v>
          </cell>
          <cell r="G107" t="str">
            <v>X</v>
          </cell>
          <cell r="H107" t="str">
            <v/>
          </cell>
          <cell r="I107" t="str">
            <v>Tiếng Việt</v>
          </cell>
        </row>
        <row r="108">
          <cell r="B108" t="str">
            <v>K224040489</v>
          </cell>
          <cell r="C108" t="str">
            <v>Thiều Thị Ngọc Oanh</v>
          </cell>
          <cell r="D108" t="str">
            <v>K22412</v>
          </cell>
          <cell r="F108" t="str">
            <v>X</v>
          </cell>
          <cell r="G108" t="str">
            <v>X</v>
          </cell>
          <cell r="H108" t="str">
            <v/>
          </cell>
          <cell r="I108" t="str">
            <v>Tiếng Việt</v>
          </cell>
        </row>
        <row r="109">
          <cell r="B109" t="str">
            <v>K224040490</v>
          </cell>
          <cell r="C109" t="str">
            <v>Nguyễn Ngọc Châu Phương</v>
          </cell>
          <cell r="D109" t="str">
            <v>K22412</v>
          </cell>
          <cell r="F109" t="str">
            <v>X</v>
          </cell>
          <cell r="G109" t="str">
            <v>X</v>
          </cell>
          <cell r="H109" t="str">
            <v/>
          </cell>
          <cell r="I109" t="str">
            <v>Tiếng Anh</v>
          </cell>
        </row>
        <row r="110">
          <cell r="B110" t="str">
            <v>K224040491</v>
          </cell>
          <cell r="C110" t="str">
            <v>Nguyễn Duy Phúc</v>
          </cell>
          <cell r="D110" t="str">
            <v>K22412</v>
          </cell>
          <cell r="F110" t="str">
            <v>X</v>
          </cell>
          <cell r="G110" t="str">
            <v>X</v>
          </cell>
          <cell r="H110" t="str">
            <v/>
          </cell>
          <cell r="I110" t="str">
            <v>Tiếng Việt</v>
          </cell>
        </row>
        <row r="111">
          <cell r="B111" t="str">
            <v>K224040495</v>
          </cell>
          <cell r="C111" t="str">
            <v>Hà Huy Tân</v>
          </cell>
          <cell r="D111" t="str">
            <v>K22412</v>
          </cell>
          <cell r="F111" t="str">
            <v>X</v>
          </cell>
          <cell r="G111" t="str">
            <v>X</v>
          </cell>
          <cell r="H111" t="str">
            <v/>
          </cell>
          <cell r="I111" t="str">
            <v>Tiếng Việt</v>
          </cell>
        </row>
        <row r="112">
          <cell r="B112" t="str">
            <v>K224040501</v>
          </cell>
          <cell r="C112" t="str">
            <v>Lê Thị Thủy Tiên</v>
          </cell>
          <cell r="D112" t="str">
            <v>K22412</v>
          </cell>
          <cell r="F112" t="str">
            <v>X</v>
          </cell>
          <cell r="G112" t="str">
            <v>X</v>
          </cell>
          <cell r="H112" t="str">
            <v/>
          </cell>
          <cell r="I112" t="str">
            <v>Tiếng Việt</v>
          </cell>
        </row>
        <row r="113">
          <cell r="B113" t="str">
            <v>K224040502</v>
          </cell>
          <cell r="C113" t="str">
            <v>Nguyễn Thủy Tiên</v>
          </cell>
          <cell r="D113" t="str">
            <v>K22404</v>
          </cell>
          <cell r="F113" t="str">
            <v>X</v>
          </cell>
          <cell r="G113" t="str">
            <v>X</v>
          </cell>
          <cell r="H113" t="str">
            <v/>
          </cell>
          <cell r="I113" t="str">
            <v>Tiếng Việt</v>
          </cell>
        </row>
        <row r="114">
          <cell r="B114" t="str">
            <v>K224040504</v>
          </cell>
          <cell r="C114" t="str">
            <v>Hồ Thị Ngọc Trâm</v>
          </cell>
          <cell r="D114" t="str">
            <v>K22404</v>
          </cell>
          <cell r="F114" t="str">
            <v>X</v>
          </cell>
          <cell r="G114" t="str">
            <v>X</v>
          </cell>
          <cell r="H114" t="str">
            <v/>
          </cell>
          <cell r="I114" t="str">
            <v>Tiếng Việt</v>
          </cell>
        </row>
        <row r="115">
          <cell r="B115" t="str">
            <v>K224040506</v>
          </cell>
          <cell r="C115" t="str">
            <v>Nguyễn Thanh Trúc</v>
          </cell>
          <cell r="D115" t="str">
            <v>K22404</v>
          </cell>
          <cell r="F115" t="str">
            <v>X</v>
          </cell>
          <cell r="G115" t="str">
            <v>X</v>
          </cell>
          <cell r="H115" t="str">
            <v/>
          </cell>
          <cell r="I115" t="str">
            <v>Tiếng Việt</v>
          </cell>
        </row>
        <row r="116">
          <cell r="B116" t="str">
            <v>K224040519</v>
          </cell>
          <cell r="C116" t="str">
            <v>Hoàng Thị Đông Hà</v>
          </cell>
          <cell r="D116" t="str">
            <v>K22412</v>
          </cell>
          <cell r="F116" t="str">
            <v>X</v>
          </cell>
          <cell r="G116" t="str">
            <v>X</v>
          </cell>
          <cell r="H116" t="str">
            <v/>
          </cell>
          <cell r="I116" t="str">
            <v>Tiếng Việt</v>
          </cell>
        </row>
        <row r="117">
          <cell r="B117" t="str">
            <v>K224040523</v>
          </cell>
          <cell r="C117" t="str">
            <v>Phí Nhật Hoàng</v>
          </cell>
          <cell r="D117" t="str">
            <v>K22412</v>
          </cell>
          <cell r="F117" t="str">
            <v>X</v>
          </cell>
          <cell r="G117" t="str">
            <v>X</v>
          </cell>
          <cell r="H117" t="str">
            <v/>
          </cell>
          <cell r="I117" t="str">
            <v>Tiếng Anh</v>
          </cell>
        </row>
        <row r="118">
          <cell r="B118" t="str">
            <v>K224040528</v>
          </cell>
          <cell r="C118" t="str">
            <v>Trần Nhật Linh</v>
          </cell>
          <cell r="D118" t="str">
            <v>K22412</v>
          </cell>
          <cell r="F118" t="str">
            <v>X</v>
          </cell>
          <cell r="G118" t="str">
            <v>X</v>
          </cell>
          <cell r="H118" t="str">
            <v/>
          </cell>
          <cell r="I118" t="str">
            <v>Tiếng Việt</v>
          </cell>
        </row>
        <row r="119">
          <cell r="B119" t="str">
            <v>K224042344</v>
          </cell>
          <cell r="C119" t="str">
            <v>Đỗ Kim Anh</v>
          </cell>
          <cell r="D119" t="str">
            <v>K22412</v>
          </cell>
          <cell r="F119" t="str">
            <v>X</v>
          </cell>
          <cell r="G119" t="str">
            <v>X</v>
          </cell>
          <cell r="H119" t="str">
            <v/>
          </cell>
          <cell r="I119" t="str">
            <v>Tiếng Anh</v>
          </cell>
        </row>
        <row r="120">
          <cell r="B120" t="str">
            <v>K224042345</v>
          </cell>
          <cell r="C120" t="str">
            <v>Phandolak Mona</v>
          </cell>
          <cell r="D120" t="str">
            <v>K22412</v>
          </cell>
          <cell r="F120" t="str">
            <v>X</v>
          </cell>
          <cell r="G120" t="str">
            <v>X</v>
          </cell>
          <cell r="H120" t="str">
            <v/>
          </cell>
          <cell r="I120" t="str">
            <v>Tiếng Việt</v>
          </cell>
        </row>
        <row r="121">
          <cell r="B121" t="str">
            <v>K224042346</v>
          </cell>
          <cell r="C121" t="str">
            <v>Phommavong Thipsouda</v>
          </cell>
          <cell r="D121" t="str">
            <v>K22412</v>
          </cell>
          <cell r="F121" t="str">
            <v>X</v>
          </cell>
          <cell r="G121" t="str">
            <v>X</v>
          </cell>
          <cell r="H121" t="str">
            <v/>
          </cell>
          <cell r="I121" t="str">
            <v>Tiếng Việt</v>
          </cell>
        </row>
        <row r="122">
          <cell r="B122" t="str">
            <v>K224042347</v>
          </cell>
          <cell r="C122" t="str">
            <v>Cheemeng Vangchiaxar</v>
          </cell>
          <cell r="D122" t="str">
            <v>K22412</v>
          </cell>
          <cell r="F122" t="str">
            <v>X</v>
          </cell>
          <cell r="G122" t="str">
            <v>X</v>
          </cell>
          <cell r="H122" t="str">
            <v/>
          </cell>
          <cell r="I122" t="str">
            <v>Tiếng Việt</v>
          </cell>
        </row>
        <row r="123">
          <cell r="B123" t="str">
            <v>K224141697</v>
          </cell>
          <cell r="C123" t="str">
            <v>Lâm Chánh Tín</v>
          </cell>
          <cell r="D123" t="str">
            <v>K22414</v>
          </cell>
          <cell r="E123" t="str">
            <v>X</v>
          </cell>
          <cell r="F123" t="str">
            <v>X</v>
          </cell>
          <cell r="H123" t="str">
            <v>ỨNG DỤNG DEEP REINFORCEMENT LEARNING  TRONG TỐI ƯU HÓA DANH MỤC ĐẦU TƯ CHỨNG KHOÁN Ở THỊ TRƯỜNG VIỆT NAM</v>
          </cell>
          <cell r="I123" t="str">
            <v>Tiếng Việt</v>
          </cell>
          <cell r="J123" t="str">
            <v>Tiếng Việt</v>
          </cell>
          <cell r="K123" t="str">
            <v>https://drive.google.com/open?id=1aJPIQHdorWx-XkNR5_DSy0bwEaBsmtgU</v>
          </cell>
        </row>
        <row r="124">
          <cell r="B124" t="str">
            <v>K224141692</v>
          </cell>
          <cell r="C124" t="str">
            <v>Nguyễn Thị Ngọc Thanh</v>
          </cell>
          <cell r="D124" t="str">
            <v>K22414</v>
          </cell>
          <cell r="E124" t="str">
            <v>X</v>
          </cell>
          <cell r="F124" t="str">
            <v>X</v>
          </cell>
          <cell r="H124" t="str">
            <v>ỨNG DỤNG MÔ HÌNH HEDONIC VÀ MACHINE LEARNING TRONG PHÂN TÍCH CÁC YẾU TỐ ẢNH HƯỞNG ĐẾN GIÁ CĂN HỘ CHUNG CƯ TẠI TP.HCM</v>
          </cell>
          <cell r="I124" t="str">
            <v>Tiếng Việt</v>
          </cell>
          <cell r="J124" t="str">
            <v>Tiếng Việt</v>
          </cell>
          <cell r="K124" t="str">
            <v>https://drive.google.com/open?id=1rqbS8g3SruQRRw9kpmc5kXg9tKJVEn5h</v>
          </cell>
        </row>
        <row r="125">
          <cell r="B125" t="str">
            <v>K224141672</v>
          </cell>
          <cell r="C125" t="str">
            <v>Phan Ánh Linh</v>
          </cell>
          <cell r="D125" t="str">
            <v>K22414</v>
          </cell>
          <cell r="E125" t="str">
            <v>X</v>
          </cell>
          <cell r="F125" t="str">
            <v>X</v>
          </cell>
          <cell r="H125" t="str">
            <v>ỨNG DỤNG MÔ HÌNH HỌC SÂU LAI LSTM-GRU TRONG DỰ BÁO ĐIỂM ĐẢO CHIỀU XU HƯỚNG CỔ PHIẾU: THỰC NGHIỆM TẠI THỊ TRƯỜNG CHỨNG KHOÁN VIỆT NAM</v>
          </cell>
          <cell r="I125" t="str">
            <v>Tiếng Anh</v>
          </cell>
          <cell r="J125" t="str">
            <v>Tiếng Việt</v>
          </cell>
          <cell r="K125" t="str">
            <v>https://drive.google.com/open?id=1apeGzQjqsRX5_mRKHRLphzoZ5xItuB0T</v>
          </cell>
        </row>
        <row r="126">
          <cell r="B126" t="str">
            <v>K224040464</v>
          </cell>
          <cell r="C126" t="str">
            <v>Phạm Vũ Tú Anh</v>
          </cell>
          <cell r="D126" t="str">
            <v>K22412</v>
          </cell>
          <cell r="F126" t="str">
            <v>X</v>
          </cell>
          <cell r="G126" t="str">
            <v>X</v>
          </cell>
          <cell r="H126" t="str">
            <v/>
          </cell>
          <cell r="I126" t="str">
            <v>Tiếng Anh</v>
          </cell>
        </row>
        <row r="127">
          <cell r="B127" t="str">
            <v>K224040469</v>
          </cell>
          <cell r="C127" t="str">
            <v>Nguyễn Thị Thúy Diễm</v>
          </cell>
          <cell r="D127" t="str">
            <v>K22412</v>
          </cell>
          <cell r="F127" t="str">
            <v>X</v>
          </cell>
          <cell r="G127" t="str">
            <v>X</v>
          </cell>
          <cell r="H127" t="str">
            <v/>
          </cell>
          <cell r="I127" t="str">
            <v>Tiếng Anh</v>
          </cell>
        </row>
        <row r="128">
          <cell r="B128" t="str">
            <v>K224040482</v>
          </cell>
          <cell r="C128" t="str">
            <v>Dương Công Nam</v>
          </cell>
          <cell r="D128" t="str">
            <v>K22412</v>
          </cell>
          <cell r="F128" t="str">
            <v>X</v>
          </cell>
          <cell r="G128" t="str">
            <v>X</v>
          </cell>
          <cell r="H128" t="str">
            <v/>
          </cell>
          <cell r="I128" t="str">
            <v>Tiếng Việt</v>
          </cell>
        </row>
        <row r="129">
          <cell r="B129" t="str">
            <v>K224040485</v>
          </cell>
          <cell r="C129" t="str">
            <v>Triệu Hoàng Kim Nguyên</v>
          </cell>
          <cell r="D129" t="str">
            <v>K22412</v>
          </cell>
          <cell r="F129" t="str">
            <v>X</v>
          </cell>
          <cell r="G129" t="str">
            <v>X</v>
          </cell>
          <cell r="H129" t="str">
            <v/>
          </cell>
          <cell r="I129" t="str">
            <v>Tiếng Việt</v>
          </cell>
        </row>
        <row r="130">
          <cell r="B130" t="str">
            <v>K224040494</v>
          </cell>
          <cell r="C130" t="str">
            <v>Huỳnh Thị Thanh Tâm</v>
          </cell>
          <cell r="D130" t="str">
            <v>K22412</v>
          </cell>
          <cell r="F130" t="str">
            <v>X</v>
          </cell>
          <cell r="G130" t="str">
            <v>X</v>
          </cell>
          <cell r="H130" t="str">
            <v/>
          </cell>
          <cell r="I130" t="str">
            <v>Tiếng Việt</v>
          </cell>
        </row>
        <row r="131">
          <cell r="B131" t="str">
            <v>K224040497</v>
          </cell>
          <cell r="C131" t="str">
            <v>Phan Như Thành</v>
          </cell>
          <cell r="D131" t="str">
            <v>K22412</v>
          </cell>
          <cell r="F131" t="str">
            <v>X</v>
          </cell>
          <cell r="G131" t="str">
            <v>X</v>
          </cell>
          <cell r="H131" t="str">
            <v/>
          </cell>
          <cell r="I131" t="str">
            <v>Tiếng Việt</v>
          </cell>
        </row>
        <row r="132">
          <cell r="B132" t="str">
            <v>K224040498</v>
          </cell>
          <cell r="C132" t="str">
            <v>Lê Hưng Thịnh</v>
          </cell>
          <cell r="D132" t="str">
            <v>K22404</v>
          </cell>
          <cell r="F132" t="str">
            <v>X</v>
          </cell>
          <cell r="G132" t="str">
            <v>X</v>
          </cell>
          <cell r="H132" t="str">
            <v/>
          </cell>
          <cell r="I132" t="str">
            <v>Tiếng Việt</v>
          </cell>
        </row>
        <row r="133">
          <cell r="B133" t="str">
            <v>K224040499</v>
          </cell>
          <cell r="C133" t="str">
            <v>Bùi Anh Thư</v>
          </cell>
          <cell r="D133" t="str">
            <v>K22404</v>
          </cell>
          <cell r="F133" t="str">
            <v>X</v>
          </cell>
          <cell r="G133" t="str">
            <v>X</v>
          </cell>
          <cell r="H133" t="str">
            <v/>
          </cell>
          <cell r="I133" t="str">
            <v>Tiếng Việt</v>
          </cell>
        </row>
        <row r="134">
          <cell r="B134" t="str">
            <v>K224040500</v>
          </cell>
          <cell r="C134" t="str">
            <v>Nguyễn Thị Thương</v>
          </cell>
          <cell r="D134" t="str">
            <v>K22404</v>
          </cell>
          <cell r="F134" t="str">
            <v>X</v>
          </cell>
          <cell r="G134" t="str">
            <v>X</v>
          </cell>
          <cell r="H134" t="str">
            <v/>
          </cell>
          <cell r="I134" t="str">
            <v>Tiếng Việt</v>
          </cell>
        </row>
        <row r="135">
          <cell r="B135" t="str">
            <v>K224040505</v>
          </cell>
          <cell r="C135" t="str">
            <v>Nguyễn Ngọc Huyền Trân</v>
          </cell>
          <cell r="D135" t="str">
            <v>K22412</v>
          </cell>
          <cell r="F135" t="str">
            <v>X</v>
          </cell>
          <cell r="G135" t="str">
            <v>X</v>
          </cell>
          <cell r="H135" t="str">
            <v/>
          </cell>
          <cell r="I135" t="str">
            <v>Tiếng Việt</v>
          </cell>
        </row>
        <row r="136">
          <cell r="B136" t="str">
            <v>K224040509</v>
          </cell>
          <cell r="C136" t="str">
            <v>Phan Ngọc Khánh Uyên</v>
          </cell>
          <cell r="D136" t="str">
            <v>K22412</v>
          </cell>
          <cell r="F136" t="str">
            <v>X</v>
          </cell>
          <cell r="G136" t="str">
            <v>X</v>
          </cell>
          <cell r="H136" t="str">
            <v/>
          </cell>
          <cell r="I136" t="str">
            <v>Tiếng Việt</v>
          </cell>
        </row>
        <row r="137">
          <cell r="B137" t="str">
            <v>K224040510</v>
          </cell>
          <cell r="C137" t="str">
            <v>Lê Trịnh Thảo Vi</v>
          </cell>
          <cell r="D137" t="str">
            <v>K22412</v>
          </cell>
          <cell r="F137" t="str">
            <v>X</v>
          </cell>
          <cell r="G137" t="str">
            <v>X</v>
          </cell>
          <cell r="H137" t="str">
            <v/>
          </cell>
          <cell r="I137" t="str">
            <v>Tiếng Việt</v>
          </cell>
        </row>
        <row r="138">
          <cell r="B138" t="str">
            <v>K224040512</v>
          </cell>
          <cell r="C138" t="str">
            <v>Nguyễn Tường Vy</v>
          </cell>
          <cell r="D138" t="str">
            <v>K22412</v>
          </cell>
          <cell r="F138" t="str">
            <v>X</v>
          </cell>
          <cell r="G138" t="str">
            <v>X</v>
          </cell>
          <cell r="H138" t="str">
            <v/>
          </cell>
          <cell r="I138" t="str">
            <v>Tiếng Việt</v>
          </cell>
        </row>
        <row r="139">
          <cell r="B139" t="str">
            <v>K224040518</v>
          </cell>
          <cell r="C139" t="str">
            <v>Nguyễn Triệu Duy</v>
          </cell>
          <cell r="D139" t="str">
            <v>K22404</v>
          </cell>
          <cell r="F139" t="str">
            <v>X</v>
          </cell>
          <cell r="G139" t="str">
            <v>X</v>
          </cell>
          <cell r="H139" t="str">
            <v/>
          </cell>
          <cell r="I139" t="str">
            <v>Tiếng Việt</v>
          </cell>
        </row>
        <row r="140">
          <cell r="B140" t="str">
            <v>K224040521</v>
          </cell>
          <cell r="C140" t="str">
            <v>Nguyễn Huy Thu Hằng</v>
          </cell>
          <cell r="D140" t="str">
            <v>K22404</v>
          </cell>
          <cell r="F140" t="str">
            <v>X</v>
          </cell>
          <cell r="G140" t="str">
            <v>X</v>
          </cell>
          <cell r="H140" t="str">
            <v/>
          </cell>
          <cell r="I140" t="str">
            <v>Tiếng Việt</v>
          </cell>
        </row>
        <row r="141">
          <cell r="B141" t="str">
            <v>K224040522</v>
          </cell>
          <cell r="C141" t="str">
            <v>Đỗ Thu Hiền</v>
          </cell>
          <cell r="D141" t="str">
            <v>K22412</v>
          </cell>
          <cell r="F141" t="str">
            <v>X</v>
          </cell>
          <cell r="G141" t="str">
            <v>X</v>
          </cell>
          <cell r="H141" t="str">
            <v/>
          </cell>
          <cell r="I141" t="str">
            <v>Tiếng Anh</v>
          </cell>
        </row>
        <row r="142">
          <cell r="B142" t="str">
            <v>K224040525</v>
          </cell>
          <cell r="C142" t="str">
            <v>Nguyễn Đỗ Thiên Hương</v>
          </cell>
          <cell r="D142" t="str">
            <v>K22412</v>
          </cell>
          <cell r="F142" t="str">
            <v>X</v>
          </cell>
          <cell r="G142" t="str">
            <v>X</v>
          </cell>
          <cell r="H142" t="str">
            <v/>
          </cell>
          <cell r="I142" t="str">
            <v>Tiếng Việt</v>
          </cell>
        </row>
        <row r="143">
          <cell r="B143" t="str">
            <v>K224040527</v>
          </cell>
          <cell r="C143" t="str">
            <v>Chu Thị Mỹ Linh</v>
          </cell>
          <cell r="D143" t="str">
            <v>K22412</v>
          </cell>
          <cell r="F143" t="str">
            <v>X</v>
          </cell>
          <cell r="G143" t="str">
            <v>X</v>
          </cell>
          <cell r="H143" t="str">
            <v/>
          </cell>
          <cell r="I143" t="str">
            <v>Tiếng Việt</v>
          </cell>
        </row>
        <row r="144">
          <cell r="B144" t="str">
            <v>K224040531</v>
          </cell>
          <cell r="C144" t="str">
            <v>Lê Bảo Ngân</v>
          </cell>
          <cell r="D144" t="str">
            <v>K22412</v>
          </cell>
          <cell r="F144" t="str">
            <v>X</v>
          </cell>
          <cell r="G144" t="str">
            <v>X</v>
          </cell>
          <cell r="H144" t="str">
            <v/>
          </cell>
          <cell r="I144" t="str">
            <v>Tiếng Anh</v>
          </cell>
        </row>
        <row r="145">
          <cell r="B145" t="str">
            <v>K224040533</v>
          </cell>
          <cell r="C145" t="str">
            <v>Lê Hà Bảo Ngọc</v>
          </cell>
          <cell r="D145" t="str">
            <v>K22412</v>
          </cell>
          <cell r="F145" t="str">
            <v>X</v>
          </cell>
          <cell r="G145" t="str">
            <v>X</v>
          </cell>
          <cell r="H145" t="str">
            <v/>
          </cell>
          <cell r="I145" t="str">
            <v>Tiếng Việt</v>
          </cell>
        </row>
        <row r="146">
          <cell r="B146" t="str">
            <v>K224040534</v>
          </cell>
          <cell r="C146" t="str">
            <v>Nguyễn Trần Ái Nguyệt</v>
          </cell>
          <cell r="D146" t="str">
            <v>K22404</v>
          </cell>
          <cell r="F146" t="str">
            <v>X</v>
          </cell>
          <cell r="G146" t="str">
            <v>X</v>
          </cell>
          <cell r="H146" t="str">
            <v/>
          </cell>
          <cell r="I146" t="str">
            <v>Tiếng Việt</v>
          </cell>
        </row>
        <row r="147">
          <cell r="B147" t="str">
            <v>K224040535</v>
          </cell>
          <cell r="C147" t="str">
            <v>Lê Thị Kiều Nhi</v>
          </cell>
          <cell r="D147" t="str">
            <v>K22404</v>
          </cell>
          <cell r="F147" t="str">
            <v>X</v>
          </cell>
          <cell r="G147" t="str">
            <v>X</v>
          </cell>
          <cell r="H147" t="str">
            <v/>
          </cell>
          <cell r="I147" t="str">
            <v>Tiếng Việt</v>
          </cell>
        </row>
        <row r="148">
          <cell r="B148" t="str">
            <v>K224040537</v>
          </cell>
          <cell r="C148" t="str">
            <v>Đặng Kiều Oanh</v>
          </cell>
          <cell r="D148" t="str">
            <v>K22404</v>
          </cell>
          <cell r="F148" t="str">
            <v>X</v>
          </cell>
          <cell r="G148" t="str">
            <v>X</v>
          </cell>
          <cell r="H148" t="str">
            <v/>
          </cell>
          <cell r="I148" t="str">
            <v>Tiếng Việt</v>
          </cell>
        </row>
        <row r="149">
          <cell r="B149" t="str">
            <v>K224040552</v>
          </cell>
          <cell r="C149" t="str">
            <v>Huỳnh Mai Huyền Trang</v>
          </cell>
          <cell r="D149" t="str">
            <v>K22412</v>
          </cell>
          <cell r="F149" t="str">
            <v>X</v>
          </cell>
          <cell r="G149" t="str">
            <v>X</v>
          </cell>
          <cell r="H149" t="str">
            <v/>
          </cell>
          <cell r="I149" t="str">
            <v>Tiếng Việt</v>
          </cell>
        </row>
        <row r="150">
          <cell r="B150" t="str">
            <v>K224040554</v>
          </cell>
          <cell r="C150" t="str">
            <v>Lê Thanh Trúc</v>
          </cell>
          <cell r="D150" t="str">
            <v>K22412</v>
          </cell>
          <cell r="F150" t="str">
            <v>X</v>
          </cell>
          <cell r="G150" t="str">
            <v>X</v>
          </cell>
          <cell r="H150" t="str">
            <v/>
          </cell>
          <cell r="I150" t="str">
            <v>Tiếng Việt</v>
          </cell>
        </row>
        <row r="151">
          <cell r="B151" t="str">
            <v>K224040557</v>
          </cell>
          <cell r="C151" t="str">
            <v>Nguyễn Văn Tuyên</v>
          </cell>
          <cell r="D151" t="str">
            <v>K22412</v>
          </cell>
          <cell r="F151" t="str">
            <v>X</v>
          </cell>
          <cell r="G151" t="str">
            <v>X</v>
          </cell>
          <cell r="H151" t="str">
            <v/>
          </cell>
          <cell r="I151" t="str">
            <v>Tiếng Anh</v>
          </cell>
        </row>
        <row r="152">
          <cell r="B152" t="str">
            <v>K224040559</v>
          </cell>
          <cell r="C152" t="str">
            <v>Vũ Hoàng Vi</v>
          </cell>
          <cell r="D152" t="str">
            <v>K22412</v>
          </cell>
          <cell r="F152" t="str">
            <v>X</v>
          </cell>
          <cell r="G152" t="str">
            <v>X</v>
          </cell>
          <cell r="H152" t="str">
            <v/>
          </cell>
          <cell r="I152" t="str">
            <v>Tiếng Việt</v>
          </cell>
        </row>
        <row r="153">
          <cell r="B153" t="str">
            <v>K224141675</v>
          </cell>
          <cell r="C153" t="str">
            <v>Huỳnh Thị Thanh Nga</v>
          </cell>
          <cell r="D153" t="str">
            <v>K22414</v>
          </cell>
          <cell r="E153" t="str">
            <v>X</v>
          </cell>
          <cell r="H153" t="str">
            <v>XÂY DỰNG VÀ SO SÁNH HIỆU QUẢ DANH MỤC ĐẦU TƯ THEO MÔ HÌNH MARKOWITZ VÀ DOWNSIDE RISK TRÊN RỔ CỔ PHIẾU VN100 KẾT HỢP KỸ THUẬT PHÂN CỤM</v>
          </cell>
          <cell r="I153" t="str">
            <v>Tiếng Anh</v>
          </cell>
          <cell r="J153" t="str">
            <v>Tiếng Việt</v>
          </cell>
          <cell r="K153" t="str">
            <v>https://drive.google.com/open?id=1HBe6sKVWo57SYNJmGwuMlghonFnmX4hz</v>
          </cell>
        </row>
        <row r="154">
          <cell r="B154" t="str">
            <v>K224141682</v>
          </cell>
          <cell r="C154" t="str">
            <v>Hồ Minh Nhí</v>
          </cell>
          <cell r="D154" t="str">
            <v>K22414</v>
          </cell>
          <cell r="E154" t="str">
            <v>X</v>
          </cell>
          <cell r="F154" t="str">
            <v>X</v>
          </cell>
          <cell r="H154" t="str">
            <v>APPLYING MACHINE LEARNING TO ASSESS  FINANCIAL RISK OF VIETNAMESE LISTED FIRMS  USING CLASSICAL BANKRUPTCY MODELS  AND PRICE-BASED RISK MEASURES</v>
          </cell>
          <cell r="I154" t="str">
            <v>Tiếng Anh</v>
          </cell>
          <cell r="J154" t="str">
            <v>Tiếng Anh</v>
          </cell>
          <cell r="K154" t="str">
            <v>https://drive.google.com/open?id=1j0SOYbvN-zT3wki1_Soaju3X2FjgX1mG</v>
          </cell>
        </row>
        <row r="155">
          <cell r="B155" t="str">
            <v>K224141686</v>
          </cell>
          <cell r="C155" t="str">
            <v>Phạm Ngọc Quang</v>
          </cell>
          <cell r="D155" t="str">
            <v>K22414</v>
          </cell>
          <cell r="E155" t="str">
            <v>X</v>
          </cell>
          <cell r="F155" t="str">
            <v>X</v>
          </cell>
          <cell r="H155" t="str">
            <v>ỨNG DỤNG MÁY HỌC TRONG PHÂN TÍCH  CẢM XÚC THỊ TRƯỜNG ĐỂ DỰ BÁO GIÁ CỔ PHIẾU VIỆT NAM</v>
          </cell>
          <cell r="I155" t="str">
            <v>Tiếng Việt</v>
          </cell>
          <cell r="J155" t="str">
            <v>Tiếng Việt</v>
          </cell>
          <cell r="K155" t="str">
            <v>https://drive.google.com/open?id=1Kuz9QfEauikGIqe7-RKIIw7OON_RD5b9&amp;usp=drive_fs</v>
          </cell>
        </row>
        <row r="156">
          <cell r="B156" t="str">
            <v>K224141742</v>
          </cell>
          <cell r="C156" t="str">
            <v>Nguyễn Sơn Trường</v>
          </cell>
          <cell r="D156" t="str">
            <v>K22414C</v>
          </cell>
          <cell r="E156" t="str">
            <v>X</v>
          </cell>
          <cell r="F156" t="str">
            <v>X</v>
          </cell>
          <cell r="H156" t="str">
            <v>ỨNG DỤNG THUẬT TOÁN K-MEANS TRONG VIỆC PHÂN NHÓM CỔ PHIẾU VÀ TẠO LẬP DANH MỤC ĐẦU TƯ.</v>
          </cell>
          <cell r="I156" t="str">
            <v>Tiếng Việt</v>
          </cell>
          <cell r="J156" t="str">
            <v>Tiếng Việt</v>
          </cell>
          <cell r="K156" t="str">
            <v>https://drive.google.com/open?id=1w1FE9h3C8odNYERPJndNdr2Ljho940r2</v>
          </cell>
        </row>
        <row r="157">
          <cell r="B157" t="str">
            <v>K224141699</v>
          </cell>
          <cell r="C157" t="str">
            <v>Phan Nguyễn Xuân Toàn</v>
          </cell>
          <cell r="D157" t="str">
            <v>K22414</v>
          </cell>
          <cell r="E157" t="str">
            <v>X</v>
          </cell>
          <cell r="F157" t="str">
            <v>X</v>
          </cell>
          <cell r="H157" t="str">
            <v>THIẾT KẾ VÀ TRIỂN KHAI HỆ THỐNG GIAO DỊCH ĐỊNH LƯỢNG THÍCH NGHI (ADAPTIVE) TRÊN THỊ TRƯỜNG TIỀN MÃ HÓA ỨNG DỤNG BỘ LỌC KALMAN VÀ TỐI ƯU HÓA DANH MỤC THEO KELLY CRITERION</v>
          </cell>
          <cell r="I157" t="str">
            <v>Tiếng Việt</v>
          </cell>
          <cell r="J157" t="str">
            <v>Tiếng Việt</v>
          </cell>
          <cell r="K157" t="str">
            <v>https://drive.google.com/open?id=1nfvXbXBBOl55YDqEI_K3x-gNOV88_xgM</v>
          </cell>
        </row>
        <row r="158">
          <cell r="B158" t="str">
            <v>K224141707</v>
          </cell>
          <cell r="C158" t="str">
            <v>Lê Thị Mỹ Uyên</v>
          </cell>
          <cell r="D158" t="str">
            <v>K22414</v>
          </cell>
          <cell r="E158" t="str">
            <v>X</v>
          </cell>
          <cell r="H158" t="str">
            <v>ỨNG DỤNG HỌC MÁY TRONG PHÂN LOẠI  SỨC KHỎE TÀI CHÍNH VÀ ĐÁNH GIÁ TÍN NHIỆM  DOANH NGHIỆP PHI TÀI CHÍNH VIỆT NAM</v>
          </cell>
          <cell r="I158" t="str">
            <v>Tiếng Việt</v>
          </cell>
          <cell r="J158" t="str">
            <v>Tiếng Việt</v>
          </cell>
          <cell r="K158" t="str">
            <v>https://drive.google.com/open?id=1RgOEnqncxiwz0uPnMw6askGZVose1ex_</v>
          </cell>
        </row>
        <row r="159">
          <cell r="B159" t="str">
            <v>K224141708</v>
          </cell>
          <cell r="C159" t="str">
            <v>Phạm Thị Điệp Vân</v>
          </cell>
          <cell r="D159" t="str">
            <v>K22414</v>
          </cell>
          <cell r="E159" t="str">
            <v>X</v>
          </cell>
          <cell r="H159" t="str">
            <v>PHÂN TÍCH VÀ ỨNG DỤNG HỌC MÁY   TRONG CẢNH BÁO SỚM RỦI RO TÀI CHÍNH CỦA CÁC DOANH  NGHIỆP PHI TÀI CHÍNH NIÊM YẾT TẠI VIỆT NAM</v>
          </cell>
          <cell r="I159" t="str">
            <v>Tiếng Việt</v>
          </cell>
          <cell r="J159" t="str">
            <v>Tiếng Việt</v>
          </cell>
          <cell r="K159" t="str">
            <v>https://drive.google.com/open?id=1ik8rS8-FKwXAote9J5tcBc2yA80_AfRp</v>
          </cell>
        </row>
        <row r="160">
          <cell r="B160" t="str">
            <v>K224040574</v>
          </cell>
          <cell r="C160" t="str">
            <v>Nguyễn Lê Nhật Minh</v>
          </cell>
          <cell r="D160" t="str">
            <v>K22404C</v>
          </cell>
          <cell r="F160" t="str">
            <v>X</v>
          </cell>
          <cell r="G160" t="str">
            <v>X</v>
          </cell>
          <cell r="H160" t="str">
            <v/>
          </cell>
          <cell r="I160" t="str">
            <v>Tiếng Anh</v>
          </cell>
        </row>
        <row r="161">
          <cell r="B161" t="str">
            <v>K224142348</v>
          </cell>
          <cell r="C161" t="str">
            <v>Nguyễn Duy Ngọc</v>
          </cell>
          <cell r="D161" t="str">
            <v>K22414</v>
          </cell>
          <cell r="E161" t="str">
            <v>X</v>
          </cell>
          <cell r="F161" t="str">
            <v>X</v>
          </cell>
          <cell r="H161" t="str">
            <v>XÂY DỰNG HỆ THỐNG CHATBOT TƯ VẤN SẢN PHẨM DỊCH VỤ NGÂN HÀNG TÍCH HỢP AI CHO TỆP KHÁCH HÀNG CÁ NHÂN CỦA NGÂN HÀNG MBV</v>
          </cell>
          <cell r="I161" t="str">
            <v>Tiếng Việt</v>
          </cell>
          <cell r="J161" t="str">
            <v>Tiếng Việt</v>
          </cell>
          <cell r="K161" t="str">
            <v>https://drive.google.com/open?id=1RvKcqo8SySvvbr_jmQ3b5GjRG1FCT5Ac</v>
          </cell>
        </row>
        <row r="162">
          <cell r="B162" t="str">
            <v>K224141693</v>
          </cell>
          <cell r="C162" t="str">
            <v>Vy Đặng Thanh Thảo</v>
          </cell>
          <cell r="D162" t="str">
            <v>K22414</v>
          </cell>
          <cell r="E162" t="str">
            <v>X</v>
          </cell>
          <cell r="F162" t="str">
            <v>X</v>
          </cell>
          <cell r="H162" t="str">
            <v>FORECASTING VN-INDEX RETURNS USING TRADITIONAL MODELS, MACHINE LEARNING AND DEEP LEARNING IN AN EMERGING MARKET</v>
          </cell>
          <cell r="I162" t="str">
            <v>Tiếng Anh</v>
          </cell>
          <cell r="J162" t="str">
            <v>Tiếng Anh</v>
          </cell>
          <cell r="K162" t="str">
            <v>https://drive.google.com/open?id=1DBKOj-gp3D4ekJzbo8Fuvdb_dX8Iqwtf</v>
          </cell>
        </row>
        <row r="163">
          <cell r="B163" t="str">
            <v>K224141696</v>
          </cell>
          <cell r="C163" t="str">
            <v>Bùi Việt Hoàng Tín</v>
          </cell>
          <cell r="D163" t="str">
            <v>K22414</v>
          </cell>
          <cell r="E163" t="str">
            <v>X</v>
          </cell>
          <cell r="H163" t="str">
            <v>PREDICTING FUTURE GOLD PRICES AND SUGGESTING SUITABLE DERIVATIVE CONTRACTS</v>
          </cell>
          <cell r="I163" t="str">
            <v>Tiếng Anh</v>
          </cell>
          <cell r="J163" t="str">
            <v>Tiếng Anh</v>
          </cell>
          <cell r="K163" t="str">
            <v>https://drive.google.com/open?id=1FoCgeNRKbjFBZPtmu64Kn7oA-ZlEd7eR</v>
          </cell>
        </row>
        <row r="164">
          <cell r="B164" t="str">
            <v>K224141700</v>
          </cell>
          <cell r="C164" t="str">
            <v>Phan Viết Toàn</v>
          </cell>
          <cell r="D164" t="str">
            <v>K22414</v>
          </cell>
          <cell r="E164" t="str">
            <v>X</v>
          </cell>
          <cell r="F164" t="str">
            <v>X</v>
          </cell>
          <cell r="H164" t="str">
            <v>A COMPARATIVE STUDY OF THE EFFECTIVENESS OF ARIMA, SARIMA, LSTM MODELS IN CRYPTO CURRENCY PRICE FORECASTING</v>
          </cell>
          <cell r="I164" t="str">
            <v>Tiếng Việt</v>
          </cell>
          <cell r="J164" t="str">
            <v>Tiếng Anh</v>
          </cell>
          <cell r="K164" t="str">
            <v>https://drive.google.com/open?id=14L3_jLl-FjkoCFxxIddu3RpTKa5UGQD9</v>
          </cell>
        </row>
        <row r="165">
          <cell r="B165" t="str">
            <v>K224141701</v>
          </cell>
          <cell r="C165" t="str">
            <v>Nguyễn Thị Mai Trâm</v>
          </cell>
          <cell r="D165" t="str">
            <v>K22414</v>
          </cell>
          <cell r="E165" t="str">
            <v>X</v>
          </cell>
          <cell r="F165" t="str">
            <v>X</v>
          </cell>
          <cell r="H165" t="str">
            <v>DỰ BÁO BIẾN ĐỘNG TỶ GIÁ CÁC NGOẠI TỆ CHỦ CHỐT TẠI VIỆT NAM: NGHIÊN CỨU SO SÁNH GIỮA CÁC MÔ HÌNH THỐNG KÊ VÀ HỌC SÂU</v>
          </cell>
          <cell r="I165" t="str">
            <v>Tiếng Việt</v>
          </cell>
          <cell r="J165" t="str">
            <v>Tiếng Việt</v>
          </cell>
          <cell r="K165" t="str">
            <v>https://drive.google.com/open?id=1ZL5tv8lsR_dzwzLqY-AQRE8Pu6eGrUEL</v>
          </cell>
        </row>
        <row r="166">
          <cell r="B166" t="str">
            <v>K224141705</v>
          </cell>
          <cell r="C166" t="str">
            <v>Lê Nam Tuyên</v>
          </cell>
          <cell r="D166" t="str">
            <v>K22414</v>
          </cell>
          <cell r="E166" t="str">
            <v>X</v>
          </cell>
          <cell r="F166" t="str">
            <v>X</v>
          </cell>
          <cell r="H166" t="str">
            <v>COMPOSITE PROFITABILITY INDEX CONSTRUCTION AND OUT-OF-SAMPLE PREDICTION: EVIDENCE FROM VIETNAM</v>
          </cell>
          <cell r="I166" t="str">
            <v>Tiếng Anh</v>
          </cell>
          <cell r="J166" t="str">
            <v>Tiếng Anh</v>
          </cell>
          <cell r="K166" t="str">
            <v>https://drive.google.com/open?id=1OA5cn0SIfgIcQDB0qfqTIjd7BYQw9T5D</v>
          </cell>
        </row>
        <row r="167">
          <cell r="B167" t="str">
            <v>K224141746</v>
          </cell>
          <cell r="C167" t="str">
            <v>Lê Nguyễn Tường Vy</v>
          </cell>
          <cell r="D167" t="str">
            <v>K22414C</v>
          </cell>
          <cell r="E167" t="str">
            <v>X</v>
          </cell>
          <cell r="F167" t="str">
            <v>X</v>
          </cell>
          <cell r="H167" t="str">
            <v>DỰ BÁO RỦI RO PHÁ SẢN DOANH NGHIỆP PHI TÀI CHÍNH TRÊN SÀN GIAO DỊCH CHỨNG KHOÁN TP. HỒ CHÍ MINH: HƯỚNG TIẾP CẬN PHƯƠNG PHÁP LAI TÍCH HỢP MÔ HÌNH ALTMAN Z’’-SCORE VÀ MACHINE LEARNING</v>
          </cell>
          <cell r="I167" t="str">
            <v>Tiếng Việt</v>
          </cell>
          <cell r="J167" t="str">
            <v>Tiếng Việt</v>
          </cell>
          <cell r="K167" t="str">
            <v>https://drive.google.com/open?id=1rqFQ-63kJazg9Uyg0Jym7j80nZnUglPy</v>
          </cell>
        </row>
        <row r="168">
          <cell r="B168" t="str">
            <v>K224040565</v>
          </cell>
          <cell r="C168" t="str">
            <v>Mai Đức Dương</v>
          </cell>
          <cell r="D168" t="str">
            <v>K22404C</v>
          </cell>
          <cell r="E168" t="str">
            <v>X</v>
          </cell>
          <cell r="F168" t="str">
            <v>X</v>
          </cell>
          <cell r="H168" t="str">
            <v>TÁC ĐỘNG CỦA ĐA DẠNG HÓA NGUỒN VỐN ĐẾN LỢI NHUẬN VÀ RỦI RO CỦA CÁC NGÂN HÀNG THƯƠNG MẠI TẠI VIỆT NAM.</v>
          </cell>
          <cell r="I168" t="str">
            <v>Tiếng Việt</v>
          </cell>
          <cell r="J168" t="str">
            <v>Tiếng Việt</v>
          </cell>
          <cell r="K168" t="str">
            <v>https://drive.google.com/open?id=1_4WoNPmeGOdzuEQ5tydrLhD2UoON2KFv</v>
          </cell>
        </row>
        <row r="169">
          <cell r="B169" t="str">
            <v>K224040579</v>
          </cell>
          <cell r="C169" t="str">
            <v>Huỳnh Trí Nhân</v>
          </cell>
          <cell r="D169" t="str">
            <v>K22404C</v>
          </cell>
          <cell r="E169" t="str">
            <v>X</v>
          </cell>
          <cell r="F169" t="str">
            <v>X</v>
          </cell>
          <cell r="H169" t="str">
            <v>TÁC ĐỘNG CỦA CẤU TRÚC VỐN ĐẾN KHẢ NĂNG SINH LỜI CỦA CÁC NGÂN HÀNG THƯƠNG MẠI TẠI VIỆT NAM</v>
          </cell>
          <cell r="I169" t="str">
            <v>Tiếng Việt</v>
          </cell>
          <cell r="J169" t="str">
            <v>Tiếng Việt</v>
          </cell>
          <cell r="K169" t="str">
            <v>https://drive.google.com/open?id=1CoYdJf0d_DYGOl6usVw774BLv1xbgnRe</v>
          </cell>
        </row>
        <row r="170">
          <cell r="B170" t="str">
            <v>K224040562</v>
          </cell>
          <cell r="C170" t="str">
            <v>Nguyễn Đức Anh</v>
          </cell>
          <cell r="D170" t="str">
            <v>K22404C</v>
          </cell>
          <cell r="E170" t="str">
            <v>X</v>
          </cell>
          <cell r="F170" t="str">
            <v>X</v>
          </cell>
          <cell r="H170" t="str">
            <v>ANALYZING THE TECHNICAL EFFICIENCY OF COMMERCIAL BANKS IN VIETNAM USING THE DATA ENVELOPE ANALYSIS APPROACH</v>
          </cell>
          <cell r="I170" t="str">
            <v>Tiếng Anh</v>
          </cell>
          <cell r="J170" t="str">
            <v>Tiếng Anh</v>
          </cell>
          <cell r="K170" t="str">
            <v>https://drive.google.com/open?id=1YhGLTeTefbvnTodbHBxPRPsZ2BQyTamj</v>
          </cell>
        </row>
        <row r="171">
          <cell r="B171" t="str">
            <v>K224040481</v>
          </cell>
          <cell r="C171" t="str">
            <v>Vũ Nhật Minh</v>
          </cell>
          <cell r="D171" t="str">
            <v>K22404</v>
          </cell>
          <cell r="E171" t="str">
            <v>X</v>
          </cell>
          <cell r="F171" t="str">
            <v>X</v>
          </cell>
          <cell r="H171" t="str">
            <v>BANK–FINTECH COOPERATION, OWNERSHIP STRUCTURE, AND OVERALL BANK RISK: EMPIRICAL EVIDENCE FROM VIETNAM</v>
          </cell>
          <cell r="I171" t="str">
            <v>Tiếng Anh</v>
          </cell>
          <cell r="J171" t="str">
            <v>Tiếng Anh</v>
          </cell>
          <cell r="K171" t="str">
            <v>https://drive.google.com/open?id=1b6wAb3ttgtJQQNJuhGHJB_5qG8r9AqtX</v>
          </cell>
        </row>
        <row r="172">
          <cell r="B172" t="str">
            <v>K224040493</v>
          </cell>
          <cell r="C172" t="str">
            <v>Nguyễn Ngọc Quỳnh</v>
          </cell>
          <cell r="D172" t="str">
            <v>K22404</v>
          </cell>
          <cell r="E172" t="str">
            <v>X</v>
          </cell>
          <cell r="F172" t="str">
            <v>X</v>
          </cell>
          <cell r="H172" t="str">
            <v>ẢNH HƯỞNG CỦA CÁC NHÂN TỐ VĨ MÔ VÀ CÁC NHÂN TỐ NỘI TẠI ĐẾN BIÊN LÃI RÒNG CỦA CÁC NGÂN HÀNG THƯƠNG MẠI QUY MÔ VỪA VÀ NHỎ TẠI VIỆT NAM TRONG GIAI ĐOẠN 2014-2024</v>
          </cell>
          <cell r="I172" t="str">
            <v>Tiếng Việt</v>
          </cell>
          <cell r="J172" t="str">
            <v>Tiếng Việt</v>
          </cell>
          <cell r="K172" t="str">
            <v>https://drive.google.com/open?id=1OEpYckDJnZy6-xFaEjecrWYk0rZZr-F5</v>
          </cell>
        </row>
        <row r="173">
          <cell r="B173" t="str">
            <v>K224040541</v>
          </cell>
          <cell r="C173" t="str">
            <v>Lâm Hồng Minh Quân</v>
          </cell>
          <cell r="D173" t="str">
            <v>K22404</v>
          </cell>
          <cell r="E173" t="str">
            <v>X</v>
          </cell>
          <cell r="F173" t="str">
            <v>X</v>
          </cell>
          <cell r="H173" t="str">
            <v>EVALUATING BUSINESS PERFORMANCE OF COMMERCIAL BANKS IN VIETNAM BASED ON THE CAMELS FRAMEWORK</v>
          </cell>
          <cell r="I173" t="str">
            <v>Tiếng Việt</v>
          </cell>
          <cell r="J173" t="str">
            <v>Tiếng Anh</v>
          </cell>
          <cell r="K173" t="str">
            <v>https://drive.google.com/open?id=17oHQ1kPpUxUPMz4J7MSB1AnABqwPUcZ4</v>
          </cell>
        </row>
        <row r="174">
          <cell r="B174" t="str">
            <v>K224040564</v>
          </cell>
          <cell r="C174" t="str">
            <v>Nguyễn Vũ Bình</v>
          </cell>
          <cell r="D174" t="str">
            <v>K22404C</v>
          </cell>
          <cell r="E174" t="str">
            <v>X</v>
          </cell>
          <cell r="F174" t="str">
            <v>X</v>
          </cell>
          <cell r="H174" t="str">
            <v>THE IMPACT OF CAPITAL STRUCTURE ON LIQUIDITY OF VIETNAMESE COMMERCIAL BANKS: EVIDENCE DURING 2019-2025</v>
          </cell>
          <cell r="I174" t="str">
            <v>Tiếng Anh</v>
          </cell>
          <cell r="J174" t="str">
            <v>Tiếng Anh</v>
          </cell>
          <cell r="K174" t="str">
            <v>https://drive.google.com/open?id=18Epq500tcInZOdyxjts7YvFMq-JZkXks</v>
          </cell>
        </row>
        <row r="175">
          <cell r="B175" t="str">
            <v>K224040567</v>
          </cell>
          <cell r="C175" t="str">
            <v>Nguyễn Tấn Đạt</v>
          </cell>
          <cell r="D175" t="str">
            <v>K22404C</v>
          </cell>
          <cell r="E175" t="str">
            <v>X</v>
          </cell>
          <cell r="F175" t="str">
            <v>X</v>
          </cell>
          <cell r="H175" t="str">
            <v>THE IMPACT OF FINANCIAL LEVERAGE ON FINANCIAL DISTRESS: THE CASE OF REAL ESTATE FIRMS LISTED ON THE HO CHI MINH STOCK EXCHANGE</v>
          </cell>
          <cell r="I175" t="str">
            <v>Tiếng Việt</v>
          </cell>
          <cell r="J175" t="str">
            <v>Tiếng Anh</v>
          </cell>
          <cell r="K175" t="str">
            <v>https://drive.google.com/open?id=1JYWXzbtHVhgeBJDkoS4ELCeERGbh8m-Z</v>
          </cell>
        </row>
        <row r="176">
          <cell r="B176" t="str">
            <v>K224040578</v>
          </cell>
          <cell r="C176" t="str">
            <v>Đinh Đỗ Hạnh Nguyên</v>
          </cell>
          <cell r="D176" t="str">
            <v>K22404C</v>
          </cell>
          <cell r="E176" t="str">
            <v>X</v>
          </cell>
          <cell r="F176" t="str">
            <v>X</v>
          </cell>
          <cell r="H176" t="str">
            <v>THE IMPACT OF CAPITAL STRUCTURE ON PROFITABILITY: A CASE STUDY OF VIETNAMESE NON – FINANCIAL LISTED COMPANIES</v>
          </cell>
          <cell r="I176" t="str">
            <v>Tiếng Anh</v>
          </cell>
          <cell r="J176" t="str">
            <v>Tiếng Anh</v>
          </cell>
          <cell r="K176" t="str">
            <v>https://drive.google.com/open?id=1nEhyjOkz0VE0PBQIhqFTJpv1fKyUfA56</v>
          </cell>
        </row>
        <row r="177">
          <cell r="B177" t="str">
            <v>K224040568</v>
          </cell>
          <cell r="C177" t="str">
            <v>Nguyễn Phúc Hưng</v>
          </cell>
          <cell r="D177" t="str">
            <v>K22404C</v>
          </cell>
          <cell r="E177" t="str">
            <v>X</v>
          </cell>
          <cell r="F177" t="str">
            <v>X</v>
          </cell>
          <cell r="H177" t="str">
            <v>THE MODERATING ROLE OF DIGITAL BANKING ON THE RELATIONSHIP BETWEEN INCOME DIVERSIFICATION AND BANK PERFORMANCE: EVIDENCE FROM VIETNAMESE COMMERCIAL BANK</v>
          </cell>
          <cell r="I177" t="str">
            <v>Tiếng Anh</v>
          </cell>
          <cell r="J177" t="str">
            <v>Tiếng Anh</v>
          </cell>
          <cell r="K177" t="str">
            <v>https://drive.google.com/open?id=14rWPLJmTJKqMD8KSlWNXGrSZ3njUmrwh</v>
          </cell>
        </row>
        <row r="178">
          <cell r="B178" t="str">
            <v>K224040576</v>
          </cell>
          <cell r="C178" t="str">
            <v>Hà Vũ Thúy Mỵ</v>
          </cell>
          <cell r="D178" t="str">
            <v>K22404C</v>
          </cell>
          <cell r="E178" t="str">
            <v>X</v>
          </cell>
          <cell r="F178" t="str">
            <v>X</v>
          </cell>
          <cell r="H178" t="str">
            <v>TÁC ĐỘNG CỦA CHUYỂN ĐỔI SỐ VÀ CẤU TRÚC VỐN ĐẾN HIỆU QUẢ HOẠT ĐỘNG: TRƯỜNG HỢP CÁC NGÂN HÀNG THƯƠNG MẠI VIỆT NAM</v>
          </cell>
          <cell r="I178" t="str">
            <v>Tiếng Việt</v>
          </cell>
          <cell r="J178" t="str">
            <v>Tiếng Việt</v>
          </cell>
          <cell r="K178" t="str">
            <v>https://drive.google.com/open?id=1mrX_FSvKNetoJQUvRBaj1K0ew6TjqmjC</v>
          </cell>
        </row>
        <row r="179">
          <cell r="B179" t="str">
            <v>K224040596</v>
          </cell>
          <cell r="C179" t="str">
            <v>Nguyễn Đặng Thanh Trúc</v>
          </cell>
          <cell r="D179" t="str">
            <v>K22404C</v>
          </cell>
          <cell r="E179" t="str">
            <v>X</v>
          </cell>
          <cell r="F179" t="str">
            <v>X</v>
          </cell>
          <cell r="H179" t="str">
            <v>PHÁT TRIỂN TÍN DỤNG NHÀ Ở DÀNH CHO KHÁCH HÀNG TRẺ TẠI CÁC NGÂN HÀNG THƯƠNG MẠI CỔ PHẦN Ở VIỆT NAM</v>
          </cell>
          <cell r="I179" t="str">
            <v>Tiếng Anh</v>
          </cell>
          <cell r="J179" t="str">
            <v>Tiếng Việt</v>
          </cell>
          <cell r="K179" t="str">
            <v>https://drive.google.com/open?id=1tG0abyWyzm65mrLp7vJR6_JrmqIZrJhF</v>
          </cell>
        </row>
        <row r="180">
          <cell r="B180" t="str">
            <v>K224141698</v>
          </cell>
          <cell r="C180" t="str">
            <v>Lê Minh Toàn</v>
          </cell>
          <cell r="D180" t="str">
            <v>K22414</v>
          </cell>
          <cell r="F180" t="str">
            <v>X</v>
          </cell>
          <cell r="H180" t="str">
            <v/>
          </cell>
          <cell r="I180" t="str">
            <v>Tiếng Việt</v>
          </cell>
        </row>
        <row r="181">
          <cell r="B181" t="str">
            <v>K224141704</v>
          </cell>
          <cell r="C181" t="str">
            <v>Phạm Huỳnh Minh Tuân</v>
          </cell>
          <cell r="D181" t="str">
            <v>K22414</v>
          </cell>
          <cell r="F181" t="str">
            <v>X</v>
          </cell>
          <cell r="H181" t="str">
            <v/>
          </cell>
          <cell r="I181" t="str">
            <v>Tiếng Việt</v>
          </cell>
        </row>
        <row r="182">
          <cell r="B182" t="str">
            <v>K224040551</v>
          </cell>
          <cell r="C182" t="str">
            <v>Ngô Minh Tiến</v>
          </cell>
          <cell r="D182" t="str">
            <v>K22404</v>
          </cell>
          <cell r="E182" t="str">
            <v>X</v>
          </cell>
          <cell r="F182" t="str">
            <v>X</v>
          </cell>
          <cell r="H182" t="str">
            <v>KIỂM ĐỊNH TÍNH THỰC NGHIỆM LÝ THUYẾT MÔ HÌNH FAMA-FRENCH NĂM NHÂN TỐ TẠI THỊ TRƯỜNG CHỨNG KHOÁN VIỆT NAM: TRƯỜNG HỢP VN30</v>
          </cell>
          <cell r="I182" t="str">
            <v>Tiếng Việt</v>
          </cell>
          <cell r="J182" t="str">
            <v>Tiếng Việt</v>
          </cell>
          <cell r="K182" t="str">
            <v>https://drive.google.com/open?id=1C9PPQymOOu9FxcPWy1KNGIASBoUJ1k_j</v>
          </cell>
        </row>
        <row r="183">
          <cell r="B183" t="str">
            <v>K224040572</v>
          </cell>
          <cell r="C183" t="str">
            <v>Vũ Gia Linh</v>
          </cell>
          <cell r="D183" t="str">
            <v>K22404C</v>
          </cell>
          <cell r="E183" t="str">
            <v>X</v>
          </cell>
          <cell r="F183" t="str">
            <v>X</v>
          </cell>
          <cell r="H183" t="str">
            <v>FACTORS AFFECTING THE FINANCIAL DISTRESS RISK OF LISTED MANUFACTURING FIRMS ON THE HO CHI MINH STOCK EXCHANGE</v>
          </cell>
          <cell r="I183" t="str">
            <v>Tiếng Anh</v>
          </cell>
          <cell r="J183" t="str">
            <v>Tiếng Anh</v>
          </cell>
          <cell r="K183" t="str">
            <v>https://drive.google.com/open?id=10JEcyG5CApihiJNYJ3SjlXq_aenQQdqA</v>
          </cell>
        </row>
        <row r="184">
          <cell r="B184" t="str">
            <v>K224040573</v>
          </cell>
          <cell r="C184" t="str">
            <v>Bùi Hương Ly</v>
          </cell>
          <cell r="D184" t="str">
            <v>K22404C</v>
          </cell>
          <cell r="E184" t="str">
            <v>X</v>
          </cell>
          <cell r="F184" t="str">
            <v>X</v>
          </cell>
          <cell r="H184" t="str">
            <v>ANALYSIS OF FACTORS AFFECTING THE ISSUANCE OF GREEN BONDS IN DEVELOPING COUNTRIES</v>
          </cell>
          <cell r="I184" t="str">
            <v>Tiếng Anh</v>
          </cell>
          <cell r="J184" t="str">
            <v>Tiếng Anh</v>
          </cell>
          <cell r="K184" t="str">
            <v>https://drive.google.com/open?id=14rZm4z7f6_rVmj3r_6voMl_4U8rtox5F</v>
          </cell>
        </row>
        <row r="185">
          <cell r="B185" t="str">
            <v>K224040524</v>
          </cell>
          <cell r="C185" t="str">
            <v>Võ Bảo Huy</v>
          </cell>
          <cell r="D185" t="str">
            <v>K22404</v>
          </cell>
          <cell r="E185" t="str">
            <v>X</v>
          </cell>
          <cell r="F185" t="str">
            <v>X</v>
          </cell>
          <cell r="H185" t="str">
            <v>TÍNH LAN TỎA GIỮA CÁC TÀI SẢN DEFI, TIỀN MÃ HÓA, CỔ PHIẾU VÀ TÀI SẢN TRÚ ẨN AN TOÀN</v>
          </cell>
          <cell r="I185" t="str">
            <v>Tiếng Việt</v>
          </cell>
          <cell r="J185" t="str">
            <v>Tiếng Việt</v>
          </cell>
          <cell r="K185" t="str">
            <v>https://drive.google.com/open?id=10lpHY1hjMRfvFeUJEwOX4In0mDiuXT3J</v>
          </cell>
        </row>
        <row r="186">
          <cell r="B186" t="str">
            <v>K204040224</v>
          </cell>
          <cell r="C186" t="str">
            <v>Trang Hoàng Phi Yến</v>
          </cell>
          <cell r="D186" t="str">
            <v>K20404</v>
          </cell>
          <cell r="F186" t="str">
            <v>X</v>
          </cell>
          <cell r="G186" t="str">
            <v>X</v>
          </cell>
          <cell r="H186" t="str">
            <v/>
          </cell>
        </row>
        <row r="187">
          <cell r="B187" t="str">
            <v>K204041202</v>
          </cell>
          <cell r="C187" t="str">
            <v>Tô Quang Tiến</v>
          </cell>
          <cell r="D187" t="str">
            <v>K20404</v>
          </cell>
          <cell r="F187" t="str">
            <v>X</v>
          </cell>
          <cell r="G187" t="str">
            <v>X</v>
          </cell>
          <cell r="H187" t="str">
            <v/>
          </cell>
        </row>
        <row r="188">
          <cell r="B188" t="str">
            <v>K204041217</v>
          </cell>
          <cell r="C188" t="str">
            <v>Nguyễn Thị Thuý Vi</v>
          </cell>
          <cell r="D188" t="str">
            <v>K20404</v>
          </cell>
          <cell r="F188" t="str">
            <v>X</v>
          </cell>
          <cell r="G188" t="str">
            <v>X</v>
          </cell>
          <cell r="H188" t="str">
            <v/>
          </cell>
        </row>
        <row r="189">
          <cell r="B189" t="str">
            <v>K204041219</v>
          </cell>
          <cell r="C189" t="str">
            <v>Phan Lê Tú Viên</v>
          </cell>
          <cell r="D189" t="str">
            <v>K20404</v>
          </cell>
          <cell r="F189" t="str">
            <v>X</v>
          </cell>
          <cell r="G189" t="str">
            <v>X</v>
          </cell>
          <cell r="H189" t="str">
            <v/>
          </cell>
          <cell r="I189" t="str">
            <v>Tiếng Việt</v>
          </cell>
        </row>
        <row r="190">
          <cell r="B190" t="str">
            <v>K214040248</v>
          </cell>
          <cell r="C190" t="str">
            <v>Hoàng Gia Linh</v>
          </cell>
          <cell r="D190" t="str">
            <v>K21404</v>
          </cell>
          <cell r="F190" t="str">
            <v>X</v>
          </cell>
          <cell r="G190" t="str">
            <v>X</v>
          </cell>
          <cell r="H190" t="str">
            <v/>
          </cell>
        </row>
        <row r="191">
          <cell r="B191" t="str">
            <v>K214040272</v>
          </cell>
          <cell r="C191" t="str">
            <v>Nguyễn Khắc Như Thùy</v>
          </cell>
          <cell r="D191" t="str">
            <v>K21404</v>
          </cell>
          <cell r="F191" t="str">
            <v>X</v>
          </cell>
          <cell r="G191" t="str">
            <v>X</v>
          </cell>
          <cell r="H191" t="str">
            <v/>
          </cell>
        </row>
        <row r="192">
          <cell r="B192" t="str">
            <v>K214041589</v>
          </cell>
          <cell r="C192" t="str">
            <v>Vòng Lập Bình</v>
          </cell>
          <cell r="D192" t="str">
            <v>K21404</v>
          </cell>
          <cell r="F192" t="str">
            <v>X</v>
          </cell>
          <cell r="G192" t="str">
            <v>X</v>
          </cell>
          <cell r="H192" t="str">
            <v/>
          </cell>
        </row>
        <row r="193">
          <cell r="B193" t="str">
            <v>K224020262</v>
          </cell>
          <cell r="C193" t="str">
            <v>Nguyễn Đặng Vi Bân</v>
          </cell>
          <cell r="D193" t="str">
            <v>K22404C</v>
          </cell>
          <cell r="F193" t="str">
            <v>X</v>
          </cell>
          <cell r="G193" t="str">
            <v>X</v>
          </cell>
          <cell r="H193" t="str">
            <v/>
          </cell>
          <cell r="I193" t="str">
            <v>Tiếng Anh</v>
          </cell>
        </row>
        <row r="194">
          <cell r="B194" t="str">
            <v>K224040465</v>
          </cell>
          <cell r="C194" t="str">
            <v>Trương Thị Nhã Ái</v>
          </cell>
          <cell r="D194" t="str">
            <v>K22404</v>
          </cell>
          <cell r="F194" t="str">
            <v>X</v>
          </cell>
          <cell r="G194" t="str">
            <v>X</v>
          </cell>
          <cell r="H194" t="str">
            <v/>
          </cell>
          <cell r="I194" t="str">
            <v>Tiếng Việt</v>
          </cell>
        </row>
        <row r="195">
          <cell r="B195" t="str">
            <v>K224040471</v>
          </cell>
          <cell r="C195" t="str">
            <v>Nguyễn Thị Thu Hà</v>
          </cell>
          <cell r="D195" t="str">
            <v>K22404</v>
          </cell>
          <cell r="F195" t="str">
            <v>X</v>
          </cell>
          <cell r="G195" t="str">
            <v>X</v>
          </cell>
          <cell r="H195" t="str">
            <v/>
          </cell>
          <cell r="I195" t="str">
            <v>Tiếng Việt</v>
          </cell>
        </row>
        <row r="196">
          <cell r="B196" t="str">
            <v>K224040472</v>
          </cell>
          <cell r="C196" t="str">
            <v>Võ Thị Hồng Hạnh</v>
          </cell>
          <cell r="D196" t="str">
            <v>K22404</v>
          </cell>
          <cell r="F196" t="str">
            <v>X</v>
          </cell>
          <cell r="G196" t="str">
            <v>X</v>
          </cell>
          <cell r="H196" t="str">
            <v/>
          </cell>
          <cell r="I196" t="str">
            <v>Tiếng Việt</v>
          </cell>
        </row>
        <row r="197">
          <cell r="B197" t="str">
            <v>K224040473</v>
          </cell>
          <cell r="C197" t="str">
            <v>Trần Thị Thu Hằng</v>
          </cell>
          <cell r="D197" t="str">
            <v>K22404</v>
          </cell>
          <cell r="F197" t="str">
            <v>X</v>
          </cell>
          <cell r="G197" t="str">
            <v>X</v>
          </cell>
          <cell r="H197" t="str">
            <v/>
          </cell>
          <cell r="I197" t="str">
            <v>Tiếng Việt</v>
          </cell>
        </row>
        <row r="198">
          <cell r="B198" t="str">
            <v>K224040474</v>
          </cell>
          <cell r="C198" t="str">
            <v>Phan Thanh Thanh Hiền</v>
          </cell>
          <cell r="D198" t="str">
            <v>K22404</v>
          </cell>
          <cell r="F198" t="str">
            <v>X</v>
          </cell>
          <cell r="G198" t="str">
            <v>X</v>
          </cell>
          <cell r="H198" t="str">
            <v/>
          </cell>
          <cell r="I198" t="str">
            <v>Tiếng Việt</v>
          </cell>
        </row>
        <row r="199">
          <cell r="B199" t="str">
            <v>K224040475</v>
          </cell>
          <cell r="C199" t="str">
            <v>Lý Nhật Huy</v>
          </cell>
          <cell r="D199" t="str">
            <v>K22404</v>
          </cell>
          <cell r="F199" t="str">
            <v>X</v>
          </cell>
          <cell r="G199" t="str">
            <v>X</v>
          </cell>
          <cell r="H199" t="str">
            <v/>
          </cell>
          <cell r="I199" t="str">
            <v>Tiếng Việt</v>
          </cell>
        </row>
        <row r="200">
          <cell r="B200" t="str">
            <v>K224040476</v>
          </cell>
          <cell r="C200" t="str">
            <v>Lê Huỳnh Khánh Huyền</v>
          </cell>
          <cell r="D200" t="str">
            <v>K22404</v>
          </cell>
          <cell r="F200" t="str">
            <v>X</v>
          </cell>
          <cell r="G200" t="str">
            <v>X</v>
          </cell>
          <cell r="H200" t="str">
            <v/>
          </cell>
          <cell r="I200" t="str">
            <v>Tiếng Việt</v>
          </cell>
        </row>
        <row r="201">
          <cell r="B201" t="str">
            <v>K224040507</v>
          </cell>
          <cell r="C201" t="str">
            <v>Phạm Thị Thanh Trúc</v>
          </cell>
          <cell r="D201" t="str">
            <v>K22404</v>
          </cell>
          <cell r="F201" t="str">
            <v>X</v>
          </cell>
          <cell r="G201" t="str">
            <v>X</v>
          </cell>
          <cell r="H201" t="str">
            <v/>
          </cell>
          <cell r="I201" t="str">
            <v>Tiếng Việt</v>
          </cell>
        </row>
        <row r="202">
          <cell r="B202" t="str">
            <v>K224040511</v>
          </cell>
          <cell r="C202" t="str">
            <v>Đỗ Thanh Viên</v>
          </cell>
          <cell r="D202" t="str">
            <v>K22404</v>
          </cell>
          <cell r="F202" t="str">
            <v>X</v>
          </cell>
          <cell r="G202" t="str">
            <v>X</v>
          </cell>
          <cell r="H202" t="str">
            <v/>
          </cell>
          <cell r="I202" t="str">
            <v>Tiếng Việt</v>
          </cell>
        </row>
        <row r="203">
          <cell r="B203" t="str">
            <v>K224040513</v>
          </cell>
          <cell r="C203" t="str">
            <v>Nguyễn Vân An</v>
          </cell>
          <cell r="D203" t="str">
            <v>K22404</v>
          </cell>
          <cell r="F203" t="str">
            <v>X</v>
          </cell>
          <cell r="G203" t="str">
            <v>X</v>
          </cell>
          <cell r="H203" t="str">
            <v/>
          </cell>
          <cell r="I203" t="str">
            <v>Tiếng Việt</v>
          </cell>
        </row>
        <row r="204">
          <cell r="B204" t="str">
            <v>K224040515</v>
          </cell>
          <cell r="C204" t="str">
            <v>Nguyễn Phạm Ngọc Ánh</v>
          </cell>
          <cell r="D204" t="str">
            <v>K22404</v>
          </cell>
          <cell r="F204" t="str">
            <v>X</v>
          </cell>
          <cell r="G204" t="str">
            <v>X</v>
          </cell>
          <cell r="H204" t="str">
            <v/>
          </cell>
          <cell r="I204" t="str">
            <v>Tiếng Việt</v>
          </cell>
        </row>
        <row r="205">
          <cell r="B205" t="str">
            <v>K224040516</v>
          </cell>
          <cell r="C205" t="str">
            <v>Lương Thanh Bi</v>
          </cell>
          <cell r="D205" t="str">
            <v>K22404</v>
          </cell>
          <cell r="F205" t="str">
            <v>X</v>
          </cell>
          <cell r="G205" t="str">
            <v>X</v>
          </cell>
          <cell r="H205" t="str">
            <v/>
          </cell>
          <cell r="I205" t="str">
            <v>Tiếng Việt</v>
          </cell>
        </row>
        <row r="206">
          <cell r="B206" t="str">
            <v>K224040520</v>
          </cell>
          <cell r="C206" t="str">
            <v>Phan Thị Mỹ Hạnh</v>
          </cell>
          <cell r="D206" t="str">
            <v>K22404</v>
          </cell>
          <cell r="F206" t="str">
            <v>X</v>
          </cell>
          <cell r="G206" t="str">
            <v>X</v>
          </cell>
          <cell r="H206" t="str">
            <v/>
          </cell>
          <cell r="I206" t="str">
            <v>Tiếng Việt</v>
          </cell>
        </row>
        <row r="207">
          <cell r="B207" t="str">
            <v>K224040526</v>
          </cell>
          <cell r="C207" t="str">
            <v>Nguyễn Công Minh Khôi</v>
          </cell>
          <cell r="D207" t="str">
            <v>K22404</v>
          </cell>
          <cell r="F207" t="str">
            <v>X</v>
          </cell>
          <cell r="G207" t="str">
            <v>X</v>
          </cell>
          <cell r="H207" t="str">
            <v/>
          </cell>
          <cell r="I207" t="str">
            <v>Tiếng Việt</v>
          </cell>
        </row>
        <row r="208">
          <cell r="B208" t="str">
            <v>K224040529</v>
          </cell>
          <cell r="C208" t="str">
            <v>Hà Xuân Mai</v>
          </cell>
          <cell r="D208" t="str">
            <v>K22404</v>
          </cell>
          <cell r="F208" t="str">
            <v>X</v>
          </cell>
          <cell r="G208" t="str">
            <v>X</v>
          </cell>
          <cell r="H208" t="str">
            <v/>
          </cell>
          <cell r="I208" t="str">
            <v>Tiếng Việt</v>
          </cell>
        </row>
        <row r="209">
          <cell r="B209" t="str">
            <v>K224040538</v>
          </cell>
          <cell r="C209" t="str">
            <v>Trần Nhất Phong</v>
          </cell>
          <cell r="D209" t="str">
            <v>K22404</v>
          </cell>
          <cell r="F209" t="str">
            <v>X</v>
          </cell>
          <cell r="G209" t="str">
            <v>X</v>
          </cell>
          <cell r="H209" t="str">
            <v/>
          </cell>
          <cell r="I209" t="str">
            <v>Tiếng Việt</v>
          </cell>
        </row>
        <row r="210">
          <cell r="B210" t="str">
            <v>K224040588</v>
          </cell>
          <cell r="C210" t="str">
            <v>Trần Nguyễn Anh Thư</v>
          </cell>
          <cell r="D210" t="str">
            <v>K22404C</v>
          </cell>
          <cell r="E210" t="str">
            <v>X</v>
          </cell>
          <cell r="F210" t="str">
            <v>X</v>
          </cell>
          <cell r="H210" t="str">
            <v>PHÂN TÍCH CÁC YẾU TỐ ẢNH HƯỞNG ĐẾN NỢ XẤU TẠI CÁC NGÂN HÀNG THƯƠNG MẠI VIỆT NAM GIAI ĐOẠN 2014 - 2024</v>
          </cell>
          <cell r="I210" t="str">
            <v>Tiếng Anh</v>
          </cell>
          <cell r="J210" t="str">
            <v>Tiếng Việt</v>
          </cell>
          <cell r="K210" t="str">
            <v>https://drive.google.com/open?id=1-fSe6ljPODfmDnuw0i9YLGHJuwBMowKW</v>
          </cell>
        </row>
        <row r="211">
          <cell r="B211" t="str">
            <v>K224040470</v>
          </cell>
          <cell r="C211" t="str">
            <v>Đào Hồ Trúc Giang</v>
          </cell>
          <cell r="D211" t="str">
            <v>K22404</v>
          </cell>
          <cell r="E211" t="str">
            <v>X</v>
          </cell>
          <cell r="F211" t="str">
            <v>X</v>
          </cell>
          <cell r="H211" t="str">
            <v>THE IMPACT OF CEO CHARACTERISTICS ON FINANCIAL PERFORMANCE OF VIETNAMESE COMMERCIAL BANKS</v>
          </cell>
          <cell r="I211" t="str">
            <v>Tiếng Anh</v>
          </cell>
          <cell r="J211" t="str">
            <v>Tiếng Anh</v>
          </cell>
          <cell r="K211" t="str">
            <v>https://drive.google.com/open?id=1fwESmfwDEc0rKUi6XHSCOGFwQ68ArZuZ</v>
          </cell>
        </row>
        <row r="212">
          <cell r="B212" t="str">
            <v>K224040532</v>
          </cell>
          <cell r="C212" t="str">
            <v>Trương Ngọc Kiều Ngân</v>
          </cell>
          <cell r="D212" t="str">
            <v>K22412</v>
          </cell>
          <cell r="E212" t="str">
            <v>X</v>
          </cell>
          <cell r="F212" t="str">
            <v>X</v>
          </cell>
          <cell r="H212" t="str">
            <v>MỐI QUAN HỆ GIỮA TỶ LỆ AN TOÀN VỐN VÀ HIỆU QUẢ HOẠT ĐỘNG CỦA CÁC NGÂN HÀNG THƯƠNG MẠI CỔ PHẦN TẠI VIỆT NAM: BẰNG CHỨNG TỪ MÔ HÌNH HỆ PHƯƠNG TRÌNH ĐỒNG THỜI (SEM)</v>
          </cell>
          <cell r="I212" t="str">
            <v>Tiếng Việt</v>
          </cell>
          <cell r="J212" t="str">
            <v>Tiếng Việt</v>
          </cell>
          <cell r="K212" t="str">
            <v>https://drive.google.com/open?id=1-BC9yK0Bm8DwW7WT3zCp3DRWi5FwBsrd</v>
          </cell>
        </row>
        <row r="213">
          <cell r="B213" t="str">
            <v>K224040536</v>
          </cell>
          <cell r="C213" t="str">
            <v>Nguyễn Thị Yến Nhi</v>
          </cell>
          <cell r="D213" t="str">
            <v>K22404</v>
          </cell>
          <cell r="E213" t="str">
            <v>X</v>
          </cell>
          <cell r="F213" t="str">
            <v>X</v>
          </cell>
          <cell r="H213" t="str">
            <v>ĐÁNH GIÁ VÀ PHÂN TÍCH CÁC YẾU TỐ ẢNH HƯỞNG ĐẾN HIỆU QUẢ HOẠT ĐỘNG CỦA CÁC NGÂN HÀNG THƯƠNG MẠI TẠI VIỆT NAM TRONG GIAI ĐOẠN 2020-2024: CÁCH TIẾP CẬN PHƯƠNG PHÁP BAO DỮ LIỆU (DEA) VÀ HỒI QUY TOBIT</v>
          </cell>
          <cell r="I213" t="str">
            <v>Tiếng Việt</v>
          </cell>
          <cell r="J213" t="str">
            <v>Tiếng Việt</v>
          </cell>
          <cell r="K213" t="str">
            <v>https://drive.google.com/open?id=1xh6oIYeGk3U6ezY7Hri-oHKSpQd-5twl</v>
          </cell>
        </row>
        <row r="214">
          <cell r="B214" t="str">
            <v>K224040539</v>
          </cell>
          <cell r="C214" t="str">
            <v>Võ Trường Phúc</v>
          </cell>
          <cell r="D214" t="str">
            <v>K22404</v>
          </cell>
          <cell r="E214" t="str">
            <v>X</v>
          </cell>
          <cell r="F214" t="str">
            <v>X</v>
          </cell>
          <cell r="H214" t="str">
            <v>THE IMPACT OF BOARD CHARACTERISTICS  ON THE FINANCIAL PERFORMANCE OF LISTED  COMMERCIAL BANKS IN VIETNAM:  EVIDENCE FROM 2015-2024</v>
          </cell>
          <cell r="I214" t="str">
            <v>Tiếng Anh</v>
          </cell>
          <cell r="J214" t="str">
            <v>Tiếng Anh</v>
          </cell>
          <cell r="K214" t="str">
            <v>https://drive.google.com/open?id=15j5YHsntLpLHRKY-37OhUdxiuoKMh1Ss</v>
          </cell>
        </row>
        <row r="215">
          <cell r="B215" t="str">
            <v>K224040566</v>
          </cell>
          <cell r="C215" t="str">
            <v>Võ Hoàng Triệu Dương</v>
          </cell>
          <cell r="D215" t="str">
            <v>K22404C</v>
          </cell>
          <cell r="F215" t="str">
            <v>X</v>
          </cell>
          <cell r="G215" t="str">
            <v>X</v>
          </cell>
          <cell r="H215" t="str">
            <v/>
          </cell>
          <cell r="I215" t="str">
            <v>Tiếng Anh</v>
          </cell>
        </row>
        <row r="216">
          <cell r="B216" t="str">
            <v>K224040477</v>
          </cell>
          <cell r="C216" t="str">
            <v>Nguyễn Trần Vũ Hùng</v>
          </cell>
          <cell r="D216" t="str">
            <v>K22404</v>
          </cell>
          <cell r="F216" t="str">
            <v>X</v>
          </cell>
          <cell r="G216" t="str">
            <v>X</v>
          </cell>
          <cell r="H216" t="str">
            <v/>
          </cell>
          <cell r="I216" t="str">
            <v>Tiếng Việt</v>
          </cell>
        </row>
        <row r="217">
          <cell r="B217" t="str">
            <v>K224040479</v>
          </cell>
          <cell r="C217" t="str">
            <v>Nguyễn Thị Hạnh Linh</v>
          </cell>
          <cell r="D217" t="str">
            <v>K22404</v>
          </cell>
          <cell r="F217" t="str">
            <v>X</v>
          </cell>
          <cell r="G217" t="str">
            <v>X</v>
          </cell>
          <cell r="H217" t="str">
            <v/>
          </cell>
          <cell r="I217" t="str">
            <v>Tiếng Việt</v>
          </cell>
        </row>
        <row r="218">
          <cell r="B218" t="str">
            <v>K224040543</v>
          </cell>
          <cell r="C218" t="str">
            <v>Nguyễn Thị Minh Tâm</v>
          </cell>
          <cell r="D218" t="str">
            <v>K22404</v>
          </cell>
          <cell r="F218" t="str">
            <v>X</v>
          </cell>
          <cell r="G218" t="str">
            <v>X</v>
          </cell>
          <cell r="H218" t="str">
            <v/>
          </cell>
          <cell r="I218" t="str">
            <v>Tiếng Việt</v>
          </cell>
        </row>
        <row r="219">
          <cell r="B219" t="str">
            <v>K224040544</v>
          </cell>
          <cell r="C219" t="str">
            <v>Nguyễn Tấn Thành</v>
          </cell>
          <cell r="D219" t="str">
            <v>K22404</v>
          </cell>
          <cell r="F219" t="str">
            <v>X</v>
          </cell>
          <cell r="G219" t="str">
            <v>X</v>
          </cell>
          <cell r="H219" t="str">
            <v/>
          </cell>
          <cell r="I219" t="str">
            <v>Tiếng Việt</v>
          </cell>
        </row>
        <row r="220">
          <cell r="B220" t="str">
            <v>K224040546</v>
          </cell>
          <cell r="C220" t="str">
            <v>Hàng Quốc Thắng</v>
          </cell>
          <cell r="D220" t="str">
            <v>K22404</v>
          </cell>
          <cell r="F220" t="str">
            <v>X</v>
          </cell>
          <cell r="G220" t="str">
            <v>X</v>
          </cell>
          <cell r="H220" t="str">
            <v/>
          </cell>
          <cell r="I220" t="str">
            <v>Tiếng Việt</v>
          </cell>
        </row>
        <row r="221">
          <cell r="B221" t="str">
            <v>K224040547</v>
          </cell>
          <cell r="C221" t="str">
            <v>Đỗ Trần Hồng Thơ</v>
          </cell>
          <cell r="D221" t="str">
            <v>K22404</v>
          </cell>
          <cell r="F221" t="str">
            <v>X</v>
          </cell>
          <cell r="G221" t="str">
            <v>X</v>
          </cell>
          <cell r="H221" t="str">
            <v/>
          </cell>
          <cell r="I221" t="str">
            <v>Tiếng Việt</v>
          </cell>
        </row>
        <row r="222">
          <cell r="B222" t="str">
            <v>K224040548</v>
          </cell>
          <cell r="C222" t="str">
            <v>Lê Hoàng Như Thuỷ</v>
          </cell>
          <cell r="D222" t="str">
            <v>K22404</v>
          </cell>
          <cell r="F222" t="str">
            <v>X</v>
          </cell>
          <cell r="G222" t="str">
            <v>X</v>
          </cell>
          <cell r="H222" t="str">
            <v/>
          </cell>
          <cell r="I222" t="str">
            <v>Tiếng Việt</v>
          </cell>
        </row>
        <row r="223">
          <cell r="B223" t="str">
            <v>K224040549</v>
          </cell>
          <cell r="C223" t="str">
            <v>Nguyễn Ngọc Anh Thư</v>
          </cell>
          <cell r="D223" t="str">
            <v>K22404</v>
          </cell>
          <cell r="F223" t="str">
            <v>X</v>
          </cell>
          <cell r="G223" t="str">
            <v>X</v>
          </cell>
          <cell r="H223" t="str">
            <v/>
          </cell>
          <cell r="I223" t="str">
            <v>Tiếng Việt</v>
          </cell>
        </row>
        <row r="224">
          <cell r="B224" t="str">
            <v>K224040577</v>
          </cell>
          <cell r="C224" t="str">
            <v>Trần Thanh Bảo Ngọc</v>
          </cell>
          <cell r="D224" t="str">
            <v>K22404C</v>
          </cell>
          <cell r="F224" t="str">
            <v>X</v>
          </cell>
          <cell r="G224" t="str">
            <v>X</v>
          </cell>
          <cell r="H224" t="str">
            <v/>
          </cell>
          <cell r="I224" t="str">
            <v>Tiếng Anh</v>
          </cell>
        </row>
        <row r="225">
          <cell r="B225" t="str">
            <v>K224040542</v>
          </cell>
          <cell r="C225" t="str">
            <v>Phạm Thanh Tài</v>
          </cell>
          <cell r="D225" t="str">
            <v>K22404</v>
          </cell>
          <cell r="E225" t="str">
            <v>X</v>
          </cell>
          <cell r="F225" t="str">
            <v>X</v>
          </cell>
          <cell r="H225" t="str">
            <v>CÁC YẾU TỐ ẢNH HƯỞNG ĐẾN HOẠT ĐỘNG HUY ĐỘNG VỐN CỦA NGÂN HÀNG THƯƠNG MẠI VIỆT NAM</v>
          </cell>
          <cell r="I225" t="str">
            <v>Tiếng Việt</v>
          </cell>
          <cell r="J225" t="str">
            <v>Tiếng Việt</v>
          </cell>
          <cell r="K225" t="str">
            <v>https://drive.google.com/open?id=186y1iuhE4YBZhzsIvEl_WgkEWTWnFFAd</v>
          </cell>
        </row>
        <row r="226">
          <cell r="B226" t="str">
            <v>K224040480</v>
          </cell>
          <cell r="C226" t="str">
            <v>Hồ Thị Bích Ly</v>
          </cell>
          <cell r="D226" t="str">
            <v>K22404</v>
          </cell>
          <cell r="E226" t="str">
            <v>X</v>
          </cell>
          <cell r="F226" t="str">
            <v>X</v>
          </cell>
          <cell r="H226" t="str">
            <v>TÁC ĐỘNG CỦA TĂNG TRƯỞNG TÍN DỤNG ĐẾN RỦI RO THANH KHOẢN CỦA CÁC NGÂN HÀNG THƯƠNG MẠI CỔ PHẦN VIỆT NAM</v>
          </cell>
          <cell r="I226" t="str">
            <v>Tiếng Việt</v>
          </cell>
          <cell r="J226" t="str">
            <v>Tiếng Việt</v>
          </cell>
          <cell r="K226" t="str">
            <v>https://drive.google.com/open?id=1_evaqKEcYffiZxvGnqvJ85ZEqfiGE1es</v>
          </cell>
        </row>
        <row r="227">
          <cell r="B227" t="str">
            <v>K224040496</v>
          </cell>
          <cell r="C227" t="str">
            <v>Mai Công Thanh</v>
          </cell>
          <cell r="D227" t="str">
            <v>K22404</v>
          </cell>
          <cell r="E227" t="str">
            <v>X</v>
          </cell>
          <cell r="F227" t="str">
            <v>X</v>
          </cell>
          <cell r="H227" t="str">
            <v>THE IMPACT OF BANK-FINTECH COOPERATION ON THE PERFORMANCE OF TRADITIONAL COMMERCIAL BANKS IN VIETNAM: THE MODERATING ROLE OF CEO CHARACTERISTICS</v>
          </cell>
          <cell r="I227" t="str">
            <v>Tiếng Anh</v>
          </cell>
          <cell r="J227" t="str">
            <v>Tiếng Anh</v>
          </cell>
          <cell r="K227" t="str">
            <v>https://drive.google.com/open?id=1w0gYi1WcKDjZDrOpTeDJPi8WuJN5DOLY</v>
          </cell>
        </row>
        <row r="228">
          <cell r="B228" t="str">
            <v>K224040503</v>
          </cell>
          <cell r="C228" t="str">
            <v>Nguyễn Thị Huyền Trang</v>
          </cell>
          <cell r="D228" t="str">
            <v>K22404</v>
          </cell>
          <cell r="E228" t="str">
            <v>X</v>
          </cell>
          <cell r="F228" t="str">
            <v>X</v>
          </cell>
          <cell r="H228" t="str">
            <v>ẢNH HƯỞNG CỦA NỢ XẤU ĐẾN KHẢ NĂNG SINH LỜI CỦA CÁC NGÂN HÀNG THƯƠNG MẠI VIỆT NAM</v>
          </cell>
          <cell r="I228" t="str">
            <v>Tiếng Việt</v>
          </cell>
          <cell r="J228" t="str">
            <v>Tiếng Việt</v>
          </cell>
          <cell r="K228" t="str">
            <v>https://drive.google.com/open?id=1xltPUoWnClLWrv2nWIgqT_Aw1VBJxBLB</v>
          </cell>
        </row>
        <row r="229">
          <cell r="B229" t="str">
            <v>K224040545</v>
          </cell>
          <cell r="C229" t="str">
            <v>Huỳnh Thị Thanh Thảo</v>
          </cell>
          <cell r="D229" t="str">
            <v>K22404</v>
          </cell>
          <cell r="E229" t="str">
            <v>X</v>
          </cell>
          <cell r="F229" t="str">
            <v>X</v>
          </cell>
          <cell r="H229" t="str">
            <v>MỐI QUAN HỆ GIỮA CAR VÀ KHẢ NĂNG SINH LỜI  CỦA CÁC NGÂN HÀNG THƯƠNG MẠI VIỆT NAM</v>
          </cell>
          <cell r="I229" t="str">
            <v>Tiếng Việt</v>
          </cell>
          <cell r="J229" t="str">
            <v>Tiếng Việt</v>
          </cell>
          <cell r="K229" t="str">
            <v>https://drive.google.com/open?id=1ywmDN0TaUUKDU3qV4cNAseMuy-f04vnK</v>
          </cell>
        </row>
        <row r="230">
          <cell r="B230" t="str">
            <v>K224040598</v>
          </cell>
          <cell r="C230" t="str">
            <v>Cao Thị Phương Anh</v>
          </cell>
          <cell r="D230" t="str">
            <v>K22404CA</v>
          </cell>
          <cell r="E230" t="str">
            <v>X</v>
          </cell>
          <cell r="F230" t="str">
            <v>X</v>
          </cell>
          <cell r="H230" t="str">
            <v>THE IMPACT OF DIGITAL TRANSFORMATION ON FIRM PERFORMANCE OF LISTED COMPANIES IN THE VIETNAMESE STOCK MARKET</v>
          </cell>
          <cell r="I230" t="str">
            <v>Tiếng Anh</v>
          </cell>
          <cell r="J230" t="str">
            <v>Tiếng Anh</v>
          </cell>
          <cell r="K230" t="str">
            <v>https://drive.google.com/open?id=1LSSfc8W7cR_6pTdqatT6ksPKn0Xu4u5K</v>
          </cell>
        </row>
        <row r="231">
          <cell r="B231" t="str">
            <v>K224040611</v>
          </cell>
          <cell r="C231" t="str">
            <v>Phan Đức Hiển Long</v>
          </cell>
          <cell r="D231" t="str">
            <v>K22404CA</v>
          </cell>
          <cell r="E231" t="str">
            <v>X</v>
          </cell>
          <cell r="F231" t="str">
            <v>X</v>
          </cell>
          <cell r="H231" t="str">
            <v>CORPORATE FINANCIALIZATION AND FIXED INVESTMENT RATES: EVIDENCE ON THE MODERATING EFFECTS OF FINANCIAL CONSTRAINTS AND MONETARY POLICY IN VIETNAM</v>
          </cell>
          <cell r="I231" t="str">
            <v>Tiếng Anh</v>
          </cell>
          <cell r="J231" t="str">
            <v>Tiếng Anh</v>
          </cell>
          <cell r="K231" t="str">
            <v>https://drive.google.com/open?id=14m5-s4KWxTaiN7ms3OOXgIhhEQQqp-RI</v>
          </cell>
        </row>
        <row r="232">
          <cell r="B232" t="str">
            <v>K224040618</v>
          </cell>
          <cell r="C232" t="str">
            <v>Phạm Lê Thảo Nhi</v>
          </cell>
          <cell r="D232" t="str">
            <v>K22404CA</v>
          </cell>
          <cell r="E232" t="str">
            <v>X</v>
          </cell>
          <cell r="F232" t="str">
            <v>X</v>
          </cell>
          <cell r="H232" t="str">
            <v>THE IMPACT OF RELATED-PARTY TRANSACTIONS ON CORPORATE BOND HOLDINGS AND BANK RISK: EVIDENCE FROM VIETNAMESE COMMERCIAL BANKS</v>
          </cell>
          <cell r="I232" t="str">
            <v>Tiếng Anh</v>
          </cell>
          <cell r="J232" t="str">
            <v>Tiếng Anh</v>
          </cell>
          <cell r="K232" t="str">
            <v>https://drive.google.com/open?id=1dAcp_qet9NlmZ1oSiy4Mb5aV3aQpLkL5</v>
          </cell>
        </row>
        <row r="233">
          <cell r="B233" t="str">
            <v>K224040619</v>
          </cell>
          <cell r="C233" t="str">
            <v>Võ Hoàng Uyên Nhy</v>
          </cell>
          <cell r="D233" t="str">
            <v>K22404CA</v>
          </cell>
          <cell r="E233" t="str">
            <v>X</v>
          </cell>
          <cell r="F233" t="str">
            <v>X</v>
          </cell>
          <cell r="H233" t="str">
            <v>THE IMPACT OF AGENCY COST ON OVERINVESTMENT AND THE MODERATING ROLE OF FREE CASH FLOW: ENVIDENCE IN VIETNAM NON – FINANCIAL LISTED COMPANIES</v>
          </cell>
          <cell r="I233" t="str">
            <v>Tiếng Anh</v>
          </cell>
          <cell r="J233" t="str">
            <v>Tiếng Anh</v>
          </cell>
          <cell r="K233" t="str">
            <v>https://drive.google.com/open?id=1xc1S3NP0gsaIfShFPwo3to4w7dqrOOBh&amp;usp=drive_fs</v>
          </cell>
        </row>
        <row r="234">
          <cell r="B234" t="str">
            <v>K224141721</v>
          </cell>
          <cell r="C234" t="str">
            <v>Nguyễn Thị Đức Hạnh</v>
          </cell>
          <cell r="D234" t="str">
            <v>K22414C</v>
          </cell>
          <cell r="F234" t="str">
            <v>X</v>
          </cell>
          <cell r="H234" t="str">
            <v/>
          </cell>
          <cell r="I234" t="str">
            <v>Tiếng Việt</v>
          </cell>
        </row>
        <row r="235">
          <cell r="B235" t="str">
            <v>K224040615</v>
          </cell>
          <cell r="C235" t="str">
            <v>Lê Hoàng Nam</v>
          </cell>
          <cell r="D235" t="str">
            <v>K22404CA</v>
          </cell>
          <cell r="E235" t="str">
            <v>X</v>
          </cell>
          <cell r="F235" t="str">
            <v>X</v>
          </cell>
          <cell r="H235" t="str">
            <v xml:space="preserve">PHẢN ỨNG CỦA THỊ TRƯỜNG CHỨNG KHOÁN VIỆT NAM TRƯỚC CÁC GÓI HỖ TRỢ KINH TẾ  </v>
          </cell>
          <cell r="I235" t="str">
            <v>Tiếng Anh</v>
          </cell>
          <cell r="J235" t="str">
            <v>Tiếng Việt</v>
          </cell>
          <cell r="K235" t="str">
            <v>https://docs.google.com/document/d/1VnRNrn1l3S8ALUdL7ddjV3l72zcw98Se?rtpof=true&amp;usp=drive_fs</v>
          </cell>
        </row>
        <row r="236">
          <cell r="B236" t="str">
            <v>K224040626</v>
          </cell>
          <cell r="C236" t="str">
            <v>Nguyễn Minh Trí</v>
          </cell>
          <cell r="D236" t="str">
            <v>K22404CA</v>
          </cell>
          <cell r="E236" t="str">
            <v>X</v>
          </cell>
          <cell r="F236" t="str">
            <v>X</v>
          </cell>
          <cell r="H236" t="str">
            <v>CASH-FLOW VOLATILITY AND FIRM LEVERAGE: MULTI-MEASURE EVIDENCE FROM VIETNAM’S LISTED NON-FINANCIAL FIRMS</v>
          </cell>
          <cell r="I236" t="str">
            <v>Tiếng Anh</v>
          </cell>
          <cell r="J236" t="str">
            <v>Tiếng Anh</v>
          </cell>
          <cell r="K236" t="str">
            <v>https://drive.google.com/open?id=1gj0XTcKScoi3VbTJQb61Kdfhp66i-Kbn</v>
          </cell>
        </row>
        <row r="237">
          <cell r="B237" t="str">
            <v>K224040627</v>
          </cell>
          <cell r="C237" t="str">
            <v>Nguyễn Thị Lan Uyên</v>
          </cell>
          <cell r="D237" t="str">
            <v>K22404CA</v>
          </cell>
          <cell r="E237" t="str">
            <v>X</v>
          </cell>
          <cell r="F237" t="str">
            <v>X</v>
          </cell>
          <cell r="H237" t="str">
            <v>THE IMPACT OF ESG INFORMATION DISCLOSURE ON THE LIQUIDITY RISK OF COMMERCIAL BANKS IN VIETNAM</v>
          </cell>
          <cell r="I237" t="str">
            <v>Tiếng Anh</v>
          </cell>
          <cell r="J237" t="str">
            <v>Tiếng Anh</v>
          </cell>
          <cell r="K237" t="str">
            <v>https://drive.google.com/open?id=1UpXYj3H39zDtCwq-P6wIyVFpU2fPcQo2</v>
          </cell>
        </row>
        <row r="238">
          <cell r="B238" t="str">
            <v>K224040603</v>
          </cell>
          <cell r="C238" t="str">
            <v>Đoàn Ngọc Quỳnh Giao</v>
          </cell>
          <cell r="D238" t="str">
            <v>K22404CA</v>
          </cell>
          <cell r="E238" t="str">
            <v>X</v>
          </cell>
          <cell r="F238" t="str">
            <v>X</v>
          </cell>
          <cell r="H238" t="str">
            <v>THE IMPACT OF ESG DISCLOSURE ON THE COST OF DEBT- THE MODERATING EFFECT OF AGENCY COSTS: EVIDENCE FROM VNX50 FIRMS IN VIETNAM</v>
          </cell>
          <cell r="I238" t="str">
            <v>Tiếng Anh</v>
          </cell>
          <cell r="J238" t="str">
            <v>Tiếng Anh</v>
          </cell>
          <cell r="K238" t="str">
            <v>https://drive.google.com/open?id=1FtRwF6YaiwM030qsAMkx-ETnQDK9dG9o</v>
          </cell>
        </row>
        <row r="239">
          <cell r="B239" t="str">
            <v>K224040607</v>
          </cell>
          <cell r="C239" t="str">
            <v>Nguyễn Đắc Tùng Lâm</v>
          </cell>
          <cell r="D239" t="str">
            <v>K22404CA</v>
          </cell>
          <cell r="E239" t="str">
            <v>X</v>
          </cell>
          <cell r="F239" t="str">
            <v>X</v>
          </cell>
          <cell r="H239" t="str">
            <v xml:space="preserve"> FACTORS AFFECTING THE STOCK PRICES OF JOINT STOCKS COMPANIES LISTED ON THE VIET NAM STOCK EXCHANGE DURING THE PERIOD 2020-2025</v>
          </cell>
          <cell r="I239" t="str">
            <v>Tiếng Anh</v>
          </cell>
          <cell r="J239" t="str">
            <v>Tiếng Anh</v>
          </cell>
          <cell r="K239" t="str">
            <v>https://drive.google.com/open?id=1HBJOu4rsEiR22lM6WP1M8Wmzc1JOz5lp</v>
          </cell>
        </row>
        <row r="240">
          <cell r="B240" t="str">
            <v>K224040628</v>
          </cell>
          <cell r="C240" t="str">
            <v>Nguyễn Ngọc Hải Vân</v>
          </cell>
          <cell r="D240" t="str">
            <v>K22404CA</v>
          </cell>
          <cell r="E240" t="str">
            <v>X</v>
          </cell>
          <cell r="F240" t="str">
            <v>X</v>
          </cell>
          <cell r="H240" t="str">
            <v>THE IMPACT OF FUNDING AND INCOME DIVERSIFICATION ON NON-PERFORMING LOANS: AN EMPIRICAL STUDY FROM VIETNAMESE COMMERCIAL BANKS</v>
          </cell>
          <cell r="I240" t="str">
            <v>Tiếng Anh</v>
          </cell>
          <cell r="J240" t="str">
            <v>Tiếng Anh</v>
          </cell>
          <cell r="K240" t="str">
            <v>https://drive.google.com/open?id=19Z1qKr8byoYCqKrUUuMaaD8yuC6Gudgo</v>
          </cell>
        </row>
        <row r="241">
          <cell r="B241" t="str">
            <v>K224040597</v>
          </cell>
          <cell r="C241" t="str">
            <v>Trần Quốc Văn</v>
          </cell>
          <cell r="D241" t="str">
            <v>K22404C</v>
          </cell>
          <cell r="F241" t="str">
            <v>X</v>
          </cell>
          <cell r="G241" t="str">
            <v>X</v>
          </cell>
          <cell r="H241" t="str">
            <v/>
          </cell>
          <cell r="I241" t="str">
            <v>Tiếng Việt</v>
          </cell>
        </row>
        <row r="242">
          <cell r="B242" t="str">
            <v>K224040601</v>
          </cell>
          <cell r="C242" t="str">
            <v>Phan Đức Dân</v>
          </cell>
          <cell r="D242" t="str">
            <v>K22404CA</v>
          </cell>
          <cell r="E242" t="str">
            <v>X</v>
          </cell>
          <cell r="F242" t="str">
            <v>X</v>
          </cell>
          <cell r="H242" t="str">
            <v>THE MODERATING ROLE OF FINANCIAL STABILITY IN THE RELATIONSHIP BETWEEN PROFITABILITY AND FIRM VALUE: EVIDENCE FROM VIETNAMESE REAL ESTATE FIRMS</v>
          </cell>
          <cell r="I242" t="str">
            <v>Tiếng Anh</v>
          </cell>
          <cell r="J242" t="str">
            <v>Tiếng Anh</v>
          </cell>
          <cell r="K242" t="str">
            <v>https://drive.google.com/open?id=1G-5ZRtKZlGLeemvGCiEAebM-ps_L6waY</v>
          </cell>
        </row>
        <row r="243">
          <cell r="B243" t="str">
            <v>K224040608</v>
          </cell>
          <cell r="C243" t="str">
            <v>Âu Dương Ngọc Linh</v>
          </cell>
          <cell r="D243" t="str">
            <v>K22404CA</v>
          </cell>
          <cell r="E243" t="str">
            <v>X</v>
          </cell>
          <cell r="F243" t="str">
            <v>X</v>
          </cell>
          <cell r="H243" t="str">
            <v>THE IMPACT OF THE AI DISCLOSURE INDEX ON THE MARKET VALUE OF VIETNAM LISTED COMPANIES</v>
          </cell>
          <cell r="I243" t="str">
            <v>Tiếng Anh</v>
          </cell>
          <cell r="J243" t="str">
            <v>Tiếng Anh</v>
          </cell>
          <cell r="K243" t="str">
            <v>https://drive.google.com/open?id=1m9l7Y5aDeTrqHvocJz8oOOPWFDYhMIO5</v>
          </cell>
        </row>
        <row r="244">
          <cell r="B244" t="str">
            <v>K224040602</v>
          </cell>
          <cell r="C244" t="str">
            <v>Trần Nhật Duật</v>
          </cell>
          <cell r="D244" t="str">
            <v>K22404CA</v>
          </cell>
          <cell r="E244" t="str">
            <v>X</v>
          </cell>
          <cell r="F244" t="str">
            <v>X</v>
          </cell>
          <cell r="H244" t="str">
            <v>METHODS OF VALUING LISTED ENTERPRISES: THE CASE OF BINH MINH PLASTIC JOINT STOCK COMPANY</v>
          </cell>
          <cell r="I244" t="str">
            <v>Tiếng Anh</v>
          </cell>
          <cell r="J244" t="str">
            <v>Tiếng Anh</v>
          </cell>
          <cell r="K244" t="str">
            <v>https://drive.google.com/open?id=1GHkdn3sqgcwT1dyaKtr2HHdGYl5sGDfg</v>
          </cell>
        </row>
        <row r="245">
          <cell r="B245" t="str">
            <v>K224040614</v>
          </cell>
          <cell r="C245" t="str">
            <v>Võ Thị Hoàng My</v>
          </cell>
          <cell r="D245" t="str">
            <v>K22404CA</v>
          </cell>
          <cell r="E245" t="str">
            <v>X</v>
          </cell>
          <cell r="F245" t="str">
            <v>X</v>
          </cell>
          <cell r="H245" t="str">
            <v>ANALYSIS OF CREDIT RISK MANAGEMENT AT JOINT STOCK COMMERCIAL BANK FOR FOREIGN TRADE OF VIETNAM (VIETCOMBANK)</v>
          </cell>
          <cell r="I245" t="str">
            <v>Tiếng Anh</v>
          </cell>
          <cell r="J245" t="str">
            <v>Tiếng Anh</v>
          </cell>
          <cell r="K245" t="str">
            <v>https://drive.google.com/open?id=1EEugIlYOg-f6zlbA_qI6CGXYr0wxG79G</v>
          </cell>
        </row>
        <row r="246">
          <cell r="B246" t="str">
            <v>K224040617</v>
          </cell>
          <cell r="C246" t="str">
            <v>Nguyễn Thị Yến Nhi</v>
          </cell>
          <cell r="D246" t="str">
            <v>K22404CA</v>
          </cell>
          <cell r="E246" t="str">
            <v>X</v>
          </cell>
          <cell r="F246" t="str">
            <v>X</v>
          </cell>
          <cell r="H246" t="str">
            <v>FINANCIAL DETERMINANTS OF CORPORATE CASH HOLDINGS: EVIDENCE FROM NON-FINANCIAL LISTED COMPANIES IN VIETNAM</v>
          </cell>
          <cell r="I246" t="str">
            <v>Tiếng Anh</v>
          </cell>
          <cell r="J246" t="str">
            <v>Tiếng Anh</v>
          </cell>
          <cell r="K246" t="str">
            <v>https://drive.google.com/open?id=1Rwo5UibdDKr23FYYs5uFNi0kccDucLfJ</v>
          </cell>
        </row>
        <row r="247">
          <cell r="B247" t="str">
            <v>K224040600</v>
          </cell>
          <cell r="C247" t="str">
            <v>Nguyễn Phúc Bảo Châu</v>
          </cell>
          <cell r="D247" t="str">
            <v>K22404CA</v>
          </cell>
          <cell r="E247" t="str">
            <v>X</v>
          </cell>
          <cell r="F247" t="str">
            <v>X</v>
          </cell>
          <cell r="H247" t="str">
            <v>THE IMPACT OF BOARD GENDER DIVERSITY ON THE FIRM VALUE OF LISTED FIRMS IN VIETNAM</v>
          </cell>
          <cell r="I247" t="str">
            <v>Tiếng Anh</v>
          </cell>
          <cell r="J247" t="str">
            <v>Tiếng Anh</v>
          </cell>
          <cell r="K247" t="str">
            <v>https://drive.google.com/open?id=1Wv57NATsyfsfOJ3Wqu4_xw5aLiFUfFqQ</v>
          </cell>
        </row>
        <row r="248">
          <cell r="B248" t="str">
            <v>K224040620</v>
          </cell>
          <cell r="C248" t="str">
            <v>Đặng Việt Quang</v>
          </cell>
          <cell r="D248" t="str">
            <v>K22404CA</v>
          </cell>
          <cell r="E248" t="str">
            <v>X</v>
          </cell>
          <cell r="F248" t="str">
            <v>X</v>
          </cell>
          <cell r="H248" t="str">
            <v>INVESTMENT EFFICIENCY AND FIRM-LEVEL DETERMINANTS OF  INVESTMENT DEVIATION: EVIDENCE FROM VIETNAMESE NON-FINANCIAL FIRMS</v>
          </cell>
          <cell r="I248" t="str">
            <v>Tiếng Anh</v>
          </cell>
          <cell r="J248" t="str">
            <v>Tiếng Anh</v>
          </cell>
          <cell r="K248" t="str">
            <v>https://drive.google.com/open?id=1MOnapvIgYdr1i72IMc5zK9k5TVMNhl_D</v>
          </cell>
        </row>
        <row r="249">
          <cell r="B249" t="str">
            <v>K204151943</v>
          </cell>
          <cell r="C249" t="str">
            <v>Lê Anh Đức</v>
          </cell>
          <cell r="D249" t="str">
            <v>K20404C</v>
          </cell>
          <cell r="F249" t="str">
            <v>X</v>
          </cell>
          <cell r="H249" t="str">
            <v/>
          </cell>
          <cell r="I249" t="str">
            <v>Tiếng Việt</v>
          </cell>
        </row>
        <row r="250">
          <cell r="B250" t="str">
            <v>K224040622</v>
          </cell>
          <cell r="C250" t="str">
            <v>Lê Hoài Trúc Quỳnh</v>
          </cell>
          <cell r="D250" t="str">
            <v>K22404CA</v>
          </cell>
          <cell r="E250" t="str">
            <v>X</v>
          </cell>
          <cell r="F250" t="str">
            <v>X</v>
          </cell>
          <cell r="H250" t="str">
            <v xml:space="preserve">FACTORS IMPACT ON FINANCIAL SUSTAINABILITY IN  VIETNAMESE JOINT STOCK COMMERCIAL BANKS  DURING THE PERIOD: A QUANTILE-BASED APPROACH </v>
          </cell>
          <cell r="I250" t="str">
            <v>Tiếng Anh</v>
          </cell>
          <cell r="J250" t="str">
            <v>Tiếng Anh</v>
          </cell>
          <cell r="K250" t="str">
            <v>https://drive.google.com/open?id=1rE1KUM2gCZLbUrOD1CaHIhcJ24SpDQwL</v>
          </cell>
        </row>
        <row r="251">
          <cell r="B251" t="str">
            <v>K224040624</v>
          </cell>
          <cell r="C251" t="str">
            <v>Ngô Quang Tiến</v>
          </cell>
          <cell r="D251" t="str">
            <v>K22404CA</v>
          </cell>
          <cell r="E251" t="str">
            <v>X</v>
          </cell>
          <cell r="F251" t="str">
            <v>X</v>
          </cell>
          <cell r="H251" t="str">
            <v xml:space="preserve">ANALYSIS OF FINANCIAL MANAGEMENT EFFICIENCY OF HO CHI MINH CITY DEVELOPMENT JOINT STOCK COMMECIAL BANK (HDBANK) USING THE CAMELS FRAMEWORK DURING THE PERIOD 2019 – 2023 </v>
          </cell>
          <cell r="I251" t="str">
            <v>Tiếng Anh</v>
          </cell>
          <cell r="J251" t="str">
            <v>Tiếng Anh</v>
          </cell>
          <cell r="K251" t="str">
            <v>https://drive.google.com/open?id=1IZUczFmSsSUx3cFTANtXrp3D_qMwm_9P</v>
          </cell>
        </row>
        <row r="252">
          <cell r="B252" t="str">
            <v>K224040625</v>
          </cell>
          <cell r="C252" t="str">
            <v>Phạm Thu Trang</v>
          </cell>
          <cell r="D252" t="str">
            <v>K22404CA</v>
          </cell>
          <cell r="E252" t="str">
            <v>X</v>
          </cell>
          <cell r="F252" t="str">
            <v>X</v>
          </cell>
          <cell r="H252" t="str">
            <v>THE IMPACT OF FINANCIAL LEVERAGE ON FIRM VALUE OF HOSE-LISTED MANUFACTURING COMPANIES (2016–2024)</v>
          </cell>
          <cell r="I252" t="str">
            <v>Tiếng Anh</v>
          </cell>
          <cell r="J252" t="str">
            <v>Tiếng Anh</v>
          </cell>
          <cell r="K252" t="str">
            <v>https://drive.google.com/open?id=1Vz5BNY90QzJDn0TAS3F6VG7YZJ-njYP4</v>
          </cell>
        </row>
        <row r="253">
          <cell r="B253" t="str">
            <v>K224040613</v>
          </cell>
          <cell r="C253" t="str">
            <v>Lâm Huỳnh Ái My</v>
          </cell>
          <cell r="D253" t="str">
            <v>K22404CA</v>
          </cell>
          <cell r="E253" t="str">
            <v>X</v>
          </cell>
          <cell r="F253" t="str">
            <v>X</v>
          </cell>
          <cell r="H253" t="str">
            <v>FACTORS AFFECTING THE FINANCIAL PERFORMANCE OF COMMERCIAL BANKS IN VIETNAM</v>
          </cell>
          <cell r="I253" t="str">
            <v>Tiếng Anh</v>
          </cell>
          <cell r="J253" t="str">
            <v>Tiếng Anh</v>
          </cell>
          <cell r="K253" t="str">
            <v>https://drive.google.com/open?id=1mbOmRU9UhnMj1e3Ac0UBN7MiyAPrul9H</v>
          </cell>
        </row>
        <row r="254">
          <cell r="B254" t="str">
            <v>K224040616</v>
          </cell>
          <cell r="C254" t="str">
            <v>Nguyễn Huỳnh Bách Ngọc</v>
          </cell>
          <cell r="D254" t="str">
            <v>K22404CA</v>
          </cell>
          <cell r="E254" t="str">
            <v>X</v>
          </cell>
          <cell r="F254" t="str">
            <v>X</v>
          </cell>
          <cell r="H254" t="str">
            <v>THE IMPACT OF ESG AND INSTITUTIONAL QUALITY ON BANK PERFORMANCE AND STABILITY: PANEL EVIDENCE FROM ASEAN COUNTRIES</v>
          </cell>
          <cell r="I254" t="str">
            <v>Tiếng Anh</v>
          </cell>
          <cell r="J254" t="str">
            <v>Tiếng Anh</v>
          </cell>
          <cell r="K254" t="str">
            <v>https://drive.google.com/open?id=1HDFZ27W2ti4R7JiNZX60LbPV6QPoNJXW</v>
          </cell>
        </row>
        <row r="255">
          <cell r="B255" t="str">
            <v>K224040621</v>
          </cell>
          <cell r="C255" t="str">
            <v>Phan Trọng Quí</v>
          </cell>
          <cell r="D255" t="str">
            <v>K22404CA</v>
          </cell>
          <cell r="E255" t="str">
            <v>X</v>
          </cell>
          <cell r="F255" t="str">
            <v>X</v>
          </cell>
          <cell r="H255" t="str">
            <v>THE IMPACT OF BANK GUARANTEE ACTIVITIES ON RISK AND PERFORMANCE OF VIETNAMESE COMMERCIAL BANKS</v>
          </cell>
          <cell r="I255" t="str">
            <v>Tiếng Việt</v>
          </cell>
          <cell r="J255" t="str">
            <v>Tiếng Anh</v>
          </cell>
          <cell r="K255" t="str">
            <v>https://drive.google.com/open?id=1zV0AxzFWbckwNf0kiz2DTMLGHOlco-wW</v>
          </cell>
        </row>
        <row r="256">
          <cell r="B256" t="str">
            <v>K224040623</v>
          </cell>
          <cell r="C256" t="str">
            <v>Huỳnh Thị Thanh Thảo</v>
          </cell>
          <cell r="D256" t="str">
            <v>K22404CA</v>
          </cell>
          <cell r="E256" t="str">
            <v>X</v>
          </cell>
          <cell r="F256" t="str">
            <v>X</v>
          </cell>
          <cell r="H256" t="str">
            <v>ECONOMIC POLICY UNCERTAINTY AND CORPORATE CASH HOLDINGS: EVIDENCE FROM VIETNAMESE NON-FINANCIAL LISTED FIRM</v>
          </cell>
          <cell r="I256" t="str">
            <v>Tiếng Anh</v>
          </cell>
          <cell r="J256" t="str">
            <v>Tiếng Anh</v>
          </cell>
          <cell r="K256" t="str">
            <v>https://drive.google.com/open?id=1GCzdV9VoSgQuVtz80IXTmJgiOSezGoF0</v>
          </cell>
        </row>
        <row r="257">
          <cell r="B257" t="str">
            <v>K214040312</v>
          </cell>
          <cell r="C257" t="str">
            <v>Ngô Nguyễn Quyết Thắng</v>
          </cell>
          <cell r="D257" t="str">
            <v>K21404C</v>
          </cell>
          <cell r="E257" t="str">
            <v>X</v>
          </cell>
          <cell r="F257" t="str">
            <v>X</v>
          </cell>
          <cell r="H257" t="str">
            <v>KHÔNG NỘP</v>
          </cell>
        </row>
        <row r="258">
          <cell r="B258" t="str">
            <v>K224141736</v>
          </cell>
          <cell r="C258" t="str">
            <v>Nguyễn Trường Thi</v>
          </cell>
          <cell r="D258" t="str">
            <v>K22414C</v>
          </cell>
          <cell r="E258" t="str">
            <v>X</v>
          </cell>
          <cell r="H258" t="str">
            <v>KHÔNG NỘP</v>
          </cell>
        </row>
        <row r="259">
          <cell r="B259" t="str">
            <v>K224040571</v>
          </cell>
          <cell r="C259" t="str">
            <v>Trần Phương Linh</v>
          </cell>
          <cell r="D259" t="str">
            <v>K22404C</v>
          </cell>
          <cell r="F259" t="str">
            <v>X</v>
          </cell>
          <cell r="G259" t="str">
            <v>X</v>
          </cell>
          <cell r="H259" t="str">
            <v/>
          </cell>
          <cell r="I259" t="str">
            <v>Tiếng Anh</v>
          </cell>
        </row>
      </sheetData>
      <sheetData sheetId="1"/>
      <sheetData sheetId="2"/>
      <sheetData sheetId="3"/>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1" Type="http://schemas.openxmlformats.org/officeDocument/2006/relationships/hyperlink" Target="https://drive.google.com/open?id=1dwtSoFMFtYCuFLdFEC0j-Z-2XlyuOnkZ" TargetMode="External"/><Relationship Id="rId170" Type="http://schemas.openxmlformats.org/officeDocument/2006/relationships/hyperlink" Target="https://drive.google.com/open?id=1CjJ7anYeNT3mVc21i3jpMEiPjSg48fbN"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92" Type="http://schemas.openxmlformats.org/officeDocument/2006/relationships/hyperlink" Target="https://drive.google.com/open?id=1-bTl9M8dRlvV1k4yv6lh_LTa9zNnv27i" TargetMode="External"/><Relationship Id="rId497" Type="http://schemas.openxmlformats.org/officeDocument/2006/relationships/hyperlink" Target="https://drive.google.com/open?id=1WN9FMXcEch3XtjPFCAulZI0JXYDLivcs" TargetMode="External"/><Relationship Id="rId357" Type="http://schemas.openxmlformats.org/officeDocument/2006/relationships/hyperlink" Target="https://drive.google.com/open?id=1C9PPQymOOu9FxcPWy1KNGIASBoUJ1k_j" TargetMode="External"/><Relationship Id="rId1194" Type="http://schemas.openxmlformats.org/officeDocument/2006/relationships/hyperlink" Target="https://drive.google.com/open?id=1RoUxwKWBhS44BzODwBc3Xko8QxCfpViD"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281" Type="http://schemas.openxmlformats.org/officeDocument/2006/relationships/hyperlink" Target="https://drive.google.com/open?id=1EVQ6GiYHb-REG5kccE3b5LibSgsMS5sC"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003" Type="http://schemas.openxmlformats.org/officeDocument/2006/relationships/hyperlink" Target="https://drive.google.com/open?id=1w8fv5e9QgxKb9zWs6s1MUGv67xKpz3Hq" TargetMode="External"/><Relationship Id="rId1210" Type="http://schemas.openxmlformats.org/officeDocument/2006/relationships/hyperlink" Target="https://drive.google.com/open?id=1Q_PR-p7xCscJ9GJ63-JwnYT7He7rcxDX" TargetMode="External"/><Relationship Id="rId14" Type="http://schemas.openxmlformats.org/officeDocument/2006/relationships/hyperlink" Target="https://drive.google.com/open?id=1IcVHLLKUxeuCDygohZCut6KkkQl__HN8"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185" Type="http://schemas.openxmlformats.org/officeDocument/2006/relationships/hyperlink" Target="https://drive.google.com/open?id=1mH5hPf3lfKfPvnga5jCmoS_4dT6k5ywr" TargetMode="External"/><Relationship Id="rId392" Type="http://schemas.openxmlformats.org/officeDocument/2006/relationships/hyperlink" Target="https://drive.google.com/open?id=11b_GyBPkt4aVlZCigPrVOxSvf481_Qzi" TargetMode="External"/><Relationship Id="rId697" Type="http://schemas.openxmlformats.org/officeDocument/2006/relationships/hyperlink" Target="https://drive.google.com/open?id=1UHxrkB5Ato37VqPjBk_oZUlEKyEQUIh8" TargetMode="External"/><Relationship Id="rId252" Type="http://schemas.openxmlformats.org/officeDocument/2006/relationships/hyperlink" Target="https://drive.google.com/open?id=1RzQZxaa3bwA6xgfBKocS277ZGwgkneUL" TargetMode="External"/><Relationship Id="rId1187" Type="http://schemas.openxmlformats.org/officeDocument/2006/relationships/hyperlink" Target="https://drive.google.com/open?id=1Y1omWwEte0_-Bo5eVfaV1blqX1b6A2j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713" Type="http://schemas.openxmlformats.org/officeDocument/2006/relationships/hyperlink" Target="https://drive.google.com/open?id=1dJq_RVgjBeEYnc_ImqAGy9-JBEjabtLd" TargetMode="External"/><Relationship Id="rId920" Type="http://schemas.openxmlformats.org/officeDocument/2006/relationships/hyperlink" Target="https://drive.google.com/open?id=1Chxfwa4KIr49Z8PxbGqkrfxzUTN_ciAO" TargetMode="External"/><Relationship Id="rId1203" Type="http://schemas.openxmlformats.org/officeDocument/2006/relationships/hyperlink" Target="https://drive.google.com/open?id=1JJ1v9YNHR_5wy1WsxnPX93iiMZ2CQGc-" TargetMode="External"/><Relationship Id="rId296" Type="http://schemas.openxmlformats.org/officeDocument/2006/relationships/hyperlink" Target="https://drive.google.com/open?id=1ezcXn8Cf6Wm4Ug-923MS8OsXvX62Btoq"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802" Type="http://schemas.openxmlformats.org/officeDocument/2006/relationships/hyperlink" Target="https://drive.google.com/open?id=1GABFRLcLVo-rJuEDOu_N0ZABzWu382OC" TargetMode="External"/><Relationship Id="rId29" Type="http://schemas.openxmlformats.org/officeDocument/2006/relationships/hyperlink" Target="https://drive.google.com/open?id=1BVeSmiY_DZdNm4bq2PI7OkOZ6MxZ7Pm1" TargetMode="External"/><Relationship Id="rId178" Type="http://schemas.openxmlformats.org/officeDocument/2006/relationships/hyperlink" Target="https://drive.google.com/open?id=1VwgVuKhYCCzOe0dYrugm7mryKWSInPG2"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467" Type="http://schemas.openxmlformats.org/officeDocument/2006/relationships/hyperlink" Target="https://drive.google.com/open?id=1wgnNPwwir_WOuP4_yGlPuyEJpI854wIZ"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79" Type="http://schemas.openxmlformats.org/officeDocument/2006/relationships/hyperlink" Target="https://drive.google.com/open?id=1U3kKui09pw1QR4irVBhCux4h_yTqr-S-" TargetMode="External"/><Relationship Id="rId24" Type="http://schemas.openxmlformats.org/officeDocument/2006/relationships/hyperlink" Target="https://drive.google.com/open?id=1BInodur7Z5z0B9Lw5TfPgMKVfBZdqE9Y" TargetMode="External"/><Relationship Id="rId327" Type="http://schemas.openxmlformats.org/officeDocument/2006/relationships/hyperlink" Target="https://drive.google.com/open?id=17LOd93CnW4oauoPX5OpPGKbNuIMslXQf" TargetMode="External"/><Relationship Id="rId534" Type="http://schemas.openxmlformats.org/officeDocument/2006/relationships/hyperlink" Target="https://drive.google.com/open?id=1yXwxtcn2TSosQTcyGwWeRRE0_lCau0SJ" TargetMode="External"/><Relationship Id="rId741" Type="http://schemas.openxmlformats.org/officeDocument/2006/relationships/hyperlink" Target="https://drive.google.com/open?id=1JIEXEas3CPItZeqlCwFxIQCr5a4SOfKH" TargetMode="External"/><Relationship Id="rId839" Type="http://schemas.openxmlformats.org/officeDocument/2006/relationships/hyperlink" Target="https://drive.google.com/open?id=1tzea4vgZgf-x4KqI778KPqEqQXP9Kykd"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380" Type="http://schemas.openxmlformats.org/officeDocument/2006/relationships/hyperlink" Target="https://drive.google.com/open?id=1IBA-s2nyAvO29ZqaCpVOZGS780cVF996" TargetMode="External"/><Relationship Id="rId601" Type="http://schemas.openxmlformats.org/officeDocument/2006/relationships/hyperlink" Target="https://drive.google.com/open?id=13dM8Jgv_WKqJWF6vFfUqOB9izDPx4iT8" TargetMode="External"/><Relationship Id="rId1024" Type="http://schemas.openxmlformats.org/officeDocument/2006/relationships/hyperlink" Target="https://drive.google.com/open?id=1bocZQAaER4ucqLIlPpXZdZNELormVrqq"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35" Type="http://schemas.openxmlformats.org/officeDocument/2006/relationships/hyperlink" Target="https://drive.google.com/open?id=1tr2wMa5YJt4VCShrY0uHebO-IP3XidpP" TargetMode="External"/><Relationship Id="rId100" Type="http://schemas.openxmlformats.org/officeDocument/2006/relationships/hyperlink" Target="https://drive.google.com/open?id=195bu8jGuXJkMIqjMtC4W8uPUFl7PyBrf" TargetMode="External"/><Relationship Id="rId338" Type="http://schemas.openxmlformats.org/officeDocument/2006/relationships/hyperlink" Target="https://drive.google.com/open?id=1XvwWo1Up79UlVSR0gkFNjLdaBtyXAztC" TargetMode="External"/><Relationship Id="rId545" Type="http://schemas.openxmlformats.org/officeDocument/2006/relationships/hyperlink" Target="https://drive.google.com/open?id=1bRmRcOoyot2eNBXY4xcJjG9itcztWplK" TargetMode="External"/><Relationship Id="rId752" Type="http://schemas.openxmlformats.org/officeDocument/2006/relationships/hyperlink" Target="https://drive.google.com/open?id=1VBBLfbCwCGJt1sIBVOn40ewU4femhmOl" TargetMode="External"/><Relationship Id="rId1175" Type="http://schemas.openxmlformats.org/officeDocument/2006/relationships/hyperlink" Target="https://drive.google.com/open?id=1Zgmqmhbpsp0sYEdpvqxIj1drPydeRoX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612" Type="http://schemas.openxmlformats.org/officeDocument/2006/relationships/hyperlink" Target="https://drive.google.com/open?id=1mbOmRU9UhnMj1e3Ac0UBN7MiyAPrul9H" TargetMode="External"/><Relationship Id="rId1035" Type="http://schemas.openxmlformats.org/officeDocument/2006/relationships/hyperlink" Target="https://drive.google.com/open?id=1IHVQgptCrqasjC2MtWHRxoLSqS2vYlGj"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96" Type="http://schemas.openxmlformats.org/officeDocument/2006/relationships/hyperlink" Target="https://drive.google.com/open?id=1TM1vT46hVPIrlLXY41qnHHodBkLhjL-q" TargetMode="External"/><Relationship Id="rId917" Type="http://schemas.openxmlformats.org/officeDocument/2006/relationships/hyperlink" Target="https://drive.google.com/open?id=1V0spmarOOkCwTwk2zmkwXOksdHP_TnLF"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349" Type="http://schemas.openxmlformats.org/officeDocument/2006/relationships/hyperlink" Target="https://drive.google.com/open?id=1teVeQvKnkxgPoK2cZ4BZQLcDbAMe9Lxv" TargetMode="External"/><Relationship Id="rId556" Type="http://schemas.openxmlformats.org/officeDocument/2006/relationships/hyperlink" Target="https://drive.google.com/open?id=1-mXPqR0BOmaZwqXMfMy1MvUJ7ZoJp7VF" TargetMode="External"/><Relationship Id="rId763" Type="http://schemas.openxmlformats.org/officeDocument/2006/relationships/hyperlink" Target="https://drive.google.com/open?id=1-Ciet1dyr5mlTQUrTE734hejb_EwOLMq" TargetMode="External"/><Relationship Id="rId1186" Type="http://schemas.openxmlformats.org/officeDocument/2006/relationships/hyperlink" Target="https://drive.google.com/open?id=1x6q3CgeCfCNwUZclyHBddI26fJN6ZZjg" TargetMode="External"/><Relationship Id="rId111" Type="http://schemas.openxmlformats.org/officeDocument/2006/relationships/hyperlink" Target="https://drive.google.com/open?id=1VjFyiKdCiVqPzTnnl1Qv7yCfhWKIqAaK"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416" Type="http://schemas.openxmlformats.org/officeDocument/2006/relationships/hyperlink" Target="https://drive.google.com/open?id=1xD4GnQ_DwxqjLUaJxYF8fFY8w7cJ7T4M" TargetMode="External"/><Relationship Id="rId970" Type="http://schemas.openxmlformats.org/officeDocument/2006/relationships/hyperlink" Target="https://drive.google.com/open?id=17H9612c1oa8J6JlQ5v2_5MFrt3uyhOfr" TargetMode="External"/><Relationship Id="rId1046" Type="http://schemas.openxmlformats.org/officeDocument/2006/relationships/hyperlink" Target="https://drive.google.com/open?id=1-BC9yK0Bm8DwW7WT3zCp3DRWi5FwBsrd" TargetMode="External"/><Relationship Id="rId1253" Type="http://schemas.openxmlformats.org/officeDocument/2006/relationships/hyperlink" Target="https://drive.google.com/open?id=1rqFQ-63kJazg9Uyg0Jym7j80nZnUglPy" TargetMode="External"/><Relationship Id="rId623" Type="http://schemas.openxmlformats.org/officeDocument/2006/relationships/hyperlink" Target="https://drive.google.com/open?id=1K2NfBDFrHh4cN-5QuF7hJUIYRpARfO73" TargetMode="External"/><Relationship Id="rId830" Type="http://schemas.openxmlformats.org/officeDocument/2006/relationships/hyperlink" Target="https://drive.google.com/open?id=1sBKtmKmyKUTtQ9THxd3hY0c4C-QqVEHH" TargetMode="External"/><Relationship Id="rId928" Type="http://schemas.openxmlformats.org/officeDocument/2006/relationships/hyperlink" Target="https://drive.google.com/open?id=1etDF0Jg6IWqVnyUn_1aqS78rcM8onOLP"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567" Type="http://schemas.openxmlformats.org/officeDocument/2006/relationships/hyperlink" Target="https://drive.google.com/open?id=14BueM2JPAWozHYKykmq84vh7X6-tNJFU" TargetMode="External"/><Relationship Id="rId1113" Type="http://schemas.openxmlformats.org/officeDocument/2006/relationships/hyperlink" Target="https://drive.google.com/open?id=1bm7GSIXpzAZpqC1ATkUbutqdzq8eJory" TargetMode="External"/><Relationship Id="rId1197" Type="http://schemas.openxmlformats.org/officeDocument/2006/relationships/hyperlink" Target="https://drive.google.com/open?id=1FLjJXLnRdpa9I8MBM6ZQdF7SrKAwW6Bk" TargetMode="External"/><Relationship Id="rId122" Type="http://schemas.openxmlformats.org/officeDocument/2006/relationships/hyperlink" Target="https://drive.google.com/open?id=1XJtGAYi4gV_tUjGqCb4qaJgZrocDfhK7"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57" Type="http://schemas.openxmlformats.org/officeDocument/2006/relationships/hyperlink" Target="https://drive.google.com/open?id=1WFVBDO4pIZncRN9NwFQzCox3yRE57eIN" TargetMode="External"/><Relationship Id="rId427" Type="http://schemas.openxmlformats.org/officeDocument/2006/relationships/hyperlink" Target="https://drive.google.com/open?id=10ZzFlVTxL7Y8SOcNk8CGbkjtQMLBoVyi" TargetMode="External"/><Relationship Id="rId634" Type="http://schemas.openxmlformats.org/officeDocument/2006/relationships/hyperlink" Target="https://drive.google.com/open?id=1L8r8ppUS8S5-DrYEa5168cWLieUMaWuq" TargetMode="External"/><Relationship Id="rId841" Type="http://schemas.openxmlformats.org/officeDocument/2006/relationships/hyperlink" Target="https://drive.google.com/open?id=1cfwjNq8I0TmiuW-qScwF4__gQZbF8Moh" TargetMode="External"/><Relationship Id="rId273" Type="http://schemas.openxmlformats.org/officeDocument/2006/relationships/hyperlink" Target="https://drive.google.com/open?id=1PJBsplG6Hnd4sWTbiDGAlTIs4qBXOgGJ" TargetMode="External"/><Relationship Id="rId480" Type="http://schemas.openxmlformats.org/officeDocument/2006/relationships/hyperlink" Target="https://drive.google.com/open?id=1pV3dCYZAj-pE5bgCdYuZjTNK9r2yHBLF"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85" Type="http://schemas.openxmlformats.org/officeDocument/2006/relationships/hyperlink" Target="https://drive.google.com/open?id=1tuS1_J4QOOa3Hiq6sgoTzPfHHUPDqRYw" TargetMode="External"/><Relationship Id="rId992" Type="http://schemas.openxmlformats.org/officeDocument/2006/relationships/hyperlink" Target="https://drive.google.com/open?id=1_6HbNfFmT2pxaJ4g23RuvpqXLoeK_Fb1" TargetMode="External"/><Relationship Id="rId200" Type="http://schemas.openxmlformats.org/officeDocument/2006/relationships/hyperlink" Target="https://drive.google.com/open?id=1bZGCiT0RJPsOHLgyfOu2vecfRze4hWHz" TargetMode="External"/><Relationship Id="rId438" Type="http://schemas.openxmlformats.org/officeDocument/2006/relationships/hyperlink" Target="https://drive.google.com/open?id=1FOBj-CJS_SFfIrg2n6_UXowvXyYthhtQ" TargetMode="External"/><Relationship Id="rId645" Type="http://schemas.openxmlformats.org/officeDocument/2006/relationships/hyperlink" Target="https://drive.google.com/open?id=1_dzaRlymbqO_J7lNRGkF7Ga1qICe0WQq" TargetMode="External"/><Relationship Id="rId852" Type="http://schemas.openxmlformats.org/officeDocument/2006/relationships/hyperlink" Target="https://drive.google.com/open?id=1GzrYUBwZKFdPE8ndDFzSLjBjawdjvL6H" TargetMode="External"/><Relationship Id="rId1068" Type="http://schemas.openxmlformats.org/officeDocument/2006/relationships/hyperlink" Target="https://drive.google.com/open?id=1fXsmoPwESAxZ_td0lMmIDrFFFyRpNQIO"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1135" Type="http://schemas.openxmlformats.org/officeDocument/2006/relationships/hyperlink" Target="https://drive.google.com/open?id=1_PWyWMWPd2aS2hAmr0U49jVLwc0-Bo_D" TargetMode="External"/><Relationship Id="rId79" Type="http://schemas.openxmlformats.org/officeDocument/2006/relationships/hyperlink" Target="https://drive.google.com/open?id=1LnzcJsL1CVvU69Pt5nrqQ7DLXsmDdQ6O" TargetMode="External"/><Relationship Id="rId144" Type="http://schemas.openxmlformats.org/officeDocument/2006/relationships/hyperlink" Target="https://drive.google.com/open?id=1og9vzEHpVyUdPZHHPhxiXipcZpj3WeYL" TargetMode="External"/><Relationship Id="rId589" Type="http://schemas.openxmlformats.org/officeDocument/2006/relationships/hyperlink" Target="https://drive.google.com/open?id=1MfWRRsZzZqRjRiU5J6Akt859NdTVSw06" TargetMode="External"/><Relationship Id="rId796" Type="http://schemas.openxmlformats.org/officeDocument/2006/relationships/hyperlink" Target="https://drive.google.com/open?id=1uDhlPfERS-B4D8ck7ALNQgO35pbEA3bF" TargetMode="External"/><Relationship Id="rId1202" Type="http://schemas.openxmlformats.org/officeDocument/2006/relationships/hyperlink" Target="https://drive.google.com/open?id=1zKdWFcB_fXqwHxmsOH4rSnVagjKun9Pw" TargetMode="External"/><Relationship Id="rId351" Type="http://schemas.openxmlformats.org/officeDocument/2006/relationships/hyperlink" Target="https://drive.google.com/open?id=1vM7CE9t45D1zVKTv_nN1Sl8NgF0nvaKN" TargetMode="External"/><Relationship Id="rId449" Type="http://schemas.openxmlformats.org/officeDocument/2006/relationships/hyperlink" Target="https://drive.google.com/open?id=1sBH4U539CsU4R91SLQV138bzQ890RZ9B" TargetMode="External"/><Relationship Id="rId656" Type="http://schemas.openxmlformats.org/officeDocument/2006/relationships/hyperlink" Target="https://drive.google.com/open?id=1mMSNihYsEb94hD2XLPqXJubWyhBTMpra" TargetMode="External"/><Relationship Id="rId863" Type="http://schemas.openxmlformats.org/officeDocument/2006/relationships/hyperlink" Target="https://drive.google.com/open?id=1lwCNcXeUzPe_H883-CdWrdoPcBoPMizK" TargetMode="External"/><Relationship Id="rId1079" Type="http://schemas.openxmlformats.org/officeDocument/2006/relationships/hyperlink" Target="https://drive.google.com/open?id=1h6qJ3Oy4aG4OLKKQ5bvCgj2hopNsJrSd" TargetMode="External"/><Relationship Id="rId211" Type="http://schemas.openxmlformats.org/officeDocument/2006/relationships/hyperlink" Target="https://drive.google.com/open?id=1_G6hWX8unQ9Igl9lGAqaEA_I8IedYI3z"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516" Type="http://schemas.openxmlformats.org/officeDocument/2006/relationships/hyperlink" Target="https://drive.google.com/open?id=1LNI6b4ktxsZzBTtpoqDqjV8xkCHdXJYL" TargetMode="External"/><Relationship Id="rId1146" Type="http://schemas.openxmlformats.org/officeDocument/2006/relationships/hyperlink" Target="https://drive.google.com/open?id=182wNB88HNx7aX61dxgw7Xp81DBrQBszw" TargetMode="External"/><Relationship Id="rId723" Type="http://schemas.openxmlformats.org/officeDocument/2006/relationships/hyperlink" Target="https://drive.google.com/open?id=1blOknRrS5Jgrv53GNIVeepDW2gmCe--N" TargetMode="External"/><Relationship Id="rId930" Type="http://schemas.openxmlformats.org/officeDocument/2006/relationships/hyperlink" Target="https://drive.google.com/open?id=1QEYGheP69wUhy8zOrLWBBFheLxmLc9pu" TargetMode="External"/><Relationship Id="rId1006" Type="http://schemas.openxmlformats.org/officeDocument/2006/relationships/hyperlink" Target="https://drive.google.com/open?id=1-FyJ6BgTE0QQTnz-mXYscIaZWa6Hy9Rh" TargetMode="External"/><Relationship Id="rId155" Type="http://schemas.openxmlformats.org/officeDocument/2006/relationships/hyperlink" Target="https://drive.google.com/open?id=1VfZAZdDyFDbrn6cntHB16dFr7un62f0K" TargetMode="External"/><Relationship Id="rId362" Type="http://schemas.openxmlformats.org/officeDocument/2006/relationships/hyperlink" Target="https://drive.google.com/open?id=1UYaDws5tqwrllIoPgSPpPTzSsxJfHOm7" TargetMode="External"/><Relationship Id="rId1213" Type="http://schemas.openxmlformats.org/officeDocument/2006/relationships/hyperlink" Target="https://drive.google.com/open?id=13v6lhNqT73TZyJZ6muu8ttmfwQnztK7e" TargetMode="External"/><Relationship Id="rId222" Type="http://schemas.openxmlformats.org/officeDocument/2006/relationships/hyperlink" Target="https://drive.google.com/open?id=1Twp5KMaybRTAQPI1iaKuoE1QXLkAeG1R"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7" Type="http://schemas.openxmlformats.org/officeDocument/2006/relationships/hyperlink" Target="https://drive.google.com/open?id=1gPBTU0tr5RF3KELuMnzeS8PiuQi7LJux" TargetMode="External"/><Relationship Id="rId527" Type="http://schemas.openxmlformats.org/officeDocument/2006/relationships/hyperlink" Target="https://drive.google.com/open?id=1cwc9foRx38U2OOaSqjE9TTQJpJUR4djW" TargetMode="External"/><Relationship Id="rId734" Type="http://schemas.openxmlformats.org/officeDocument/2006/relationships/hyperlink" Target="https://drive.google.com/open?id=1CoYdJf0d_DYGOl6usVw774BLv1xbgnRe" TargetMode="External"/><Relationship Id="rId941" Type="http://schemas.openxmlformats.org/officeDocument/2006/relationships/hyperlink" Target="https://drive.google.com/open?id=1X0YPsRlue74T5cMrdnGEtgP6VBdrt0km" TargetMode="External"/><Relationship Id="rId1157" Type="http://schemas.openxmlformats.org/officeDocument/2006/relationships/hyperlink" Target="https://drive.google.com/open?id=1_utwnZlRvbexiB8MVjfx55ExZzZbksm_"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73" Type="http://schemas.openxmlformats.org/officeDocument/2006/relationships/hyperlink" Target="https://drive.google.com/open?id=1aE41IHUfgLFXxUzcxHF8y7ZaWU-6dMRZ" TargetMode="External"/><Relationship Id="rId580" Type="http://schemas.openxmlformats.org/officeDocument/2006/relationships/hyperlink" Target="https://drive.google.com/open?id=1h_TO-sTgcFptcf50OXTslG2EfVTnWSB4"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28" Type="http://schemas.openxmlformats.org/officeDocument/2006/relationships/hyperlink" Target="https://drive.google.com/open?id=1c5rIJfwjjMXXtfsZUrh5kpXNqHxjjBZD" TargetMode="External"/><Relationship Id="rId300" Type="http://schemas.openxmlformats.org/officeDocument/2006/relationships/hyperlink" Target="https://drive.google.com/open?id=1RUdqhymomyF5kXLNTAN3RzCIQvNfYwRB" TargetMode="External"/><Relationship Id="rId538" Type="http://schemas.openxmlformats.org/officeDocument/2006/relationships/hyperlink" Target="https://drive.google.com/open?id=19usFsYWjPQJXbuF8xQcnqahwXwxLIFDW" TargetMode="External"/><Relationship Id="rId745" Type="http://schemas.openxmlformats.org/officeDocument/2006/relationships/hyperlink" Target="https://drive.google.com/open?id=1AQw3mMNXiY6hqSOAnhKM1S3rytoMGde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77" Type="http://schemas.openxmlformats.org/officeDocument/2006/relationships/hyperlink" Target="https://drive.google.com/open?id=1PabGAOdkTYkN24bISK9lcl7A6aHD0j15"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812" Type="http://schemas.openxmlformats.org/officeDocument/2006/relationships/hyperlink" Target="https://drive.google.com/open?id=1nRtNkdF7ZtK9u82WBi0DKKNPJugxBgQ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44" Type="http://schemas.openxmlformats.org/officeDocument/2006/relationships/hyperlink" Target="https://drive.google.com/open?id=10kQLw3Amm8oSsc8MiGZp-QXAeIGZXnNM" TargetMode="External"/><Relationship Id="rId689" Type="http://schemas.openxmlformats.org/officeDocument/2006/relationships/hyperlink" Target="https://drive.google.com/open?id=13AA37OJ-cQdYIXlY4AJ_SVAvfB1Hvx2r"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451" Type="http://schemas.openxmlformats.org/officeDocument/2006/relationships/hyperlink" Target="https://drive.google.com/open?id=1856Q8WWFFxfP8g7-tsfxljOcDqBUrYSo" TargetMode="External"/><Relationship Id="rId549" Type="http://schemas.openxmlformats.org/officeDocument/2006/relationships/hyperlink" Target="https://drive.google.com/open?id=10UiWBXmtXE6rN1vZae6BNOE4nnwOV4P9" TargetMode="External"/><Relationship Id="rId756" Type="http://schemas.openxmlformats.org/officeDocument/2006/relationships/hyperlink" Target="https://drive.google.com/open?id=1qwc-5Jx6Sfw07PuLGUpAzN-osuragFiu" TargetMode="External"/><Relationship Id="rId1179" Type="http://schemas.openxmlformats.org/officeDocument/2006/relationships/hyperlink" Target="https://drive.google.com/open?id=19yGy5jBgV5PdQHS1PXx2-a_1uJ2rb5Sp" TargetMode="External"/><Relationship Id="rId104" Type="http://schemas.openxmlformats.org/officeDocument/2006/relationships/hyperlink" Target="https://drive.google.com/open?id=1ACHJsQI_mg8ZcZQbpJLygN_Ys9b-sJ83"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616" Type="http://schemas.openxmlformats.org/officeDocument/2006/relationships/hyperlink" Target="https://drive.google.com/open?id=1XgeKvYKiEQ9qDnQwQNJB1o5QAjTOlzW7" TargetMode="External"/><Relationship Id="rId823" Type="http://schemas.openxmlformats.org/officeDocument/2006/relationships/hyperlink" Target="https://drive.google.com/open?id=12bQT5GdaKFB-d-YNzazPVw_OC6G22VoA" TargetMode="External"/><Relationship Id="rId255" Type="http://schemas.openxmlformats.org/officeDocument/2006/relationships/hyperlink" Target="https://drive.google.com/open?id=1A4vwMFf4UDBqegwxjmFOTtgtUEMIED7K" TargetMode="External"/><Relationship Id="rId462" Type="http://schemas.openxmlformats.org/officeDocument/2006/relationships/hyperlink" Target="https://drive.google.com/open?id=1lwOP_mrSq1s2GMWzTBodQADxIirLGyqH"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5" Type="http://schemas.openxmlformats.org/officeDocument/2006/relationships/hyperlink" Target="https://drive.google.com/open?id=17z34jeAVECVbFQOSdG-NsD2TpB9FFjKF" TargetMode="External"/><Relationship Id="rId322" Type="http://schemas.openxmlformats.org/officeDocument/2006/relationships/hyperlink" Target="https://drive.google.com/open?id=1Yt6qzuVkshC_R2BZuCdMiJUafyPOk7eu"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99" Type="http://schemas.openxmlformats.org/officeDocument/2006/relationships/hyperlink" Target="https://drive.google.com/open?id=1MU3m7L2_Y96zIbwGwgqV8rzOMwXVON8Y" TargetMode="External"/><Relationship Id="rId627" Type="http://schemas.openxmlformats.org/officeDocument/2006/relationships/hyperlink" Target="https://drive.google.com/open?id=1Td9BnicvMI19o756U06BofN2KnVzo6iu" TargetMode="External"/><Relationship Id="rId834" Type="http://schemas.openxmlformats.org/officeDocument/2006/relationships/hyperlink" Target="https://drive.google.com/open?id=1lR387YkF6fnLBzIWKfaebgWEK3w2ghTS" TargetMode="External"/><Relationship Id="rId266" Type="http://schemas.openxmlformats.org/officeDocument/2006/relationships/hyperlink" Target="https://drive.google.com/open?id=11QESkSZ2oPwz6LHqkzJPBp4HwtUmiexb" TargetMode="External"/><Relationship Id="rId473" Type="http://schemas.openxmlformats.org/officeDocument/2006/relationships/hyperlink" Target="https://drive.google.com/open?id=1-fSe6ljPODfmDnuw0i9YLGHJuwBMowKW" TargetMode="External"/><Relationship Id="rId680" Type="http://schemas.openxmlformats.org/officeDocument/2006/relationships/hyperlink" Target="https://drive.google.com/open?id=15JSU7_gXUwDI3UfcDMiFHfEe-Au3hckc" TargetMode="External"/><Relationship Id="rId901" Type="http://schemas.openxmlformats.org/officeDocument/2006/relationships/hyperlink" Target="https://drive.google.com/open?id=1SxIaVmyhdUjBST4qniI6KnRhn8v588NV" TargetMode="External"/><Relationship Id="rId1117" Type="http://schemas.openxmlformats.org/officeDocument/2006/relationships/hyperlink" Target="https://drive.google.com/open?id=1TsAgNadcbKVqAUNt7m14Ni_v17J_WkD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85" Type="http://schemas.openxmlformats.org/officeDocument/2006/relationships/hyperlink" Target="https://drive.google.com/open?id=1bD4ek9wu0pMJwbGQnn-YRLx1uc2D04am" TargetMode="External"/><Relationship Id="rId1170" Type="http://schemas.openxmlformats.org/officeDocument/2006/relationships/hyperlink" Target="https://drive.google.com/open?id=1zC1Sa_9_DWC_zTAgsOY1vjuqBApLqT8O" TargetMode="External"/><Relationship Id="rId638" Type="http://schemas.openxmlformats.org/officeDocument/2006/relationships/hyperlink" Target="https://drive.google.com/open?id=1mavV4_jGLtedbiDa3zq8Rjlnj_S2J7rR"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551" Type="http://schemas.openxmlformats.org/officeDocument/2006/relationships/hyperlink" Target="https://drive.google.com/open?id=1VFwLWPENj83jC1zsdzhw3kSg_M2KEelZ" TargetMode="External"/><Relationship Id="rId649" Type="http://schemas.openxmlformats.org/officeDocument/2006/relationships/hyperlink" Target="https://drive.google.com/open?id=15uOIgqJj4AkXCWpZy64A0igbBuIeEZNf"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509" Type="http://schemas.openxmlformats.org/officeDocument/2006/relationships/hyperlink" Target="https://drive.google.com/open?id=1gaU5GJhiohPJ6vwiM1PvUN99B7Bn-94s" TargetMode="External"/><Relationship Id="rId1041" Type="http://schemas.openxmlformats.org/officeDocument/2006/relationships/hyperlink" Target="https://drive.google.com/open?id=1TyjFZJI83bikd70cLtWel_mmy9bd3Q0U" TargetMode="External"/><Relationship Id="rId1139" Type="http://schemas.openxmlformats.org/officeDocument/2006/relationships/hyperlink" Target="https://drive.google.com/open?id=1Un6XQ8Cppy1DRPpuGRSMagfhV79gD54e"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923" Type="http://schemas.openxmlformats.org/officeDocument/2006/relationships/hyperlink" Target="https://drive.google.com/open?id=189CJYydEQ0cG5YyeMstuIa3mPfye1nWf" TargetMode="External"/><Relationship Id="rId52" Type="http://schemas.openxmlformats.org/officeDocument/2006/relationships/hyperlink" Target="https://drive.google.com/open?id=1HLFTwmtcruBH3iRrMKDLtaLOU2J6N7HW"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562" Type="http://schemas.openxmlformats.org/officeDocument/2006/relationships/hyperlink" Target="https://drive.google.com/open?id=12cFSDH0GuX9HjaeSIOjZeugd06MdvNM8"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215" Type="http://schemas.openxmlformats.org/officeDocument/2006/relationships/hyperlink" Target="https://drive.google.com/open?id=1TYkS_Unt3lQ6V_TeuK0q8IKzXAl_0xJ_" TargetMode="External"/><Relationship Id="rId422" Type="http://schemas.openxmlformats.org/officeDocument/2006/relationships/hyperlink" Target="https://drive.google.com/open?id=1rQYle3avXXgsmohbqXQdMo2Tafuw4siy" TargetMode="External"/><Relationship Id="rId867" Type="http://schemas.openxmlformats.org/officeDocument/2006/relationships/hyperlink" Target="https://drive.google.com/open?id=15j5YHsntLpLHRKY-37OhUdxiuoKMh1Ss" TargetMode="External"/><Relationship Id="rId1052" Type="http://schemas.openxmlformats.org/officeDocument/2006/relationships/hyperlink" Target="https://drive.google.com/open?id=1pGaHcLz1Kxp5fyGObznPhe6IFHtFAPRW"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271" Type="http://schemas.openxmlformats.org/officeDocument/2006/relationships/hyperlink" Target="https://drive.google.com/open?id=1uZIDBFvUiEmDUcpLLK10GUQhzS00asgT" TargetMode="External"/><Relationship Id="rId937" Type="http://schemas.openxmlformats.org/officeDocument/2006/relationships/hyperlink" Target="https://drive.google.com/open?id=1lbH6XeKk5Kp7itxZMzSOyxklrrt0Gat3" TargetMode="External"/><Relationship Id="rId1122" Type="http://schemas.openxmlformats.org/officeDocument/2006/relationships/hyperlink" Target="https://drive.google.com/open?id=1yRvulCXREgnaluLJJxxFF4K2EzMkV-Dr"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69" Type="http://schemas.openxmlformats.org/officeDocument/2006/relationships/hyperlink" Target="https://drive.google.com/open?id=1iUtXqJVB40o8_2D_N1MFwy-nkPPTHleL" TargetMode="External"/><Relationship Id="rId576" Type="http://schemas.openxmlformats.org/officeDocument/2006/relationships/hyperlink" Target="https://drive.google.com/open?id=1c6fabf-BBpQ7C7ChMP61eHyQl52MRqDv" TargetMode="External"/><Relationship Id="rId783" Type="http://schemas.openxmlformats.org/officeDocument/2006/relationships/hyperlink" Target="https://drive.google.com/open?id=1K8GLmBYhxX7kyJpMttKl4wxwqkQZuvwW" TargetMode="External"/><Relationship Id="rId990" Type="http://schemas.openxmlformats.org/officeDocument/2006/relationships/hyperlink" Target="https://drive.google.com/open?id=1H8zbP6ZpX_iB8kzPa2wdqTrLqh8hObT_" TargetMode="External"/><Relationship Id="rId229" Type="http://schemas.openxmlformats.org/officeDocument/2006/relationships/hyperlink" Target="https://drive.google.com/open?id=1dYOgWe1O-pyV-W0m0pILHFhCQZcmmVgg" TargetMode="External"/><Relationship Id="rId436" Type="http://schemas.openxmlformats.org/officeDocument/2006/relationships/hyperlink" Target="https://drive.google.com/open?id=1CBMtWKZzH6HVYhF9vHuwlEhq2dRPom53" TargetMode="External"/><Relationship Id="rId643" Type="http://schemas.openxmlformats.org/officeDocument/2006/relationships/hyperlink" Target="https://drive.google.com/open?id=1t9JO3J6Mn9uw2nfXtUbgcJUIaEDfpfd4" TargetMode="External"/><Relationship Id="rId1066" Type="http://schemas.openxmlformats.org/officeDocument/2006/relationships/hyperlink" Target="https://drive.google.com/open?id=17oHQ1kPpUxUPMz4J7MSB1AnABqwPUcZ4" TargetMode="External"/><Relationship Id="rId850" Type="http://schemas.openxmlformats.org/officeDocument/2006/relationships/hyperlink" Target="https://drive.google.com/open?id=1Xr6OJbh51tddmXgZF8pOqrg5TB6KmtFQ"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77" Type="http://schemas.openxmlformats.org/officeDocument/2006/relationships/hyperlink" Target="https://drive.google.com/open?id=1nGcoKlQdsxkQy8hohgbnvwsRQ14jwydf" TargetMode="External"/><Relationship Id="rId282" Type="http://schemas.openxmlformats.org/officeDocument/2006/relationships/hyperlink" Target="https://drive.google.com/open?id=1oQWOuMBz7ux8B_OhG9NryIqMkKiMxm5c" TargetMode="External"/><Relationship Id="rId503" Type="http://schemas.openxmlformats.org/officeDocument/2006/relationships/hyperlink" Target="https://drive.google.com/open?id=1ew9hYnVDuazZ4MgYuhKpx8-ovo51tl_o"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808" Type="http://schemas.openxmlformats.org/officeDocument/2006/relationships/hyperlink" Target="https://drive.google.com/open?id=1Pn0bB2YpMFYQinigs8lE6P9HTHdwf7P7"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447" Type="http://schemas.openxmlformats.org/officeDocument/2006/relationships/hyperlink" Target="https://drive.google.com/open?id=1xSfqh-DHR1Rawo8iMrafNTP9XhVOIfBZ" TargetMode="External"/><Relationship Id="rId794" Type="http://schemas.openxmlformats.org/officeDocument/2006/relationships/hyperlink" Target="https://drive.google.com/open?id=189fwVhR8V35BiE1q2K8uIrXiHDBP6aac"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654" Type="http://schemas.openxmlformats.org/officeDocument/2006/relationships/hyperlink" Target="https://drive.google.com/open?id=1gKnD7l2C7Hmg2IEABOsCGhK-eH6YIyzD" TargetMode="External"/><Relationship Id="rId861" Type="http://schemas.openxmlformats.org/officeDocument/2006/relationships/hyperlink" Target="https://drive.google.com/open?id=16lUF0_S-U46ytDiZYuzOFOobEqPQ0mN-" TargetMode="External"/><Relationship Id="rId959" Type="http://schemas.openxmlformats.org/officeDocument/2006/relationships/hyperlink" Target="https://drive.google.com/open?id=1K2ZxRpl4NSKuDU44lsyNt3C8sasMGbzt"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514" Type="http://schemas.openxmlformats.org/officeDocument/2006/relationships/hyperlink" Target="https://drive.google.com/open?id=1gj0XTcKScoi3VbTJQb61Kdfhp66i-Kbn" TargetMode="External"/><Relationship Id="rId721" Type="http://schemas.openxmlformats.org/officeDocument/2006/relationships/hyperlink" Target="https://drive.google.com/open?id=1NNbGVU_-DY0G2CbyAZ66WqQdITq8P2QX" TargetMode="External"/><Relationship Id="rId1144" Type="http://schemas.openxmlformats.org/officeDocument/2006/relationships/hyperlink" Target="https://drive.google.com/open?id=1Y3-dQwLeQVw8JtJPh21RNm3WNC9oBpti" TargetMode="External"/><Relationship Id="rId88" Type="http://schemas.openxmlformats.org/officeDocument/2006/relationships/hyperlink" Target="https://drive.google.com/open?id=1zTrVkdgsJd-CCzUGntAYriytsspOlUBH" TargetMode="External"/><Relationship Id="rId153" Type="http://schemas.openxmlformats.org/officeDocument/2006/relationships/hyperlink" Target="https://drive.google.com/open?id=1dZJp67oIfFFhxhB1EHy7S4wZpyxr28UN" TargetMode="External"/><Relationship Id="rId360" Type="http://schemas.openxmlformats.org/officeDocument/2006/relationships/hyperlink" Target="https://drive.google.com/open?id=1IaMRYSPeRnM8BPlKUZJOzUC3D2eFit66"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1004" Type="http://schemas.openxmlformats.org/officeDocument/2006/relationships/hyperlink" Target="https://drive.google.com/open?id=15ZzcGDJFh9MftGT6ln-iAkBHa75MECBn" TargetMode="External"/><Relationship Id="rId1211" Type="http://schemas.openxmlformats.org/officeDocument/2006/relationships/hyperlink" Target="https://drive.google.com/open?id=1XwLN5LE9wKvAB3eAm2TKGGvJhKXzOMfb"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65" Type="http://schemas.openxmlformats.org/officeDocument/2006/relationships/hyperlink" Target="https://drive.google.com/open?id=1BKlk5xZOFLrY30gVCiNIBpWm3fAZ4BZY" TargetMode="External"/><Relationship Id="rId872" Type="http://schemas.openxmlformats.org/officeDocument/2006/relationships/hyperlink" Target="https://drive.google.com/open?id=1WhrVF_rx4hT-PKRFVQpJOw2pPjxzyC8v"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732" Type="http://schemas.openxmlformats.org/officeDocument/2006/relationships/hyperlink" Target="https://drive.google.com/open?id=19JluUdbzQQhkXMtF9sL8n2UWMDSz9X5A" TargetMode="External"/><Relationship Id="rId1155" Type="http://schemas.openxmlformats.org/officeDocument/2006/relationships/hyperlink" Target="https://drive.google.com/open?id=17AZ1wKUbcAtkL4XWzz7T8URNo1aPa_Xq" TargetMode="External"/><Relationship Id="rId99" Type="http://schemas.openxmlformats.org/officeDocument/2006/relationships/hyperlink" Target="https://drive.google.com/open?id=11vkNxtoXdHjfUJmsjctH3x_1BI5bMUIT"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1015" Type="http://schemas.openxmlformats.org/officeDocument/2006/relationships/hyperlink" Target="https://drive.google.com/open?id=1aJPIQHdorWx-XkNR5_DSy0bwEaBsmtgU" TargetMode="External"/><Relationship Id="rId1222" Type="http://schemas.openxmlformats.org/officeDocument/2006/relationships/hyperlink" Target="https://drive.google.com/open?id=1cWRUnZpUgwaSDIQKqOJIKXY6aQxMmui4" TargetMode="External"/><Relationship Id="rId469" Type="http://schemas.openxmlformats.org/officeDocument/2006/relationships/hyperlink" Target="https://drive.google.com/open?id=1KSW7hLtpiOQ1qi4fgVxTQnodY41_YtRU" TargetMode="External"/><Relationship Id="rId676" Type="http://schemas.openxmlformats.org/officeDocument/2006/relationships/hyperlink" Target="https://drive.google.com/open?id=1iJDoe3-7w9iPF6KRl4pNvCHTVYkK6aGf"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329" Type="http://schemas.openxmlformats.org/officeDocument/2006/relationships/hyperlink" Target="https://drive.google.com/open?id=163W2WXqlFzr4shovAoFb6uMLUbe-NSq0" TargetMode="External"/><Relationship Id="rId536" Type="http://schemas.openxmlformats.org/officeDocument/2006/relationships/hyperlink" Target="https://drive.google.com/open?id=1iGYCMu1VvjzMptAvGw8G67q-Jc7vwTFv" TargetMode="External"/><Relationship Id="rId1166" Type="http://schemas.openxmlformats.org/officeDocument/2006/relationships/hyperlink" Target="https://drive.google.com/open?id=1inV6lrTRcwhXtXK9ScSLR0YBwdYDzy9L" TargetMode="External"/><Relationship Id="rId175" Type="http://schemas.openxmlformats.org/officeDocument/2006/relationships/hyperlink" Target="https://drive.google.com/open?id=1sZIsm4RK6pRDP50knhYGPS5zUrJkMTpp" TargetMode="External"/><Relationship Id="rId743" Type="http://schemas.openxmlformats.org/officeDocument/2006/relationships/hyperlink" Target="https://drive.google.com/open?id=1xqjd-70ojgy_IfzOtPAfLQbx7oKrJiMD" TargetMode="External"/><Relationship Id="rId950" Type="http://schemas.openxmlformats.org/officeDocument/2006/relationships/hyperlink" Target="https://drive.google.com/open?id=1bTTvU-uBZeK6IXJ4uweRWDgdN3NGVZ9U" TargetMode="External"/><Relationship Id="rId1026" Type="http://schemas.openxmlformats.org/officeDocument/2006/relationships/hyperlink" Target="https://drive.google.com/open?id=1qA7cPMKPEg969t7W7Ln9vWBG1KoUhzQc" TargetMode="External"/><Relationship Id="rId382" Type="http://schemas.openxmlformats.org/officeDocument/2006/relationships/hyperlink" Target="https://drive.google.com/open?id=1KdqSSsR2mJ3MioMUCKI6jrObJcNC4JrN" TargetMode="External"/><Relationship Id="rId603" Type="http://schemas.openxmlformats.org/officeDocument/2006/relationships/hyperlink" Target="https://drive.google.com/open?id=1rznn3NDPrQrgrAcDtCH0D5xxMSEq083g"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908" Type="http://schemas.openxmlformats.org/officeDocument/2006/relationships/hyperlink" Target="https://drive.google.com/open?id=1dU0BG3jMcnmdhnJZOMvEr8QT9pY12hGC"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894" Type="http://schemas.openxmlformats.org/officeDocument/2006/relationships/hyperlink" Target="https://drive.google.com/open?id=1PqepHbxi1nYzSlL121bouAb6UfkfF0Fu"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102" Type="http://schemas.openxmlformats.org/officeDocument/2006/relationships/hyperlink" Target="https://drive.google.com/open?id=1cFx24TS0NOq2jWtg4mc-jgoUp5Yb7Dqj" TargetMode="External"/><Relationship Id="rId547" Type="http://schemas.openxmlformats.org/officeDocument/2006/relationships/hyperlink" Target="https://drive.google.com/open?id=1UtSbpdL0wgV7fYMMRFGRvdpYQqAWiXGn" TargetMode="External"/><Relationship Id="rId754" Type="http://schemas.openxmlformats.org/officeDocument/2006/relationships/hyperlink" Target="https://drive.google.com/open?id=18tJZVAsGfXKDv7Q1HFdrAi2hVfn4fFOB" TargetMode="External"/><Relationship Id="rId961" Type="http://schemas.openxmlformats.org/officeDocument/2006/relationships/hyperlink" Target="https://drive.google.com/open?id=1ROvSnot1pc5rbHgpvhE5oe9kAYb5eHA9"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614" Type="http://schemas.openxmlformats.org/officeDocument/2006/relationships/hyperlink" Target="https://drive.google.com/open?id=1f9uojzFUBga16paETrwmlx-wGowbbVF6" TargetMode="External"/><Relationship Id="rId821" Type="http://schemas.openxmlformats.org/officeDocument/2006/relationships/hyperlink" Target="https://drive.google.com/open?id=1XLub5cc12UzZqd9_Aoee4OMX4RLAgbHI" TargetMode="External"/><Relationship Id="rId1037" Type="http://schemas.openxmlformats.org/officeDocument/2006/relationships/hyperlink" Target="https://drive.google.com/open?id=1VUTS-ioTXeEjpbHEzGcKdFNcDP7pWFPY" TargetMode="External"/><Relationship Id="rId1244" Type="http://schemas.openxmlformats.org/officeDocument/2006/relationships/hyperlink" Target="https://drive.google.com/open?id=1xQlHv0wKGuutgTTULbr2ijEtGg8ROMDj" TargetMode="External"/><Relationship Id="rId253" Type="http://schemas.openxmlformats.org/officeDocument/2006/relationships/hyperlink" Target="https://drive.google.com/open?id=1M-ll3iHlg2pmh_ncvly2faxfvmbVrKE6" TargetMode="External"/><Relationship Id="rId460" Type="http://schemas.openxmlformats.org/officeDocument/2006/relationships/hyperlink" Target="https://drive.google.com/open?id=17PVZ2u7ns_goO5NfXBNoQO-8lKOtHQTY"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65" Type="http://schemas.openxmlformats.org/officeDocument/2006/relationships/hyperlink" Target="https://drive.google.com/open?id=1PHchAnwNklc60p--MA90KaU-Gsia--0Y" TargetMode="External"/><Relationship Id="rId972" Type="http://schemas.openxmlformats.org/officeDocument/2006/relationships/hyperlink" Target="https://drive.google.com/open?id=1O11EkbLTKjUJODHh2Y0bkc4g66d_Rm66" TargetMode="External"/><Relationship Id="rId1188" Type="http://schemas.openxmlformats.org/officeDocument/2006/relationships/hyperlink" Target="https://drive.google.com/open?id=11LqRPxfcHgcT4mkFm-Gw_pUPjTrktJfn" TargetMode="External"/><Relationship Id="rId197" Type="http://schemas.openxmlformats.org/officeDocument/2006/relationships/hyperlink" Target="https://drive.google.com/open?id=1_IuTBph6b0LcuRdz2m8PoC4-CcNMSxWs"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55" Type="http://schemas.openxmlformats.org/officeDocument/2006/relationships/hyperlink" Target="https://drive.google.com/open?id=1M8LU-k9XJ64obieWt5rCwvHco3Gh-1Q-"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1115" Type="http://schemas.openxmlformats.org/officeDocument/2006/relationships/hyperlink" Target="https://drive.google.com/open?id=11V_hI3BeUB9V94vj0ojHCz4OUjyh91UG"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69" Type="http://schemas.openxmlformats.org/officeDocument/2006/relationships/hyperlink" Target="https://drive.google.com/open?id=16-X_PSjs7JIlHm8uxtM_p7IdlbKdl69a" TargetMode="External"/><Relationship Id="rId776" Type="http://schemas.openxmlformats.org/officeDocument/2006/relationships/hyperlink" Target="https://drive.google.com/open?id=1bwBRA6ON2Lqee9hcY4B6rPpLwN2r55QC" TargetMode="External"/><Relationship Id="rId983" Type="http://schemas.openxmlformats.org/officeDocument/2006/relationships/hyperlink" Target="https://drive.google.com/open?id=1afLmqB-rbQWeHOrsULt-W8ZCdjgoE-7C" TargetMode="External"/><Relationship Id="rId1199" Type="http://schemas.openxmlformats.org/officeDocument/2006/relationships/hyperlink" Target="https://drive.google.com/open?id=14KPUaJC_3flYWo_k1WRyX0pTdAWm8_oV" TargetMode="External"/><Relationship Id="rId331" Type="http://schemas.openxmlformats.org/officeDocument/2006/relationships/hyperlink" Target="https://drive.google.com/open?id=17BEXSfx0QKUT4_TtDuQP-LMLbs554c8d" TargetMode="External"/><Relationship Id="rId429" Type="http://schemas.openxmlformats.org/officeDocument/2006/relationships/hyperlink" Target="https://drive.google.com/open?id=1JYI0AkYczb12UstO1ABPw-5VFUxW8fhn" TargetMode="External"/><Relationship Id="rId636" Type="http://schemas.openxmlformats.org/officeDocument/2006/relationships/hyperlink" Target="https://drive.google.com/open?id=1QAFhz2ElYbbHTQ8W_8HXKb0J8ASAE87W" TargetMode="External"/><Relationship Id="rId1059" Type="http://schemas.openxmlformats.org/officeDocument/2006/relationships/hyperlink" Target="https://drive.google.com/open?id=13djDLGL9aZ3nBG4CqjNscOjeR1V1Fgf1" TargetMode="External"/><Relationship Id="rId843" Type="http://schemas.openxmlformats.org/officeDocument/2006/relationships/hyperlink" Target="https://drive.google.com/open?id=1gEAnWwquEPTHpH_-BjkMD9jBfEmKgrz0" TargetMode="External"/><Relationship Id="rId1126" Type="http://schemas.openxmlformats.org/officeDocument/2006/relationships/hyperlink" Target="https://drive.google.com/open?id=1NRsBqbjPhrPvWL20W2LELyZlz3Yvf3os" TargetMode="External"/><Relationship Id="rId275" Type="http://schemas.openxmlformats.org/officeDocument/2006/relationships/hyperlink" Target="https://drive.google.com/open?id=1dax2U7aWpcGfkteyCn-_JSGcwnHSJDKf" TargetMode="External"/><Relationship Id="rId482" Type="http://schemas.openxmlformats.org/officeDocument/2006/relationships/hyperlink" Target="https://drive.google.com/open?id=1UTADVLOpFqBMJR13M3GIHYLz68beUkyu" TargetMode="External"/><Relationship Id="rId703" Type="http://schemas.openxmlformats.org/officeDocument/2006/relationships/hyperlink" Target="https://drive.google.com/open?id=1K5yaP82uARnWCrtHlziR-bnZlRn9HmkW" TargetMode="External"/><Relationship Id="rId910" Type="http://schemas.openxmlformats.org/officeDocument/2006/relationships/hyperlink" Target="https://drive.google.com/open?id=1_cBqAlVvG8rhzOYW9wI2QW__XfVQyLyC" TargetMode="External"/><Relationship Id="rId135" Type="http://schemas.openxmlformats.org/officeDocument/2006/relationships/hyperlink" Target="https://drive.google.com/open?id=1x_wwQ-zyWuXv8F1IIKx9k-S43hGuHyct" TargetMode="External"/><Relationship Id="rId342" Type="http://schemas.openxmlformats.org/officeDocument/2006/relationships/hyperlink" Target="https://drive.google.com/open?id=1IfcrmeGy2Iw2ygjQQOl3s97hYDiPdXrB" TargetMode="External"/><Relationship Id="rId787" Type="http://schemas.openxmlformats.org/officeDocument/2006/relationships/hyperlink" Target="https://drive.google.com/open?id=1VpZVDfeadsu-zCtVyzI_QawwlmJtttUb" TargetMode="External"/><Relationship Id="rId994" Type="http://schemas.openxmlformats.org/officeDocument/2006/relationships/hyperlink" Target="https://drive.google.com/open?id=1OA5cn0SIfgIcQDB0qfqTIjd7BYQw9T5D" TargetMode="External"/><Relationship Id="rId202" Type="http://schemas.openxmlformats.org/officeDocument/2006/relationships/hyperlink" Target="https://drive.google.com/open?id=1XgPJJps6YjUqeTSH7-cvSBF4cn7MAL6L" TargetMode="External"/><Relationship Id="rId647" Type="http://schemas.openxmlformats.org/officeDocument/2006/relationships/hyperlink" Target="https://drive.google.com/open?id=19oB0eka7RXUNohXYLxjFiR6mTsgtLyBY" TargetMode="External"/><Relationship Id="rId854" Type="http://schemas.openxmlformats.org/officeDocument/2006/relationships/hyperlink" Target="https://drive.google.com/open?id=1MOnapvIgYdr1i72IMc5zK9k5TVMNhl_D" TargetMode="External"/><Relationship Id="rId286" Type="http://schemas.openxmlformats.org/officeDocument/2006/relationships/hyperlink" Target="https://drive.google.com/open?id=121uf3fdsCyfF8k4KO34fgQdYmOJXrazd"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714" Type="http://schemas.openxmlformats.org/officeDocument/2006/relationships/hyperlink" Target="https://drive.google.com/open?id=1MRekJoKTQarKm5u102k8SdEBQBxp7q3L"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50" Type="http://schemas.openxmlformats.org/officeDocument/2006/relationships/hyperlink" Target="https://drive.google.com/open?id=1NNtYx1_XHeKs4RyvY8baZIYE_PLbD-1T" TargetMode="External"/><Relationship Id="rId146" Type="http://schemas.openxmlformats.org/officeDocument/2006/relationships/hyperlink" Target="https://drive.google.com/open?id=12xzHO5UXrZ8wzzy7ZE9ybJRu9dmVrEKJ" TargetMode="External"/><Relationship Id="rId353" Type="http://schemas.openxmlformats.org/officeDocument/2006/relationships/hyperlink" Target="https://drive.google.com/open?id=1wq0UPsQPRRJJi6aCaOsYlDy2iVOIzeV2"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58" Type="http://schemas.openxmlformats.org/officeDocument/2006/relationships/hyperlink" Target="https://drive.google.com/open?id=18W0G8EIy_YLVPx8v9TgJCfE1YdC6_umm"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97" Type="http://schemas.openxmlformats.org/officeDocument/2006/relationships/hyperlink" Target="https://drive.google.com/open?id=1ZB3b1wvCIUVqcEN_8ln5cO0-pJktbop2"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148" Type="http://schemas.openxmlformats.org/officeDocument/2006/relationships/hyperlink" Target="https://drive.google.com/open?id=16j46gsYMj1Sf5L0jdCnjxXwbDogxKpfE" TargetMode="External"/><Relationship Id="rId157" Type="http://schemas.openxmlformats.org/officeDocument/2006/relationships/hyperlink" Target="https://drive.google.com/open?id=1mjTc1JHntm-x-x_HKvEyEZVVcuOBJzRX" TargetMode="External"/><Relationship Id="rId364" Type="http://schemas.openxmlformats.org/officeDocument/2006/relationships/hyperlink" Target="https://drive.google.com/open?id=1zV0AxzFWbckwNf0kiz2DTMLGHOlco-wW"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571" Type="http://schemas.openxmlformats.org/officeDocument/2006/relationships/hyperlink" Target="https://drive.google.com/open?id=1Nd5nggmZWYpCISXzVPp4HxV7W7AErtPs" TargetMode="External"/><Relationship Id="rId669" Type="http://schemas.openxmlformats.org/officeDocument/2006/relationships/hyperlink" Target="https://drive.google.com/open?id=1t8UyoqDm71ShyxjJ3yxhyuXWHo-fQ3EP"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431" Type="http://schemas.openxmlformats.org/officeDocument/2006/relationships/hyperlink" Target="https://drive.google.com/open?id=1tvPZtgVdqyzF4tUBy6q6tORQC-npp6WN" TargetMode="External"/><Relationship Id="rId529" Type="http://schemas.openxmlformats.org/officeDocument/2006/relationships/hyperlink" Target="https://drive.google.com/open?id=1SYeFmtmRykFwc-pi5hsOEnlYvWqTKBIB" TargetMode="External"/><Relationship Id="rId736" Type="http://schemas.openxmlformats.org/officeDocument/2006/relationships/hyperlink" Target="https://drive.google.com/open?id=1jF1dg5PkTJKlvdkAPTXnlbpBmEve2yJn" TargetMode="External"/><Relationship Id="rId1061" Type="http://schemas.openxmlformats.org/officeDocument/2006/relationships/hyperlink" Target="https://drive.google.com/open?id=1O6yBtPHdb7YbIMbF_FdQQJ_VceaPWagI" TargetMode="External"/><Relationship Id="rId1159" Type="http://schemas.openxmlformats.org/officeDocument/2006/relationships/hyperlink" Target="https://drive.google.com/open?id=1m0UZZFmBQuvUvxzWXfK6g2bCMwoarxEU" TargetMode="External"/><Relationship Id="rId168" Type="http://schemas.openxmlformats.org/officeDocument/2006/relationships/hyperlink" Target="https://drive.google.com/open?id=1g9JacU6s_xR1ar9T3jhPjp8RAo4E9PiE" TargetMode="External"/><Relationship Id="rId943" Type="http://schemas.openxmlformats.org/officeDocument/2006/relationships/hyperlink" Target="https://drive.google.com/open?id=1Cd5Q_X5ZuAtqUlIIpDK7iz6NCxM8qO-H" TargetMode="External"/><Relationship Id="rId1019" Type="http://schemas.openxmlformats.org/officeDocument/2006/relationships/hyperlink" Target="https://drive.google.com/open?id=1PgCUXrBNggjGWH8mGvNz9w_57GVRtP25"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803" Type="http://schemas.openxmlformats.org/officeDocument/2006/relationships/hyperlink" Target="https://drive.google.com/open?id=1d5EjbDT674DggQmyoVLHMTlJ4z_4NfOS"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442" Type="http://schemas.openxmlformats.org/officeDocument/2006/relationships/hyperlink" Target="https://drive.google.com/open?id=1MWfb7ytxGKfDpJdZDJ7snm7-mt6DeBrK"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302" Type="http://schemas.openxmlformats.org/officeDocument/2006/relationships/hyperlink" Target="https://drive.google.com/open?id=1eyFNDi4MB_1xPTC-gX0YL_KxVahP6vLs" TargetMode="External"/><Relationship Id="rId747" Type="http://schemas.openxmlformats.org/officeDocument/2006/relationships/hyperlink" Target="https://drive.google.com/open?id=1gBGPHVhSQscehQZeM2kMNvmmLUukyJ6f" TargetMode="External"/><Relationship Id="rId954" Type="http://schemas.openxmlformats.org/officeDocument/2006/relationships/hyperlink" Target="https://drive.google.com/open?id=1-hhkx-VmaIXrvOKqSDXO0NklzIh5B9Oh"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814" Type="http://schemas.openxmlformats.org/officeDocument/2006/relationships/hyperlink" Target="https://drive.google.com/open?id=1qk-hU3f_Y-ewYWWPOQuhbepyr7Jou1J5" TargetMode="External"/><Relationship Id="rId1237" Type="http://schemas.openxmlformats.org/officeDocument/2006/relationships/hyperlink" Target="https://drive.google.com/open?id=1Ev8r4YRvGFtj_MjV20pXdpBwpKBww84l" TargetMode="External"/><Relationship Id="rId246" Type="http://schemas.openxmlformats.org/officeDocument/2006/relationships/hyperlink" Target="https://drive.google.com/open?id=1Jok_fEwRabdz_E9mE-xT7nlyBy0M0u8M" TargetMode="External"/><Relationship Id="rId453" Type="http://schemas.openxmlformats.org/officeDocument/2006/relationships/hyperlink" Target="https://drive.google.com/open?id=187IFV9QFG8b4cFl3fGsuxjgquLu6CqcM"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83" Type="http://schemas.openxmlformats.org/officeDocument/2006/relationships/hyperlink" Target="https://drive.google.com/open?id=1E8yHuBxjxmThHdn98AXdsikH1pybkLb4"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758" Type="http://schemas.openxmlformats.org/officeDocument/2006/relationships/hyperlink" Target="https://drive.google.com/open?id=1Tntlxqh2C2FsD_grEQ1T3KwOZ0JlZP0L"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94" Type="http://schemas.openxmlformats.org/officeDocument/2006/relationships/hyperlink" Target="https://drive.google.com/open?id=1yl6Vt1PEuvIOYMTb_KmStN6GYx3rXXmy"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248" Type="http://schemas.openxmlformats.org/officeDocument/2006/relationships/hyperlink" Target="https://drive.google.com/open?id=1MJVRzstYpkFvmRGfnS-pSO8Ohbkzuik6" TargetMode="External"/><Relationship Id="rId257" Type="http://schemas.openxmlformats.org/officeDocument/2006/relationships/hyperlink" Target="https://drive.google.com/open?id=1H9Br6RD5GcMcrwUbLCEvuklQZMCp-2bI" TargetMode="External"/><Relationship Id="rId464" Type="http://schemas.openxmlformats.org/officeDocument/2006/relationships/hyperlink" Target="https://drive.google.com/open?id=1dqhgcS1zXIflOrXsmk3VKr3VWfieqii8" TargetMode="External"/><Relationship Id="rId1010" Type="http://schemas.openxmlformats.org/officeDocument/2006/relationships/hyperlink" Target="https://drive.google.com/open?id=1QTrtiCGlEUGtvDjEJvS_8PVcWVBHSv1L"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81" Type="http://schemas.openxmlformats.org/officeDocument/2006/relationships/hyperlink" Target="https://drive.google.com/open?id=1A3THuJSMXsVHjhKJUKE1ikhCXL9pZsur"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1110" Type="http://schemas.openxmlformats.org/officeDocument/2006/relationships/hyperlink" Target="https://drive.google.com/open?id=1RbO5yxLs2ivCVf4Yqe_lcbxJvstkcr5E"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70" Type="http://schemas.openxmlformats.org/officeDocument/2006/relationships/hyperlink" Target="https://drive.google.com/open?id=1KdN_XhpgNKqbvvGLDLxUbce1lK8B70Ku"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807" Type="http://schemas.openxmlformats.org/officeDocument/2006/relationships/hyperlink" Target="https://drive.google.com/open?id=1ZT9tO5DoTRWCgtQGWggkPxctvUpx9xuL" TargetMode="External"/><Relationship Id="rId292" Type="http://schemas.openxmlformats.org/officeDocument/2006/relationships/hyperlink" Target="https://drive.google.com/open?id=1KR04N0QlqrkKD0d91gz231YeZUkB5O2O" TargetMode="External"/><Relationship Id="rId597" Type="http://schemas.openxmlformats.org/officeDocument/2006/relationships/hyperlink" Target="https://drive.google.com/open?id=1dReAwzubtvA1aM2eVHwqdU-GcDKZbst4"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87" Type="http://schemas.openxmlformats.org/officeDocument/2006/relationships/hyperlink" Target="https://drive.google.com/open?id=1pmqE0-35dJcNpE3ZPN_I7KLiURq3c3be"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5" Type="http://schemas.openxmlformats.org/officeDocument/2006/relationships/hyperlink" Target="https://drive.google.com/open?id=1TqEvj-_xzHEqxS2ZEpTVOmSYQhoNoZWi"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613" Type="http://schemas.openxmlformats.org/officeDocument/2006/relationships/hyperlink" Target="https://drive.google.com/open?id=1GT-uxLYPudOJ-mK7Uzgu157fiUgjih8p"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1103" Type="http://schemas.openxmlformats.org/officeDocument/2006/relationships/hyperlink" Target="https://drive.google.com/open?id=1iOawUTPXK4W78T_5hvMfEVuv-4bome85" TargetMode="External"/><Relationship Id="rId47" Type="http://schemas.openxmlformats.org/officeDocument/2006/relationships/hyperlink" Target="https://drive.google.com/open?id=1m-lAE-7eKa5RAn2XlWToZIg33ieDGnkt" TargetMode="External"/><Relationship Id="rId196" Type="http://schemas.openxmlformats.org/officeDocument/2006/relationships/hyperlink" Target="https://drive.google.com/open?id=1iK83x2bZtPj6h4jZwzkEZ3KYygpQfFwl"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285" Type="http://schemas.openxmlformats.org/officeDocument/2006/relationships/hyperlink" Target="https://drive.google.com/open?id=1KjCZihFNGzKiKLdTI-6AVeBy_kpI712m" TargetMode="External"/><Relationship Id="rId492" Type="http://schemas.openxmlformats.org/officeDocument/2006/relationships/hyperlink" Target="https://drive.google.com/open?id=1DJ67IZK9fbkroKFZfxHfzWwJry6OlMZc" TargetMode="External"/><Relationship Id="rId797" Type="http://schemas.openxmlformats.org/officeDocument/2006/relationships/hyperlink" Target="https://drive.google.com/open?id=1SSh_Hhr0Fu9Jb62TEbgxdGEsRKFykRYt"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18" Type="http://schemas.openxmlformats.org/officeDocument/2006/relationships/hyperlink" Target="https://drive.google.com/open?id=1SFZ2gXIfydpYWM5Z6zHuB5S99MPKqyws"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36"/>
  <sheetViews>
    <sheetView tabSelected="1" zoomScale="115" zoomScaleNormal="115" workbookViewId="0">
      <pane xSplit="1" ySplit="1" topLeftCell="B119" activePane="bottomRight" state="frozen"/>
      <selection pane="topRight" activeCell="D1" sqref="D1"/>
      <selection pane="bottomLeft" activeCell="A2" sqref="A2"/>
      <selection pane="bottomRight" activeCell="E2" sqref="B2:E136"/>
    </sheetView>
  </sheetViews>
  <sheetFormatPr defaultColWidth="12.54296875" defaultRowHeight="15" customHeight="1" x14ac:dyDescent="0.25"/>
  <cols>
    <col min="1" max="1" width="13.1796875" customWidth="1"/>
    <col min="2" max="3" width="26.26953125" bestFit="1" customWidth="1"/>
    <col min="4" max="4" width="19.7265625" bestFit="1" customWidth="1"/>
    <col min="5" max="5" width="26.26953125" bestFit="1" customWidth="1"/>
    <col min="6" max="6" width="30.90625" bestFit="1" customWidth="1"/>
    <col min="7" max="7" width="12.08984375" bestFit="1" customWidth="1"/>
    <col min="8" max="8" width="14.90625" bestFit="1" customWidth="1"/>
  </cols>
  <sheetData>
    <row r="1" spans="1:8" ht="16.5" x14ac:dyDescent="0.35">
      <c r="A1" s="57" t="s">
        <v>1</v>
      </c>
      <c r="B1" s="61" t="s">
        <v>2625</v>
      </c>
      <c r="C1" s="61" t="s">
        <v>2626</v>
      </c>
      <c r="D1" s="61" t="s">
        <v>2627</v>
      </c>
      <c r="E1" s="61" t="s">
        <v>2628</v>
      </c>
      <c r="F1" s="61"/>
      <c r="G1" s="61"/>
      <c r="H1" s="61"/>
    </row>
    <row r="2" spans="1:8" ht="15.75" customHeight="1" x14ac:dyDescent="0.35">
      <c r="A2" s="58" t="s">
        <v>4</v>
      </c>
      <c r="B2" t="str">
        <f>VLOOKUP(A2,'[1]Phân công'!$B$2:$K$259,7,FALSE)</f>
        <v>MACHINE LEARNING-BASED EARLY WARNING SYSTEM OF FINANCIAL BUBBLES: EVIDENCE FROM VN-INDEX AND HNX-INDEX</v>
      </c>
      <c r="C2" t="str">
        <f>VLOOKUP(A2,'[1]Phân công'!$B$2:$K$259,10,FALSE)</f>
        <v>https://drive.google.com/open?id=1roGwRX1qQWVB3DYsV7C8leHhhPo-3mOn</v>
      </c>
      <c r="D2" t="str">
        <f>VLOOKUP(A2,'[1]Phân công'!$B$2:$K$259,10,FALSE)</f>
        <v>https://drive.google.com/open?id=1roGwRX1qQWVB3DYsV7C8leHhhPo-3mOn</v>
      </c>
      <c r="E2" t="str">
        <f>VLOOKUP(A2,'[1]Phân công'!$B$2:$K$259,9,FALSE)</f>
        <v>Tiếng Anh</v>
      </c>
    </row>
    <row r="3" spans="1:8" ht="15.75" customHeight="1" x14ac:dyDescent="0.35">
      <c r="A3" s="58" t="s">
        <v>12</v>
      </c>
      <c r="B3" t="str">
        <f>VLOOKUP(A3,'[1]Phân công'!$B$2:$K$259,7,FALSE)</f>
        <v>ỨNG DỤNG MACHINE LEARNING ĐỂ PHÁT HIỆN RỦI RO SAI LỆCH TRONG BÁO CÁO TÀI CHÍNH CỦA CÁC CÔNG TY ĐƯỢC NIÊM YẾT TRÊN SÀN GIAO DỊCH CHỨNG KHOÁN</v>
      </c>
      <c r="C3" t="str">
        <f>VLOOKUP(A3,'[1]Phân công'!$B$2:$K$259,10,FALSE)</f>
        <v>KLTN_K224141738_Vũ Ngọc Thuỷ Tiên.pdf</v>
      </c>
      <c r="D3" t="str">
        <f>VLOOKUP(A3,'[1]Phân công'!$B$2:$K$259,10,FALSE)</f>
        <v>KLTN_K224141738_Vũ Ngọc Thuỷ Tiên.pdf</v>
      </c>
      <c r="E3" t="str">
        <f>VLOOKUP(A3,'[1]Phân công'!$B$2:$K$259,9,FALSE)</f>
        <v>Tiếng Việt</v>
      </c>
    </row>
    <row r="4" spans="1:8" ht="15.75" customHeight="1" x14ac:dyDescent="0.35">
      <c r="A4" s="58" t="s">
        <v>15</v>
      </c>
      <c r="B4" t="str">
        <f>VLOOKUP(A4,'[1]Phân công'!$B$2:$K$259,7,FALSE)</f>
        <v>ỨNG DỤNG MÔ HÌNH HỌC SÂU VÀ HỆ THỐNG TRUY XUẤT THÔNG TIN ĐA CHỈ MỤC TRONG TƯ VẤN ĐẦU TƯ</v>
      </c>
      <c r="C4" t="str">
        <f>VLOOKUP(A4,'[1]Phân công'!$B$2:$K$259,10,FALSE)</f>
        <v>https://drive.google.com/open?id=1jc7fXPv1wf52g4ApMQpNbwU67t9CZQbi</v>
      </c>
      <c r="D4" t="str">
        <f>VLOOKUP(A4,'[1]Phân công'!$B$2:$K$259,10,FALSE)</f>
        <v>https://drive.google.com/open?id=1jc7fXPv1wf52g4ApMQpNbwU67t9CZQbi</v>
      </c>
      <c r="E4" t="str">
        <f>VLOOKUP(A4,'[1]Phân công'!$B$2:$K$259,9,FALSE)</f>
        <v>Tiếng Việt</v>
      </c>
    </row>
    <row r="5" spans="1:8" ht="15.75" customHeight="1" x14ac:dyDescent="0.35">
      <c r="A5" s="58" t="s">
        <v>20</v>
      </c>
      <c r="B5" t="str">
        <f>VLOOKUP(A5,'[1]Phân công'!$B$2:$K$259,7,FALSE)</f>
        <v>XÂY DỰNG KHUNG THEO DÕI TRẠNG THÁI TÀI CHÍNH CỦA CÁC DOANH NGHIỆP PHI TÀI CHÍNH NIÊM YẾT TRÊN SỞ GIAO DỊCH CHỨNG KHOÁN THÀNH PHỐ HỒ CHÍ MINH TRONG GIAI ĐOẠN 2020-2024</v>
      </c>
      <c r="C5" t="str">
        <f>VLOOKUP(A5,'[1]Phân công'!$B$2:$K$259,10,FALSE)</f>
        <v>https://drive.google.com/open?id=1l93mWrG5nsk37PxUH--elC6lb_9Jb_h1</v>
      </c>
      <c r="D5" t="str">
        <f>VLOOKUP(A5,'[1]Phân công'!$B$2:$K$259,10,FALSE)</f>
        <v>https://drive.google.com/open?id=1l93mWrG5nsk37PxUH--elC6lb_9Jb_h1</v>
      </c>
      <c r="E5" t="str">
        <f>VLOOKUP(A5,'[1]Phân công'!$B$2:$K$259,9,FALSE)</f>
        <v>Tiếng Việt</v>
      </c>
    </row>
    <row r="6" spans="1:8" ht="15.75" customHeight="1" x14ac:dyDescent="0.35">
      <c r="A6" s="58" t="s">
        <v>23</v>
      </c>
      <c r="B6" t="str">
        <f>VLOOKUP(A6,'[1]Phân công'!$B$2:$K$259,7,FALSE)</f>
        <v>ỨNG DỤNG HỌC MÁY TRONG DỰ BÁO RỦI RO QUẢN TRỊ LỢI NHUẬN VÀ TÁC ĐỘNG ĐẾN TỶ SUẤT SINH LỜI CỔ PHIẾU: BẰNG CHỨNG THỰC NGHIỆM TẠI VIỆT NAM</v>
      </c>
      <c r="C6" t="str">
        <f>VLOOKUP(A6,'[1]Phân công'!$B$2:$K$259,10,FALSE)</f>
        <v>https://drive.google.com/open?id=1153IDWCNz6trk9W6EzfQ2m3DdjqONwc1</v>
      </c>
      <c r="D6" t="str">
        <f>VLOOKUP(A6,'[1]Phân công'!$B$2:$K$259,10,FALSE)</f>
        <v>https://drive.google.com/open?id=1153IDWCNz6trk9W6EzfQ2m3DdjqONwc1</v>
      </c>
      <c r="E6" t="str">
        <f>VLOOKUP(A6,'[1]Phân công'!$B$2:$K$259,9,FALSE)</f>
        <v>Tiếng Việt</v>
      </c>
    </row>
    <row r="7" spans="1:8" ht="15.75" customHeight="1" x14ac:dyDescent="0.35">
      <c r="A7" s="58" t="s">
        <v>35</v>
      </c>
      <c r="B7" t="str">
        <f>VLOOKUP(A7,'[1]Phân công'!$B$2:$K$259,7,FALSE)</f>
        <v>DỰ BÁO KHẢ NĂNG ĐẠT HIỆU QUẢ SỬ DỤNG TÀI SẢN TRÊN MỨC TRUNG VỊ NGÀNH CỦA CÁC DOANH NGHIỆP BẤT ĐỘNG SẢN NIÊM YẾT TẠI VIỆT NAM - SỬ DỤNG MÔ HÌNH HỌC MÁY</v>
      </c>
      <c r="C7" t="str">
        <f>VLOOKUP(A7,'[1]Phân công'!$B$2:$K$259,10,FALSE)</f>
        <v>https://drive.google.com/open?id=1bm7GSIXpzAZpqC1ATkUbutqdzq8eJory</v>
      </c>
      <c r="D7" t="str">
        <f>VLOOKUP(A7,'[1]Phân công'!$B$2:$K$259,10,FALSE)</f>
        <v>https://drive.google.com/open?id=1bm7GSIXpzAZpqC1ATkUbutqdzq8eJory</v>
      </c>
      <c r="E7" t="str">
        <f>VLOOKUP(A7,'[1]Phân công'!$B$2:$K$259,9,FALSE)</f>
        <v>Tiếng Việt</v>
      </c>
    </row>
    <row r="8" spans="1:8" ht="15.75" customHeight="1" x14ac:dyDescent="0.35">
      <c r="A8" s="58" t="s">
        <v>38</v>
      </c>
      <c r="B8" t="str">
        <f>VLOOKUP(A8,'[1]Phân công'!$B$2:$K$259,7,FALSE)</f>
        <v>ỨNG DỤNG MÔ HÌNH ARIMA  VÀ HỌC SÂU TRONG DỰ BÁO HỆ SỐ PRICE-TO-EARNINGS NGÀNH HÀNG TIÊU DÙNG TRÊN THỊ TRƯỜNG  CHỨNG KHOÁN VIỆT NAM</v>
      </c>
      <c r="C8" t="str">
        <f>VLOOKUP(A8,'[1]Phân công'!$B$2:$K$259,10,FALSE)</f>
        <v>https://drive.google.com/open?id=1EbA-MSLsMnBHdQmrX3OV8YTaupwNCiqt</v>
      </c>
      <c r="D8" t="str">
        <f>VLOOKUP(A8,'[1]Phân công'!$B$2:$K$259,10,FALSE)</f>
        <v>https://drive.google.com/open?id=1EbA-MSLsMnBHdQmrX3OV8YTaupwNCiqt</v>
      </c>
      <c r="E8" t="str">
        <f>VLOOKUP(A8,'[1]Phân công'!$B$2:$K$259,9,FALSE)</f>
        <v>Tiếng Việt</v>
      </c>
    </row>
    <row r="9" spans="1:8" ht="15.75" customHeight="1" x14ac:dyDescent="0.35">
      <c r="A9" s="58" t="s">
        <v>40</v>
      </c>
      <c r="B9" t="str">
        <f>VLOOKUP(A9,'[1]Phân công'!$B$2:$K$259,7,FALSE)</f>
        <v>MỐI QUAN HỆ PHI TUYẾN GIỮA THANH KHOẢN VÀ LỢI SUẤT TRÊN THỊ TRƯỜNG ETHEREUM: TIẾP CẬN HỌC MÁY VÀ SHAP TREEEXPLAINER</v>
      </c>
      <c r="C9" t="str">
        <f>VLOOKUP(A9,'[1]Phân công'!$B$2:$K$259,10,FALSE)</f>
        <v>https://drive.google.com/open?id=1iTEAtvZfBercHJesinF_8Lc_Gx6uBYzD</v>
      </c>
      <c r="D9" t="str">
        <f>VLOOKUP(A9,'[1]Phân công'!$B$2:$K$259,10,FALSE)</f>
        <v>https://drive.google.com/open?id=1iTEAtvZfBercHJesinF_8Lc_Gx6uBYzD</v>
      </c>
      <c r="E9" t="str">
        <f>VLOOKUP(A9,'[1]Phân công'!$B$2:$K$259,9,FALSE)</f>
        <v>Tiếng Việt</v>
      </c>
    </row>
    <row r="10" spans="1:8" ht="15.75" customHeight="1" x14ac:dyDescent="0.35">
      <c r="A10" s="58" t="s">
        <v>43</v>
      </c>
      <c r="B10" t="str">
        <f>VLOOKUP(A10,'[1]Phân công'!$B$2:$K$259,7,FALSE)</f>
        <v>MACHINE LEARNING-BASED PREDICTION OF  FINANCIAL DISTRESS: EVIDENCE FROM NON-FINANCIAL LISTED COMPANIES IN VIETNAM (2010-2024)</v>
      </c>
      <c r="C10" t="str">
        <f>VLOOKUP(A10,'[1]Phân công'!$B$2:$K$259,10,FALSE)</f>
        <v>https://drive.google.com/open?id=1YKlFWxBwgZHNewtrzHHtpZYHTFxwdSjS</v>
      </c>
      <c r="D10" t="str">
        <f>VLOOKUP(A10,'[1]Phân công'!$B$2:$K$259,10,FALSE)</f>
        <v>https://drive.google.com/open?id=1YKlFWxBwgZHNewtrzHHtpZYHTFxwdSjS</v>
      </c>
      <c r="E10" t="str">
        <f>VLOOKUP(A10,'[1]Phân công'!$B$2:$K$259,9,FALSE)</f>
        <v>Tiếng Anh</v>
      </c>
    </row>
    <row r="11" spans="1:8" ht="15.75" customHeight="1" x14ac:dyDescent="0.35">
      <c r="A11" s="58" t="s">
        <v>45</v>
      </c>
      <c r="B11" t="str">
        <f>VLOOKUP(A11,'[1]Phân công'!$B$2:$K$259,7,FALSE)</f>
        <v>ỨNG DỤNG MÔ HÌNH BLACK–LITTERMAN KẾT HỢP  REGULARIZED REGRESSION TRONG TỐI ƯU HÓA DANH MỤC  ĐẦU TƯ TẠI THỊ TRƯỜNG CHỨNG KHOÁN VIỆT NAM: BẰNG  CHỨNG TỪ TẬP CỔ PHIẾU VN30-2026 GIAI ĐOẠN 2021-2026</v>
      </c>
      <c r="C11" t="str">
        <f>VLOOKUP(A11,'[1]Phân công'!$B$2:$K$259,10,FALSE)</f>
        <v>https://drive.google.com/open?id=1JjgXaN9TNlzrcDVCl7QjPQBhYsOK68qR</v>
      </c>
      <c r="D11" t="str">
        <f>VLOOKUP(A11,'[1]Phân công'!$B$2:$K$259,10,FALSE)</f>
        <v>https://drive.google.com/open?id=1JjgXaN9TNlzrcDVCl7QjPQBhYsOK68qR</v>
      </c>
      <c r="E11" t="str">
        <f>VLOOKUP(A11,'[1]Phân công'!$B$2:$K$259,9,FALSE)</f>
        <v>Tiếng Việt</v>
      </c>
    </row>
    <row r="12" spans="1:8" ht="15.75" customHeight="1" x14ac:dyDescent="0.35">
      <c r="A12" s="58" t="s">
        <v>47</v>
      </c>
      <c r="B12" t="str">
        <f>VLOOKUP(A12,'[1]Phân công'!$B$2:$K$259,7,FALSE)</f>
        <v>ỨNG DỤNG SURROGATE ML/DL DỰ BÁO EVE VÀ EAR TRONG QUẢN LÝ IRRBB</v>
      </c>
      <c r="C12" t="str">
        <f>VLOOKUP(A12,'[1]Phân công'!$B$2:$K$259,10,FALSE)</f>
        <v>https://drive.google.com/open?id=18tJZVAsGfXKDv7Q1HFdrAi2hVfn4fFOB</v>
      </c>
      <c r="D12" t="str">
        <f>VLOOKUP(A12,'[1]Phân công'!$B$2:$K$259,10,FALSE)</f>
        <v>https://drive.google.com/open?id=18tJZVAsGfXKDv7Q1HFdrAi2hVfn4fFOB</v>
      </c>
      <c r="E12" t="str">
        <f>VLOOKUP(A12,'[1]Phân công'!$B$2:$K$259,9,FALSE)</f>
        <v>Tiếng Việt</v>
      </c>
    </row>
    <row r="13" spans="1:8" ht="15.75" customHeight="1" x14ac:dyDescent="0.35">
      <c r="A13" s="58" t="s">
        <v>51</v>
      </c>
      <c r="B13" t="str">
        <f>VLOOKUP(A13,'[1]Phân công'!$B$2:$K$259,7,FALSE)</f>
        <v>XÂY DỰNG HỆ THỐNG RAG PHÂN TÍCH BÁO CÁO TÀI CHÍNH TỰ ĐỘNG</v>
      </c>
      <c r="C13" t="str">
        <f>VLOOKUP(A13,'[1]Phân công'!$B$2:$K$259,10,FALSE)</f>
        <v>https://drive.google.com/open?id=1IQ_vRg57sOvz5O5OJg-FXxkH4N5gZTWy</v>
      </c>
      <c r="D13" t="str">
        <f>VLOOKUP(A13,'[1]Phân công'!$B$2:$K$259,10,FALSE)</f>
        <v>https://drive.google.com/open?id=1IQ_vRg57sOvz5O5OJg-FXxkH4N5gZTWy</v>
      </c>
      <c r="E13" t="str">
        <f>VLOOKUP(A13,'[1]Phân công'!$B$2:$K$259,9,FALSE)</f>
        <v>Tiếng Việt</v>
      </c>
    </row>
    <row r="14" spans="1:8" ht="15.75" customHeight="1" x14ac:dyDescent="0.35">
      <c r="A14" s="58" t="s">
        <v>54</v>
      </c>
      <c r="B14" t="str">
        <f>VLOOKUP(A14,'[1]Phân công'!$B$2:$K$259,7,FALSE)</f>
        <v xml:space="preserve">XÂY DỰNG HỆ THỐNG HỖ TRỢ QUYẾT ĐỊNH ĐẦU TƯ CHỨNG KHOÁN DỰA TRÊN MACHINE LEARNING, TỐI ƯU DANH MỤC THEO MARKOWITZ VÀ CHATBOT SỬ DỤNG MÔ HÌNH NGÔN NGỮ LỚN </v>
      </c>
      <c r="C14" t="str">
        <f>VLOOKUP(A14,'[1]Phân công'!$B$2:$K$259,10,FALSE)</f>
        <v>https://drive.google.com/open?id=1lGSvce6eokP8gde93QUuRwi_6C08vTCI</v>
      </c>
      <c r="D14" t="str">
        <f>VLOOKUP(A14,'[1]Phân công'!$B$2:$K$259,10,FALSE)</f>
        <v>https://drive.google.com/open?id=1lGSvce6eokP8gde93QUuRwi_6C08vTCI</v>
      </c>
      <c r="E14" t="str">
        <f>VLOOKUP(A14,'[1]Phân công'!$B$2:$K$259,9,FALSE)</f>
        <v>Tiếng Việt</v>
      </c>
    </row>
    <row r="15" spans="1:8" ht="15.75" customHeight="1" x14ac:dyDescent="0.35">
      <c r="A15" s="58" t="s">
        <v>56</v>
      </c>
      <c r="B15" t="str">
        <f>VLOOKUP(A15,'[1]Phân công'!$B$2:$K$259,7,FALSE)</f>
        <v>DỰ BÁO TỶ SUẤT SINH LỜI VỐN CHỦ SỞ HỮU CỦA NGÀNH BẤT ĐỘNG SẢN BẰNG MACHINE LEARNING</v>
      </c>
      <c r="C15" t="str">
        <f>VLOOKUP(A15,'[1]Phân công'!$B$2:$K$259,10,FALSE)</f>
        <v>https://drive.google.com/open?id=1N3lcfAsakig5w7KQk8bS-G6dankkAlwF</v>
      </c>
      <c r="D15" t="str">
        <f>VLOOKUP(A15,'[1]Phân công'!$B$2:$K$259,10,FALSE)</f>
        <v>https://drive.google.com/open?id=1N3lcfAsakig5w7KQk8bS-G6dankkAlwF</v>
      </c>
      <c r="E15" t="str">
        <f>VLOOKUP(A15,'[1]Phân công'!$B$2:$K$259,9,FALSE)</f>
        <v>Tiếng Việt</v>
      </c>
    </row>
    <row r="16" spans="1:8" ht="15.75" customHeight="1" x14ac:dyDescent="0.35">
      <c r="A16" s="58" t="s">
        <v>59</v>
      </c>
      <c r="B16" t="str">
        <f>VLOOKUP(A16,'[1]Phân công'!$B$2:$K$259,7,FALSE)</f>
        <v>XÂY DỰNG CHATBOT HỖ TRỢ RA KHUYẾN NGHỊ ĐẦU TƯ TIỀN ĐIỆN TỬ</v>
      </c>
      <c r="C16" t="str">
        <f>VLOOKUP(A16,'[1]Phân công'!$B$2:$K$259,10,FALSE)</f>
        <v>https://drive.google.com/open?id=1RN1TNxYPyT1vVOP2nd3VKKLv5ByX3D5R</v>
      </c>
      <c r="D16" t="str">
        <f>VLOOKUP(A16,'[1]Phân công'!$B$2:$K$259,10,FALSE)</f>
        <v>https://drive.google.com/open?id=1RN1TNxYPyT1vVOP2nd3VKKLv5ByX3D5R</v>
      </c>
      <c r="E16" t="str">
        <f>VLOOKUP(A16,'[1]Phân công'!$B$2:$K$259,9,FALSE)</f>
        <v>Tiếng Việt</v>
      </c>
    </row>
    <row r="17" spans="1:5" ht="15.75" customHeight="1" x14ac:dyDescent="0.35">
      <c r="A17" s="58" t="s">
        <v>61</v>
      </c>
      <c r="B17" t="str">
        <f>VLOOKUP(A17,'[1]Phân công'!$B$2:$K$259,7,FALSE)</f>
        <v>PHÂN TÍCH THỰC NGHIỆM TÁC ĐỘNG CỦA THÔNG TIN CƠ BẢN, KỸ THUẬT VÀ TÂM LÝ ĐẾN DỰ BÁO XU HƯỚNG CỔ PHIẾU THEO NGÀNH: ỨNG DỤNG MẠNG NƠ-RON ĐA LỚP (MLP)</v>
      </c>
      <c r="C17" t="str">
        <f>VLOOKUP(A17,'[1]Phân công'!$B$2:$K$259,10,FALSE)</f>
        <v>https://drive.google.com/open?id=1TAM1UI94ZpbJT2dn4apzTYwpPmqKkRIH</v>
      </c>
      <c r="D17" t="str">
        <f>VLOOKUP(A17,'[1]Phân công'!$B$2:$K$259,10,FALSE)</f>
        <v>https://drive.google.com/open?id=1TAM1UI94ZpbJT2dn4apzTYwpPmqKkRIH</v>
      </c>
      <c r="E17" t="str">
        <f>VLOOKUP(A17,'[1]Phân công'!$B$2:$K$259,9,FALSE)</f>
        <v>Tiếng Việt</v>
      </c>
    </row>
    <row r="18" spans="1:5" ht="15.75" customHeight="1" x14ac:dyDescent="0.35">
      <c r="A18" s="58" t="s">
        <v>63</v>
      </c>
      <c r="B18" t="str">
        <f>VLOOKUP(A18,'[1]Phân công'!$B$2:$K$259,7,FALSE)</f>
        <v>MỨC ĐỘ TÁC ĐỘNG CỦA FINTECH ĐẾN HIỆU QUẢ HOẠT ĐỘNG CỦA NGÂN HÀNG THƯƠNG MẠI NIÊM YẾT TẠI VIỆT NAM TRONG GIAI ĐOẠN 2014 - 2024</v>
      </c>
      <c r="C18" t="str">
        <f>VLOOKUP(A18,'[1]Phân công'!$B$2:$K$259,10,FALSE)</f>
        <v>https://drive.google.com/open?id=1SFyMzggOYrOCej4FkZcKyxcOLQXBrPOj</v>
      </c>
      <c r="D18" t="str">
        <f>VLOOKUP(A18,'[1]Phân công'!$B$2:$K$259,10,FALSE)</f>
        <v>https://drive.google.com/open?id=1SFyMzggOYrOCej4FkZcKyxcOLQXBrPOj</v>
      </c>
      <c r="E18" t="str">
        <f>VLOOKUP(A18,'[1]Phân công'!$B$2:$K$259,9,FALSE)</f>
        <v>Tiếng Việt</v>
      </c>
    </row>
    <row r="19" spans="1:5" ht="15.75" customHeight="1" x14ac:dyDescent="0.35">
      <c r="A19" s="58" t="s">
        <v>67</v>
      </c>
      <c r="B19" t="str">
        <f>VLOOKUP(A19,'[1]Phân công'!$B$2:$K$259,7,FALSE)</f>
        <v>APPLICATION OF MACHINE LEARNING IN BREAKOUT SIGNAL IDENTIFICATION IN THE VIETNAMESE STOCK MARKET</v>
      </c>
      <c r="C19" t="str">
        <f>VLOOKUP(A19,'[1]Phân công'!$B$2:$K$259,10,FALSE)</f>
        <v>https://drive.google.com/open?id=12cFSDH0GuX9HjaeSIOjZeugd06MdvNM8</v>
      </c>
      <c r="D19" t="str">
        <f>VLOOKUP(A19,'[1]Phân công'!$B$2:$K$259,10,FALSE)</f>
        <v>https://drive.google.com/open?id=12cFSDH0GuX9HjaeSIOjZeugd06MdvNM8</v>
      </c>
      <c r="E19" t="str">
        <f>VLOOKUP(A19,'[1]Phân công'!$B$2:$K$259,9,FALSE)</f>
        <v>Tiếng Anh</v>
      </c>
    </row>
    <row r="20" spans="1:5" ht="15.75" customHeight="1" x14ac:dyDescent="0.35">
      <c r="A20" s="58" t="s">
        <v>70</v>
      </c>
      <c r="B20" t="str">
        <f>VLOOKUP(A20,'[1]Phân công'!$B$2:$K$259,7,FALSE)</f>
        <v>BUILDING A MULTI-LEVEL FINANCIAL RISK RANKING AND EARLY WARNING SYSTEM FOR VIETNAMESE LISTED COMPANIES: APPLYING MACHINE LEARNING AND DEPLOYING A WEB DASHBOARD TO SUPPORT DIGITAL TRANSFORMATION</v>
      </c>
      <c r="C20" t="str">
        <f>VLOOKUP(A20,'[1]Phân công'!$B$2:$K$259,10,FALSE)</f>
        <v>https://drive.google.com/open?id=1KXMAUkRmNMu1emYJWtJmPBEJC4oSaAsu</v>
      </c>
      <c r="D20" t="str">
        <f>VLOOKUP(A20,'[1]Phân công'!$B$2:$K$259,10,FALSE)</f>
        <v>https://drive.google.com/open?id=1KXMAUkRmNMu1emYJWtJmPBEJC4oSaAsu</v>
      </c>
      <c r="E20" t="str">
        <f>VLOOKUP(A20,'[1]Phân công'!$B$2:$K$259,9,FALSE)</f>
        <v>Tiếng Anh</v>
      </c>
    </row>
    <row r="21" spans="1:5" ht="15.75" customHeight="1" x14ac:dyDescent="0.35">
      <c r="A21" s="58" t="s">
        <v>75</v>
      </c>
      <c r="B21" t="str">
        <f>VLOOKUP(A21,'[1]Phân công'!$B$2:$K$259,7,FALSE)</f>
        <v>NEWS-AWARE MULTI-AGENT REINFORCEMENT LEARNING FOR PORTFOLIO OPTIMIZATION WITH ADAPTIVE RISK CONTROL: EVIDENCE FROM THE VIETNAMESE EQUITY MARKET</v>
      </c>
      <c r="C21" t="str">
        <f>VLOOKUP(A21,'[1]Phân công'!$B$2:$K$259,10,FALSE)</f>
        <v>https://drive.google.com/open?id=13djDLGL9aZ3nBG4CqjNscOjeR1V1Fgf1</v>
      </c>
      <c r="D21" t="str">
        <f>VLOOKUP(A21,'[1]Phân công'!$B$2:$K$259,10,FALSE)</f>
        <v>https://drive.google.com/open?id=13djDLGL9aZ3nBG4CqjNscOjeR1V1Fgf1</v>
      </c>
      <c r="E21" t="str">
        <f>VLOOKUP(A21,'[1]Phân công'!$B$2:$K$259,9,FALSE)</f>
        <v>Tiếng Anh</v>
      </c>
    </row>
    <row r="22" spans="1:5" ht="18" customHeight="1" x14ac:dyDescent="0.35">
      <c r="A22" s="58" t="s">
        <v>77</v>
      </c>
      <c r="B22" t="str">
        <f>VLOOKUP(A22,'[1]Phân công'!$B$2:$K$259,7,FALSE)</f>
        <v>INTEGRATING CONDITIONAL VALUE AT RISK INTO HIERARCHICAL RISK PARITY: EVIDENCE FROM THE VIETNAMESE MULTI-ASSET MARKET</v>
      </c>
      <c r="C22" t="str">
        <f>VLOOKUP(A22,'[1]Phân công'!$B$2:$K$259,10,FALSE)</f>
        <v>https://drive.google.com/open?id=1F-jRjtqt-14dhtWiA78S3WjXKNdQ6pC1</v>
      </c>
      <c r="D22" t="str">
        <f>VLOOKUP(A22,'[1]Phân công'!$B$2:$K$259,10,FALSE)</f>
        <v>https://drive.google.com/open?id=1F-jRjtqt-14dhtWiA78S3WjXKNdQ6pC1</v>
      </c>
      <c r="E22" t="str">
        <f>VLOOKUP(A22,'[1]Phân công'!$B$2:$K$259,9,FALSE)</f>
        <v>Tiếng Anh</v>
      </c>
    </row>
    <row r="23" spans="1:5" ht="15.75" customHeight="1" x14ac:dyDescent="0.35">
      <c r="A23" s="58" t="s">
        <v>80</v>
      </c>
      <c r="B23" t="str">
        <f>VLOOKUP(A23,'[1]Phân công'!$B$2:$K$259,7,FALSE)</f>
        <v>ỨNG DỤNG MACHINE LEARNING TRONG PHÁT HIỆN CÁC CHIẾN LƯỢC QUẢN TRỊ LỢI NHUẬN Ở DOANH NGHIỆP VIỆT NAM THEO TÌNH TRẠNG TÀI CHÍNH</v>
      </c>
      <c r="C23" t="str">
        <f>VLOOKUP(A23,'[1]Phân công'!$B$2:$K$259,10,FALSE)</f>
        <v>https://drive.google.com/open?id=1vzOw3FzKVSVE-vq7vQbOXk79ucHrj0Rr</v>
      </c>
      <c r="D23" t="str">
        <f>VLOOKUP(A23,'[1]Phân công'!$B$2:$K$259,10,FALSE)</f>
        <v>https://drive.google.com/open?id=1vzOw3FzKVSVE-vq7vQbOXk79ucHrj0Rr</v>
      </c>
      <c r="E23" t="str">
        <f>VLOOKUP(A23,'[1]Phân công'!$B$2:$K$259,9,FALSE)</f>
        <v>Tiếng Việt</v>
      </c>
    </row>
    <row r="24" spans="1:5" ht="15.75" customHeight="1" x14ac:dyDescent="0.35">
      <c r="A24" s="58" t="s">
        <v>82</v>
      </c>
      <c r="B24" t="str">
        <f>VLOOKUP(A24,'[1]Phân công'!$B$2:$K$259,7,FALSE)</f>
        <v>ỨNG DỤNG MÔ HÌNH HỌC MÁY CÓ KHẢ NĂNG GIẢI THÍCH TRONG DỰ BÁO RỦI RO KIỆT QUỆ  TÀI CHÍNH CỦA CÁC DOANH NGHIỆP BẤT ĐỘNG SẢN NIÊM YẾT TẠI VIỆT NAM</v>
      </c>
      <c r="C24" t="str">
        <f>VLOOKUP(A24,'[1]Phân công'!$B$2:$K$259,10,FALSE)</f>
        <v>https://drive.google.com/open?id=1K2ZxRpl4NSKuDU44lsyNt3C8sasMGbzt</v>
      </c>
      <c r="D24" t="str">
        <f>VLOOKUP(A24,'[1]Phân công'!$B$2:$K$259,10,FALSE)</f>
        <v>https://drive.google.com/open?id=1K2ZxRpl4NSKuDU44lsyNt3C8sasMGbzt</v>
      </c>
      <c r="E24" t="str">
        <f>VLOOKUP(A24,'[1]Phân công'!$B$2:$K$259,9,FALSE)</f>
        <v>Tiếng Việt</v>
      </c>
    </row>
    <row r="25" spans="1:5" ht="15.75" customHeight="1" x14ac:dyDescent="0.35">
      <c r="A25" s="58" t="s">
        <v>84</v>
      </c>
      <c r="B25" t="str">
        <f>VLOOKUP(A25,'[1]Phân công'!$B$2:$K$259,7,FALSE)</f>
        <v>TÁC ĐỘNG CỦA CÁC YẾU TỐ VĨ MÔ ĐẾN TỶ GIÁ TRONG GIAI ĐOẠN 2014-2023 : ỨNG DỤNG VECM VÀ MACHINE LEARNING DỰ TRONG DỰ BÁO</v>
      </c>
      <c r="C25" t="str">
        <f>VLOOKUP(A25,'[1]Phân công'!$B$2:$K$259,10,FALSE)</f>
        <v>https://drive.google.com/open?id=1rPSGxBx8ACS2FijTLvbAw1UTdVWKaPVf</v>
      </c>
      <c r="D25" t="str">
        <f>VLOOKUP(A25,'[1]Phân công'!$B$2:$K$259,10,FALSE)</f>
        <v>https://drive.google.com/open?id=1rPSGxBx8ACS2FijTLvbAw1UTdVWKaPVf</v>
      </c>
      <c r="E25" t="str">
        <f>VLOOKUP(A25,'[1]Phân công'!$B$2:$K$259,9,FALSE)</f>
        <v>Tiếng Việt</v>
      </c>
    </row>
    <row r="26" spans="1:5" ht="15.75" customHeight="1" x14ac:dyDescent="0.35">
      <c r="A26" s="58" t="s">
        <v>87</v>
      </c>
      <c r="B26" t="str">
        <f>VLOOKUP(A26,'[1]Phân công'!$B$2:$K$259,7,FALSE)</f>
        <v xml:space="preserve">XÂY DỰNG HỆ THỐNG GIAO DỊCH CỔ PHIẾU: SO SÁNH DỰ BÁO TÍN HIỆU GIAO DỊCH: PHƯƠNG PHÁP KỸ THUẬT TRUYỀN THỐNG VÀ MACHINE LEARNING </v>
      </c>
      <c r="C26" t="str">
        <f>VLOOKUP(A26,'[1]Phân công'!$B$2:$K$259,10,FALSE)</f>
        <v>https://drive.google.com/open?id=1PxZ3CQdJ6MRHVAhJxcILeCY7uISOQ9sx</v>
      </c>
      <c r="D26" t="str">
        <f>VLOOKUP(A26,'[1]Phân công'!$B$2:$K$259,10,FALSE)</f>
        <v>https://drive.google.com/open?id=1PxZ3CQdJ6MRHVAhJxcILeCY7uISOQ9sx</v>
      </c>
      <c r="E26" t="str">
        <f>VLOOKUP(A26,'[1]Phân công'!$B$2:$K$259,9,FALSE)</f>
        <v>Tiếng Việt</v>
      </c>
    </row>
    <row r="27" spans="1:5" ht="15.75" customHeight="1" x14ac:dyDescent="0.35">
      <c r="A27" s="58" t="s">
        <v>89</v>
      </c>
      <c r="B27" t="str">
        <f>VLOOKUP(A27,'[1]Phân công'!$B$2:$K$259,7,FALSE)</f>
        <v xml:space="preserve">TỐI ƯU HÓA DANH MỤC ĐẦU TƯ DỰA TRÊN DỰ BÁO  LỢI SUẤT BẰNG CÁC MÔ HÌNH HỌC MÁY VÀ HỌC SÂU </v>
      </c>
      <c r="C27" t="str">
        <f>VLOOKUP(A27,'[1]Phân công'!$B$2:$K$259,10,FALSE)</f>
        <v>https://drive.google.com/open?id=19cSXqoAzuh-GmVZ9lbsd1KmaUprdwCrM</v>
      </c>
      <c r="D27" t="str">
        <f>VLOOKUP(A27,'[1]Phân công'!$B$2:$K$259,10,FALSE)</f>
        <v>https://drive.google.com/open?id=19cSXqoAzuh-GmVZ9lbsd1KmaUprdwCrM</v>
      </c>
      <c r="E27" t="str">
        <f>VLOOKUP(A27,'[1]Phân công'!$B$2:$K$259,9,FALSE)</f>
        <v>Tiếng Việt</v>
      </c>
    </row>
    <row r="28" spans="1:5" ht="15.75" customHeight="1" x14ac:dyDescent="0.35">
      <c r="A28" s="58" t="s">
        <v>91</v>
      </c>
      <c r="B28" t="str">
        <f>VLOOKUP(A28,'[1]Phân công'!$B$2:$K$259,7,FALSE)</f>
        <v>APPLYING THE DEEP LEARNING MODEL (LSTM, GRU) IN BITCOIN'S VOLATILITY FORECASTING AND RISK MEASUREMENT (VAR)</v>
      </c>
      <c r="C28" t="str">
        <f>VLOOKUP(A28,'[1]Phân công'!$B$2:$K$259,10,FALSE)</f>
        <v>https://drive.google.com/open?id=11b_GyBPkt4aVlZCigPrVOxSvf481_Qzi</v>
      </c>
      <c r="D28" t="str">
        <f>VLOOKUP(A28,'[1]Phân công'!$B$2:$K$259,10,FALSE)</f>
        <v>https://drive.google.com/open?id=11b_GyBPkt4aVlZCigPrVOxSvf481_Qzi</v>
      </c>
      <c r="E28" t="str">
        <f>VLOOKUP(A28,'[1]Phân công'!$B$2:$K$259,9,FALSE)</f>
        <v>Tiếng Anh</v>
      </c>
    </row>
    <row r="29" spans="1:5" ht="15.75" customHeight="1" x14ac:dyDescent="0.35">
      <c r="A29" s="58" t="s">
        <v>94</v>
      </c>
      <c r="B29" t="str">
        <f>VLOOKUP(A29,'[1]Phân công'!$B$2:$K$259,7,FALSE)</f>
        <v>TÁC ĐỘNG CỦA CẢM XÚC TIN TỨC ĐẾN KHẢ NĂNG DỰ BÁO BIẾN ĐỘNG LỢI SUẤT CỔ PHIẾU: BẰNG CHỨNG THỰC NGHIỆM TỪ CÁC CỔ PHIẾU THUỘC NGÀNH BẤT ĐỘNG SẢN</v>
      </c>
      <c r="C29" t="str">
        <f>VLOOKUP(A29,'[1]Phân công'!$B$2:$K$259,10,FALSE)</f>
        <v>https://drive.google.com/open?id=1m5FU35p93TuLe9zWALJhV_TU14_0oMhx</v>
      </c>
      <c r="D29" t="str">
        <f>VLOOKUP(A29,'[1]Phân công'!$B$2:$K$259,10,FALSE)</f>
        <v>https://drive.google.com/open?id=1m5FU35p93TuLe9zWALJhV_TU14_0oMhx</v>
      </c>
      <c r="E29" t="str">
        <f>VLOOKUP(A29,'[1]Phân công'!$B$2:$K$259,9,FALSE)</f>
        <v>Tiếng Việt</v>
      </c>
    </row>
    <row r="30" spans="1:5" ht="15.75" customHeight="1" x14ac:dyDescent="0.35">
      <c r="A30" s="58" t="s">
        <v>96</v>
      </c>
      <c r="B30" t="str">
        <f>VLOOKUP(A30,'[1]Phân công'!$B$2:$K$259,7,FALSE)</f>
        <v>FINANCIAL NEWS SENTIMENT AND SHORT-TERM STOCK DIRECTION PREDICTION:\\ EVIDENCE FROM VN30 FIRMS</v>
      </c>
      <c r="C30" t="str">
        <f>VLOOKUP(A30,'[1]Phân công'!$B$2:$K$259,10,FALSE)</f>
        <v>https://drive.google.com/open?id=1Sev5CtkGnJJUDJwyzkgSsXgA5db3m3jZ</v>
      </c>
      <c r="D30" t="str">
        <f>VLOOKUP(A30,'[1]Phân công'!$B$2:$K$259,10,FALSE)</f>
        <v>https://drive.google.com/open?id=1Sev5CtkGnJJUDJwyzkgSsXgA5db3m3jZ</v>
      </c>
      <c r="E30" t="str">
        <f>VLOOKUP(A30,'[1]Phân công'!$B$2:$K$259,9,FALSE)</f>
        <v>Tiếng Anh</v>
      </c>
    </row>
    <row r="31" spans="1:5" ht="15.75" customHeight="1" x14ac:dyDescent="0.35">
      <c r="A31" s="58" t="s">
        <v>111</v>
      </c>
      <c r="B31" t="str">
        <f>VLOOKUP(A31,'[1]Phân công'!$B$2:$K$259,7,FALSE)</f>
        <v>CONSTRUCTING AN OPTIMAL VN30 PORTFOLIO USING THE SINGLE INDEX MODEL</v>
      </c>
      <c r="C31" t="str">
        <f>VLOOKUP(A31,'[1]Phân công'!$B$2:$K$259,10,FALSE)</f>
        <v>https://drive.google.com/open?id=137Bc0e9Rfq_KOa8V8tra8rBiu6dAJAyq</v>
      </c>
      <c r="D31" t="str">
        <f>VLOOKUP(A31,'[1]Phân công'!$B$2:$K$259,10,FALSE)</f>
        <v>https://drive.google.com/open?id=137Bc0e9Rfq_KOa8V8tra8rBiu6dAJAyq</v>
      </c>
      <c r="E31" t="str">
        <f>VLOOKUP(A31,'[1]Phân công'!$B$2:$K$259,9,FALSE)</f>
        <v>Tiếng Anh</v>
      </c>
    </row>
    <row r="32" spans="1:5" ht="15.75" customHeight="1" x14ac:dyDescent="0.35">
      <c r="A32" s="58" t="s">
        <v>113</v>
      </c>
      <c r="B32" t="str">
        <f>VLOOKUP(A32,'[1]Phân công'!$B$2:$K$259,7,FALSE)</f>
        <v>MACHINE LEARNING APPROACHES TO MORTGAGE DEFAULT PREDICTION: AN EMPIRICAL STUDY</v>
      </c>
      <c r="C32" t="str">
        <f>VLOOKUP(A32,'[1]Phân công'!$B$2:$K$259,10,FALSE)</f>
        <v>https://drive.google.com/open?id=15PyTZKySg0d-5tuWMFzHLDp_SPPpB-PZ</v>
      </c>
      <c r="D32" t="str">
        <f>VLOOKUP(A32,'[1]Phân công'!$B$2:$K$259,10,FALSE)</f>
        <v>https://drive.google.com/open?id=15PyTZKySg0d-5tuWMFzHLDp_SPPpB-PZ</v>
      </c>
      <c r="E32" t="str">
        <f>VLOOKUP(A32,'[1]Phân công'!$B$2:$K$259,9,FALSE)</f>
        <v>Tiếng Anh</v>
      </c>
    </row>
    <row r="33" spans="1:5" ht="15.75" customHeight="1" x14ac:dyDescent="0.35">
      <c r="A33" s="58" t="s">
        <v>116</v>
      </c>
      <c r="B33" t="str">
        <f>VLOOKUP(A33,'[1]Phân công'!$B$2:$K$259,7,FALSE)</f>
        <v>DỰ BÁO TỶ LỆ ĐÒN BẨY TÀI CHÍNH: SO SÁNH VÀ PHÂN TÍCH KHẢ NĂNG DỰ BÁO GIỮA CÁC MÔ HÌNH HỌC MÁY VÀ MÔ HÌNH KINH TẾ LƯỢNG TRUYỀN THỐNG ĐỐI VỚI CÁC DOANH NGHIỆP PHI TÀI CHÍNH ĐƯỢC NIÊM YẾT TẠI VIỆT NAM</v>
      </c>
      <c r="C33" t="str">
        <f>VLOOKUP(A33,'[1]Phân công'!$B$2:$K$259,10,FALSE)</f>
        <v>https://drive.google.com/open?id=1_dzaRlymbqO_J7lNRGkF7Ga1qICe0WQq</v>
      </c>
      <c r="D33" t="str">
        <f>VLOOKUP(A33,'[1]Phân công'!$B$2:$K$259,10,FALSE)</f>
        <v>https://drive.google.com/open?id=1_dzaRlymbqO_J7lNRGkF7Ga1qICe0WQq</v>
      </c>
      <c r="E33" t="str">
        <f>VLOOKUP(A33,'[1]Phân công'!$B$2:$K$259,9,FALSE)</f>
        <v>Tiếng Việt</v>
      </c>
    </row>
    <row r="34" spans="1:5" ht="15.75" customHeight="1" x14ac:dyDescent="0.35">
      <c r="A34" s="58" t="s">
        <v>118</v>
      </c>
      <c r="B34" t="str">
        <f>VLOOKUP(A34,'[1]Phân công'!$B$2:$K$259,7,FALSE)</f>
        <v>CÁC YẾU TỐ ẢNH HƯỞNG ĐẾN HÀNH VI SỬ DỤNG VÀ DUY TRÌ THANH TOÁN SỐ TẠI VIỆT NAM: TIẾP CẬN KẾT HỢP PHÂN TÍCH ĐỊNH LƯỢNG VÀ KHAI PHÁ DỮ LIỆU CẢM XÚC.</v>
      </c>
      <c r="C34" t="str">
        <f>VLOOKUP(A34,'[1]Phân công'!$B$2:$K$259,10,FALSE)</f>
        <v>https://drive.google.com/open?id=1EW521o6EsqDPKN4Ls3xmI5PWrzCECI8r</v>
      </c>
      <c r="D34" t="str">
        <f>VLOOKUP(A34,'[1]Phân công'!$B$2:$K$259,10,FALSE)</f>
        <v>https://drive.google.com/open?id=1EW521o6EsqDPKN4Ls3xmI5PWrzCECI8r</v>
      </c>
      <c r="E34" t="str">
        <f>VLOOKUP(A34,'[1]Phân công'!$B$2:$K$259,9,FALSE)</f>
        <v>Tiếng Việt</v>
      </c>
    </row>
    <row r="35" spans="1:5" ht="15.75" customHeight="1" x14ac:dyDescent="0.35">
      <c r="A35" s="58" t="s">
        <v>120</v>
      </c>
      <c r="B35" t="str">
        <f>VLOOKUP(A35,'[1]Phân công'!$B$2:$K$259,7,FALSE)</f>
        <v>DỰ BÁO TÌNH TRẠNG KIỆT QUỆ TÀI CHÍNH CỦA CÁC DOANH NGHIỆP SẢN XUẤT VIỆT NAM</v>
      </c>
      <c r="C35" t="str">
        <f>VLOOKUP(A35,'[1]Phân công'!$B$2:$K$259,10,FALSE)</f>
        <v>https://drive.google.com/open?id=1MMO2klqiwJmVx71SU3BM3tUGI3JYt4N6</v>
      </c>
      <c r="D35" t="str">
        <f>VLOOKUP(A35,'[1]Phân công'!$B$2:$K$259,10,FALSE)</f>
        <v>https://drive.google.com/open?id=1MMO2klqiwJmVx71SU3BM3tUGI3JYt4N6</v>
      </c>
      <c r="E35" t="str">
        <f>VLOOKUP(A35,'[1]Phân công'!$B$2:$K$259,9,FALSE)</f>
        <v>Tiếng Việt</v>
      </c>
    </row>
    <row r="36" spans="1:5" ht="15.75" customHeight="1" x14ac:dyDescent="0.35">
      <c r="A36" s="58" t="s">
        <v>123</v>
      </c>
      <c r="B36" t="str">
        <f>VLOOKUP(A36,'[1]Phân công'!$B$2:$K$259,7,FALSE)</f>
        <v xml:space="preserve">SỬ DỤNG MÁY HỌC DỰ ĐOÁN RỦI RO GIAN LẬN BÁO CÁO TÀI CHÍNH </v>
      </c>
      <c r="C36" t="str">
        <f>VLOOKUP(A36,'[1]Phân công'!$B$2:$K$259,10,FALSE)</f>
        <v>https://drive.google.com/open?id=1x6N9A5xvj3l1952kvKryUl6h8W4FJ96l</v>
      </c>
      <c r="D36" t="str">
        <f>VLOOKUP(A36,'[1]Phân công'!$B$2:$K$259,10,FALSE)</f>
        <v>https://drive.google.com/open?id=1x6N9A5xvj3l1952kvKryUl6h8W4FJ96l</v>
      </c>
      <c r="E36" t="str">
        <f>VLOOKUP(A36,'[1]Phân công'!$B$2:$K$259,9,FALSE)</f>
        <v>Tiếng Việt</v>
      </c>
    </row>
    <row r="37" spans="1:5" ht="15.75" customHeight="1" x14ac:dyDescent="0.35">
      <c r="A37" s="58" t="s">
        <v>136</v>
      </c>
      <c r="B37" t="str">
        <f>VLOOKUP(A37,'[1]Phân công'!$B$2:$K$259,7,FALSE)</f>
        <v>XÂY DỰNG HỆ THỐNG REGTECH HỖ TRỢ CHẨM ĐIỂM RỦI RO BẤT ĐỘNG SẢN VÀ TÍNH NGHĨA VỤ TÀI CHÍNH THEO BẢNG GIÁ ĐẤT TP.HCM 2026</v>
      </c>
      <c r="C37" t="str">
        <f>VLOOKUP(A37,'[1]Phân công'!$B$2:$K$259,10,FALSE)</f>
        <v>https://drive.google.com/open?id=1tAuqpUrxfohDlAFfLpwZYLKSFnaaFLI9</v>
      </c>
      <c r="D37" t="str">
        <f>VLOOKUP(A37,'[1]Phân công'!$B$2:$K$259,10,FALSE)</f>
        <v>https://drive.google.com/open?id=1tAuqpUrxfohDlAFfLpwZYLKSFnaaFLI9</v>
      </c>
      <c r="E37" t="str">
        <f>VLOOKUP(A37,'[1]Phân công'!$B$2:$K$259,9,FALSE)</f>
        <v>Tiếng Việt</v>
      </c>
    </row>
    <row r="38" spans="1:5" ht="15.75" customHeight="1" x14ac:dyDescent="0.35">
      <c r="A38" s="58" t="s">
        <v>139</v>
      </c>
      <c r="B38" t="str">
        <f>VLOOKUP(A38,'[1]Phân công'!$B$2:$K$259,7,FALSE)</f>
        <v xml:space="preserve">ỨNG DỤNG HỌC MÁY TRONG XÁC ĐỊNH  TỶ LỆ NẮM GIỮ TIỀN MẶT TỐI ƯU CỦA DOANH NGHIỆP PHI TÀI CHÍNH TẠI VIỆT NAM </v>
      </c>
      <c r="C38" t="str">
        <f>VLOOKUP(A38,'[1]Phân công'!$B$2:$K$259,10,FALSE)</f>
        <v>https://drive.google.com/open?id=1IHmCXj6UpzuYT5Tf4zUozICgocSzpAV-</v>
      </c>
      <c r="D38" t="str">
        <f>VLOOKUP(A38,'[1]Phân công'!$B$2:$K$259,10,FALSE)</f>
        <v>https://drive.google.com/open?id=1IHmCXj6UpzuYT5Tf4zUozICgocSzpAV-</v>
      </c>
      <c r="E38" t="str">
        <f>VLOOKUP(A38,'[1]Phân công'!$B$2:$K$259,9,FALSE)</f>
        <v>Tiếng Việt</v>
      </c>
    </row>
    <row r="39" spans="1:5" ht="15.75" customHeight="1" x14ac:dyDescent="0.35">
      <c r="A39" s="58" t="s">
        <v>141</v>
      </c>
      <c r="B39" t="str">
        <f>VLOOKUP(A39,'[1]Phân công'!$B$2:$K$259,7,FALSE)</f>
        <v>XẾP HẠNG TÍN NHIỆM CÁC NGÂN HÀNG THƯƠNG MẠI TẠI VIỆT NAM DỰA TRÊN CHỈ SỐ TÀI CHÍNH TỔNG HỢP</v>
      </c>
      <c r="C39" t="str">
        <f>VLOOKUP(A39,'[1]Phân công'!$B$2:$K$259,10,FALSE)</f>
        <v>https://drive.google.com/open?id=1Eh72Ph2M1E1oyxl12YcWeHNOexQk04dD</v>
      </c>
      <c r="D39" t="str">
        <f>VLOOKUP(A39,'[1]Phân công'!$B$2:$K$259,10,FALSE)</f>
        <v>https://drive.google.com/open?id=1Eh72Ph2M1E1oyxl12YcWeHNOexQk04dD</v>
      </c>
      <c r="E39" t="str">
        <f>VLOOKUP(A39,'[1]Phân công'!$B$2:$K$259,9,FALSE)</f>
        <v>Tiếng Việt</v>
      </c>
    </row>
    <row r="40" spans="1:5" ht="15.75" customHeight="1" x14ac:dyDescent="0.35">
      <c r="A40" s="58" t="s">
        <v>143</v>
      </c>
      <c r="B40" t="str">
        <f>VLOOKUP(A40,'[1]Phân công'!$B$2:$K$259,7,FALSE)</f>
        <v>ỨNG DỤNG MÁY HỌC TRONG CHẤM ĐIỂM RỦI RO QUÁ HẠN KHOẢN VAY TẠI BIDV - CHI NHÁNH THỦ DẦU MỘT</v>
      </c>
      <c r="C40" t="str">
        <f>VLOOKUP(A40,'[1]Phân công'!$B$2:$K$259,10,FALSE)</f>
        <v>https://drive.google.com/open?id=1i-hHqujFgTa7XcnC4VkcWos2AzaivvAI</v>
      </c>
      <c r="D40" t="str">
        <f>VLOOKUP(A40,'[1]Phân công'!$B$2:$K$259,10,FALSE)</f>
        <v>https://drive.google.com/open?id=1i-hHqujFgTa7XcnC4VkcWos2AzaivvAI</v>
      </c>
      <c r="E40" t="str">
        <f>VLOOKUP(A40,'[1]Phân công'!$B$2:$K$259,9,FALSE)</f>
        <v>Tiếng Việt</v>
      </c>
    </row>
    <row r="41" spans="1:5" ht="15.75" customHeight="1" x14ac:dyDescent="0.35">
      <c r="A41" s="58" t="s">
        <v>146</v>
      </c>
      <c r="B41" t="str">
        <f>VLOOKUP(A41,'[1]Phân công'!$B$2:$K$259,7,FALSE)</f>
        <v>ỨNG DỤNG MACHINE LEARNING TRONG DỰ BÁO ROA CỦA CÁC DOANH NGHIỆP PHI TÀI CHÍNH NIÊM YẾT TẠI VIỆT NAM GIAI ĐOẠN 2018–2024</v>
      </c>
      <c r="C41" t="str">
        <f>VLOOKUP(A41,'[1]Phân công'!$B$2:$K$259,10,FALSE)</f>
        <v>https://drive.google.com/open?id=1-rZ-ZucoaJauNbvzEgG6VPW2Kj9jqGPf</v>
      </c>
      <c r="D41" t="str">
        <f>VLOOKUP(A41,'[1]Phân công'!$B$2:$K$259,10,FALSE)</f>
        <v>https://drive.google.com/open?id=1-rZ-ZucoaJauNbvzEgG6VPW2Kj9jqGPf</v>
      </c>
      <c r="E41" t="str">
        <f>VLOOKUP(A41,'[1]Phân công'!$B$2:$K$259,9,FALSE)</f>
        <v>Tiếng Việt</v>
      </c>
    </row>
    <row r="42" spans="1:5" ht="16.5" x14ac:dyDescent="0.35">
      <c r="A42" s="58" t="s">
        <v>162</v>
      </c>
      <c r="B42" t="str">
        <f>VLOOKUP(A42,'[1]Phân công'!$B$2:$K$259,7,FALSE)</f>
        <v>PHÂN TÍCH CẢM XÚC CỦA NGƯỜI DÙNG BIDV MINI APP TRÊN NỀN TẢNG VNPAY BẰNG CÁC PHƯƠNG PHÁP HỌC MÁY</v>
      </c>
      <c r="C42" t="str">
        <f>VLOOKUP(A42,'[1]Phân công'!$B$2:$K$259,10,FALSE)</f>
        <v>https://drive.google.com/open?id=147hMUBO1QwgInt8wGO1akv-7fT6QoB1Y</v>
      </c>
      <c r="D42" t="str">
        <f>VLOOKUP(A42,'[1]Phân công'!$B$2:$K$259,10,FALSE)</f>
        <v>https://drive.google.com/open?id=147hMUBO1QwgInt8wGO1akv-7fT6QoB1Y</v>
      </c>
      <c r="E42" t="str">
        <f>VLOOKUP(A42,'[1]Phân công'!$B$2:$K$259,9,FALSE)</f>
        <v>Tiếng Việt</v>
      </c>
    </row>
    <row r="43" spans="1:5" ht="15.75" customHeight="1" x14ac:dyDescent="0.35">
      <c r="A43" s="58" t="s">
        <v>165</v>
      </c>
      <c r="B43" t="str">
        <f>VLOOKUP(A43,'[1]Phân công'!$B$2:$K$259,7,FALSE)</f>
        <v>ỨNG DỤNG HIỆP PHƯƠNG SAI CO RÚT LEDOIT-WOLF TRONG XÂY DỰNG PHÂN CỤM PHÂN CẤP:  BẰNG CHỨNG THỰC NGHIỆM TẠI THỊ TRƯỜNG CHỨNG KHOÁN VIỆT NAM</v>
      </c>
      <c r="C43" t="str">
        <f>VLOOKUP(A43,'[1]Phân công'!$B$2:$K$259,10,FALSE)</f>
        <v>https://drive.google.com/open?id=1NRsBqbjPhrPvWL20W2LELyZlz3Yvf3os</v>
      </c>
      <c r="D43" t="str">
        <f>VLOOKUP(A43,'[1]Phân công'!$B$2:$K$259,10,FALSE)</f>
        <v>https://drive.google.com/open?id=1NRsBqbjPhrPvWL20W2LELyZlz3Yvf3os</v>
      </c>
      <c r="E43" t="str">
        <f>VLOOKUP(A43,'[1]Phân công'!$B$2:$K$259,9,FALSE)</f>
        <v>Tiếng Việt</v>
      </c>
    </row>
    <row r="44" spans="1:5" ht="15.75" customHeight="1" x14ac:dyDescent="0.35">
      <c r="A44" s="58" t="s">
        <v>167</v>
      </c>
      <c r="B44" t="str">
        <f>VLOOKUP(A44,'[1]Phân công'!$B$2:$K$259,7,FALSE)</f>
        <v xml:space="preserve">ỨNG DỤNG HỌC MÁY KHÔNG GIÁM SÁT TRONG PHÂN TÍCH HÀNH VI GIÁ CỔ PHIẾU VÀ XÂY DỰNG DANH MỤC ĐẦU TƯ TRÊN THỊ TRƯỜNG CHỨNG KHOÁN VIỆT NAM </v>
      </c>
      <c r="C44" t="str">
        <f>VLOOKUP(A44,'[1]Phân công'!$B$2:$K$259,10,FALSE)</f>
        <v>https://drive.google.com/open?id=1go0o92OlcI3SdTEDYOnuqqRxwlTlr93z</v>
      </c>
      <c r="D44" t="str">
        <f>VLOOKUP(A44,'[1]Phân công'!$B$2:$K$259,10,FALSE)</f>
        <v>https://drive.google.com/open?id=1go0o92OlcI3SdTEDYOnuqqRxwlTlr93z</v>
      </c>
      <c r="E44" t="str">
        <f>VLOOKUP(A44,'[1]Phân công'!$B$2:$K$259,9,FALSE)</f>
        <v>Tiếng Việt</v>
      </c>
    </row>
    <row r="45" spans="1:5" ht="15.75" customHeight="1" x14ac:dyDescent="0.35">
      <c r="A45" s="58" t="s">
        <v>190</v>
      </c>
      <c r="B45" t="str">
        <f>VLOOKUP(A45,'[1]Phân công'!$B$2:$K$259,7,FALSE)</f>
        <v>ỨNG DỤNG MÔ HÌNH DEEP LEARNING ĐỂ TỐI ƯU HÓA DANH MỤC ĐẦU TƯ THEO TRẠNG THÁI RỦI RO THỊ TRƯỜNG</v>
      </c>
      <c r="C45" t="str">
        <f>VLOOKUP(A45,'[1]Phân công'!$B$2:$K$259,10,FALSE)</f>
        <v>https://drive.google.com/open?id=1iI6ZSutx79BM-umg-FzqYTGQMcj2PUne</v>
      </c>
      <c r="D45" t="str">
        <f>VLOOKUP(A45,'[1]Phân công'!$B$2:$K$259,10,FALSE)</f>
        <v>https://drive.google.com/open?id=1iI6ZSutx79BM-umg-FzqYTGQMcj2PUne</v>
      </c>
      <c r="E45" t="str">
        <f>VLOOKUP(A45,'[1]Phân công'!$B$2:$K$259,9,FALSE)</f>
        <v>Tiếng Việt</v>
      </c>
    </row>
    <row r="46" spans="1:5" ht="15.75" customHeight="1" x14ac:dyDescent="0.35">
      <c r="A46" s="58" t="s">
        <v>192</v>
      </c>
      <c r="B46" t="str">
        <f>VLOOKUP(A46,'[1]Phân công'!$B$2:$K$259,7,FALSE)</f>
        <v xml:space="preserve">ỨNG DỤNG GRAPH NEURAL NETWORK TRONG DỰ BÁO VÀ PHÂN TÍCH LAN TRUYỀN RỦI RO TÀI CHÍNH DOANH NGHIỆP TẠI VIỆT NAM </v>
      </c>
      <c r="C46" t="str">
        <f>VLOOKUP(A46,'[1]Phân công'!$B$2:$K$259,10,FALSE)</f>
        <v>https://drive.google.com/open?id=1U5K_-h0dv_c1uIKCkahKmWmzVeaTolni</v>
      </c>
      <c r="D46" t="str">
        <f>VLOOKUP(A46,'[1]Phân công'!$B$2:$K$259,10,FALSE)</f>
        <v>https://drive.google.com/open?id=1U5K_-h0dv_c1uIKCkahKmWmzVeaTolni</v>
      </c>
      <c r="E46" t="str">
        <f>VLOOKUP(A46,'[1]Phân công'!$B$2:$K$259,9,FALSE)</f>
        <v>Tiếng Việt</v>
      </c>
    </row>
    <row r="47" spans="1:5" ht="15.75" customHeight="1" x14ac:dyDescent="0.35">
      <c r="A47" s="58" t="s">
        <v>194</v>
      </c>
      <c r="B47" t="str">
        <f>VLOOKUP(A47,'[1]Phân công'!$B$2:$K$259,7,FALSE)</f>
        <v>XÂY DỰNG BẢNG ĐIỀU KHIỂN DANH MỤC ĐẦU TƯ TỐI ƯU THEO KHẨU VỊ RỦI RO"</v>
      </c>
      <c r="C47" t="str">
        <f>VLOOKUP(A47,'[1]Phân công'!$B$2:$K$259,10,FALSE)</f>
        <v>https://drive.google.com/open?id=1Zt3d2tQWoEksEjCQPYlZTMlOO3qvLmqo</v>
      </c>
      <c r="D47" t="str">
        <f>VLOOKUP(A47,'[1]Phân công'!$B$2:$K$259,10,FALSE)</f>
        <v>https://drive.google.com/open?id=1Zt3d2tQWoEksEjCQPYlZTMlOO3qvLmqo</v>
      </c>
      <c r="E47" t="str">
        <f>VLOOKUP(A47,'[1]Phân công'!$B$2:$K$259,9,FALSE)</f>
        <v>Tiếng Việt</v>
      </c>
    </row>
    <row r="48" spans="1:5" ht="15.75" customHeight="1" x14ac:dyDescent="0.35">
      <c r="A48" s="58" t="s">
        <v>197</v>
      </c>
      <c r="B48" t="str">
        <f>VLOOKUP(A48,'[1]Phân công'!$B$2:$K$259,7,FALSE)</f>
        <v>ỨNG DỤNG DỮ LIỆU GIAO DỊCH CỦA KHỐI NGOẠI TRONG DỰ BÁO XU HƯỚNG BIẾN ĐỘNG GIÁ CỔ PHIẾU TẠI THỊ TRƯỜNG CHỨNG KHOÁN VIỆT NAM</v>
      </c>
      <c r="C48" t="str">
        <f>VLOOKUP(A48,'[1]Phân công'!$B$2:$K$259,10,FALSE)</f>
        <v>https://drive.google.com/open?id=1u37wNTDv0xz4kVPM1Qmf0Iiq7zsN7KrC</v>
      </c>
      <c r="D48" t="str">
        <f>VLOOKUP(A48,'[1]Phân công'!$B$2:$K$259,10,FALSE)</f>
        <v>https://drive.google.com/open?id=1u37wNTDv0xz4kVPM1Qmf0Iiq7zsN7KrC</v>
      </c>
      <c r="E48" t="str">
        <f>VLOOKUP(A48,'[1]Phân công'!$B$2:$K$259,9,FALSE)</f>
        <v>Tiếng Việt</v>
      </c>
    </row>
    <row r="49" spans="1:5" ht="15.75" customHeight="1" x14ac:dyDescent="0.35">
      <c r="A49" s="58" t="s">
        <v>200</v>
      </c>
      <c r="B49" t="str">
        <f>VLOOKUP(A49,'[1]Phân công'!$B$2:$K$259,7,FALSE)</f>
        <v>NGHIÊN CỨU HIỆU QUẢ CỦA MÔ HÌNH LSTM  TRONG DỰ BÁO GIÁ CỔ PHIẾU VÀ ỨNG DỤNG VÀO  TỐI ƯU HÓA DANH MỤC ĐẦU TƯ: SO SÁNH PHƯƠNG  PHÁP EQUAL WEIGHT, MARKOWITZ VÀ HRP</v>
      </c>
      <c r="C49" t="str">
        <f>VLOOKUP(A49,'[1]Phân công'!$B$2:$K$259,10,FALSE)</f>
        <v>https://drive.google.com/open?id=1Chxfwa4KIr49Z8PxbGqkrfxzUTN_ciAO</v>
      </c>
      <c r="D49" t="str">
        <f>VLOOKUP(A49,'[1]Phân công'!$B$2:$K$259,10,FALSE)</f>
        <v>https://drive.google.com/open?id=1Chxfwa4KIr49Z8PxbGqkrfxzUTN_ciAO</v>
      </c>
      <c r="E49" t="str">
        <f>VLOOKUP(A49,'[1]Phân công'!$B$2:$K$259,9,FALSE)</f>
        <v>Tiếng Việt</v>
      </c>
    </row>
    <row r="50" spans="1:5" ht="15.75" customHeight="1" x14ac:dyDescent="0.35">
      <c r="A50" s="58" t="s">
        <v>202</v>
      </c>
      <c r="B50" t="str">
        <f>VLOOKUP(A50,'[1]Phân công'!$B$2:$K$259,7,FALSE)</f>
        <v>ỨNG DỤNG MACHINE LEARNING ĐỂ DỰ ĐOÁN QUYẾT ĐỊNH CHI TRẢ CỔ TỨC CỦA  CÁC DOANH NGHIỆP NIÊM YẾT TRÊN SÀN HOSE</v>
      </c>
      <c r="C50" t="str">
        <f>VLOOKUP(A50,'[1]Phân công'!$B$2:$K$259,10,FALSE)</f>
        <v>https://drive.google.com/open?id=1gBGPHVhSQscehQZeM2kMNvmmLUukyJ6f</v>
      </c>
      <c r="D50" t="str">
        <f>VLOOKUP(A50,'[1]Phân công'!$B$2:$K$259,10,FALSE)</f>
        <v>https://drive.google.com/open?id=1gBGPHVhSQscehQZeM2kMNvmmLUukyJ6f</v>
      </c>
      <c r="E50" t="str">
        <f>VLOOKUP(A50,'[1]Phân công'!$B$2:$K$259,9,FALSE)</f>
        <v>Tiếng Việt</v>
      </c>
    </row>
    <row r="51" spans="1:5" ht="15.75" customHeight="1" x14ac:dyDescent="0.35">
      <c r="A51" s="58" t="s">
        <v>204</v>
      </c>
      <c r="B51" t="str">
        <f>VLOOKUP(A51,'[1]Phân công'!$B$2:$K$259,7,FALSE)</f>
        <v>PHÂN TÍCH CẢM XÚC NGƯỜI DÙNG TỪ ĐÁNH GIÁ TRÊN ỨNG DỤNG NGÂN HÀNG SỐ VÀ MỐI LIÊN HỆ VỚI BIẾN ĐỘNG GIÁ CỔ PHIẾU NGÂN HÀNG TẠI VIỆT NAM</v>
      </c>
      <c r="C51" t="str">
        <f>VLOOKUP(A51,'[1]Phân công'!$B$2:$K$259,10,FALSE)</f>
        <v>https://drive.google.com/open?id=1Y1omWwEte0_-Bo5eVfaV1blqX1b6A2jt</v>
      </c>
      <c r="D51" t="str">
        <f>VLOOKUP(A51,'[1]Phân công'!$B$2:$K$259,10,FALSE)</f>
        <v>https://drive.google.com/open?id=1Y1omWwEte0_-Bo5eVfaV1blqX1b6A2jt</v>
      </c>
      <c r="E51" t="str">
        <f>VLOOKUP(A51,'[1]Phân công'!$B$2:$K$259,9,FALSE)</f>
        <v>Tiếng Việt</v>
      </c>
    </row>
    <row r="52" spans="1:5" ht="15.75" customHeight="1" x14ac:dyDescent="0.35">
      <c r="A52" s="58" t="s">
        <v>207</v>
      </c>
      <c r="B52" t="str">
        <f>VLOOKUP(A52,'[1]Phân công'!$B$2:$K$259,7,FALSE)</f>
        <v>PHÁT HIỆN SỰ CHUYỂN PHA TRẠNG THÁI THỊ TRƯỜNG CHỨNG KHOÁN VIỆT NAM BẰNG HỌC MÁY KHÔNG GIÁM SÁT VÀ MÔ HÌNH TRẠNG THÁI ẨN HIDDEN MARKOV MODEL</v>
      </c>
      <c r="C52" t="str">
        <f>VLOOKUP(A52,'[1]Phân công'!$B$2:$K$259,10,FALSE)</f>
        <v>https://drive.google.com/open?id=1HFZnhy3nirBh46hG9mOOdZOkmUDJt1ut</v>
      </c>
      <c r="D52" t="str">
        <f>VLOOKUP(A52,'[1]Phân công'!$B$2:$K$259,10,FALSE)</f>
        <v>https://drive.google.com/open?id=1HFZnhy3nirBh46hG9mOOdZOkmUDJt1ut</v>
      </c>
      <c r="E52" t="str">
        <f>VLOOKUP(A52,'[1]Phân công'!$B$2:$K$259,9,FALSE)</f>
        <v>Tiếng Việt</v>
      </c>
    </row>
    <row r="53" spans="1:5" ht="15.75" customHeight="1" x14ac:dyDescent="0.35">
      <c r="A53" s="58" t="s">
        <v>210</v>
      </c>
      <c r="B53" t="str">
        <f>VLOOKUP(A53,'[1]Phân công'!$B$2:$K$259,7,FALSE)</f>
        <v>ỨNG DỤNG THUẬT TOÁN PHÂN CỤM TRONG XÂY DỰNG MÔ HÌNH CHẤM ĐIỂM TÍN  DỤNG DOANH NGHIỆP</v>
      </c>
      <c r="C53" t="str">
        <f>VLOOKUP(A53,'[1]Phân công'!$B$2:$K$259,10,FALSE)</f>
        <v>https://drive.google.com/open?id=192cNv33ABUm8Z5LICz_76AKJv5OesCV5</v>
      </c>
      <c r="D53" t="str">
        <f>VLOOKUP(A53,'[1]Phân công'!$B$2:$K$259,10,FALSE)</f>
        <v>https://drive.google.com/open?id=192cNv33ABUm8Z5LICz_76AKJv5OesCV5</v>
      </c>
      <c r="E53" t="str">
        <f>VLOOKUP(A53,'[1]Phân công'!$B$2:$K$259,9,FALSE)</f>
        <v>Tiếng Việt</v>
      </c>
    </row>
    <row r="54" spans="1:5" ht="15.75" customHeight="1" x14ac:dyDescent="0.35">
      <c r="A54" s="58" t="s">
        <v>212</v>
      </c>
      <c r="B54" t="str">
        <f>VLOOKUP(A54,'[1]Phân công'!$B$2:$K$259,7,FALSE)</f>
        <v>MOMENTUM TRADING IN CRYPTOCURRENCY MARKETS: A MACHINE LEARNING APPROACH WITH RISK ANALYSIS</v>
      </c>
      <c r="C54" t="str">
        <f>VLOOKUP(A54,'[1]Phân công'!$B$2:$K$259,10,FALSE)</f>
        <v>https://drive.google.com/open?id=1tR2s-a6yp1tI3UwCqoQM1JtMs3qLNzFm</v>
      </c>
      <c r="D54" t="str">
        <f>VLOOKUP(A54,'[1]Phân công'!$B$2:$K$259,10,FALSE)</f>
        <v>https://drive.google.com/open?id=1tR2s-a6yp1tI3UwCqoQM1JtMs3qLNzFm</v>
      </c>
      <c r="E54" t="str">
        <f>VLOOKUP(A54,'[1]Phân công'!$B$2:$K$259,9,FALSE)</f>
        <v>Tiếng Anh</v>
      </c>
    </row>
    <row r="55" spans="1:5" ht="15.75" customHeight="1" x14ac:dyDescent="0.35">
      <c r="A55" s="58" t="s">
        <v>214</v>
      </c>
      <c r="B55" t="str">
        <f>VLOOKUP(A55,'[1]Phân công'!$B$2:$K$259,7,FALSE)</f>
        <v>UNVEILING HIDDEN FINANCIAL STATEMENT FRAUD THROUGH WEAK SUPERVISION AND DYNAMIC ENSEMBLE SELECTION: EVIDENCE FROM VIETNAM</v>
      </c>
      <c r="C55" t="str">
        <f>VLOOKUP(A55,'[1]Phân công'!$B$2:$K$259,10,FALSE)</f>
        <v>https://drive.google.com/open?id=1XohfkH1kyZdLJBcurOVOABNzd9VZckoM</v>
      </c>
      <c r="D55" t="str">
        <f>VLOOKUP(A55,'[1]Phân công'!$B$2:$K$259,10,FALSE)</f>
        <v>https://drive.google.com/open?id=1XohfkH1kyZdLJBcurOVOABNzd9VZckoM</v>
      </c>
      <c r="E55" t="str">
        <f>VLOOKUP(A55,'[1]Phân công'!$B$2:$K$259,9,FALSE)</f>
        <v>Tiếng Anh</v>
      </c>
    </row>
    <row r="56" spans="1:5" ht="15.75" customHeight="1" x14ac:dyDescent="0.35">
      <c r="A56" s="58" t="s">
        <v>216</v>
      </c>
      <c r="B56" t="str">
        <f>VLOOKUP(A56,'[1]Phân công'!$B$2:$K$259,7,FALSE)</f>
        <v xml:space="preserve">DỰ BÁO XÁC SUẤT VỠ NỢ (PD) CHO KHOẢN VAY THẾ CHẤP GIAI ĐOẠN 2020–2023 VÀ HÀM Ý QUẢN TRỊ RỦI RO TÍN DỤNG </v>
      </c>
      <c r="C56" t="str">
        <f>VLOOKUP(A56,'[1]Phân công'!$B$2:$K$259,10,FALSE)</f>
        <v>https://drive.google.com/open?id=13tiQizfrzO5NHU9rj9NYOM5AuvZbj0jq&amp;usp=drive_fs</v>
      </c>
      <c r="D56" t="str">
        <f>VLOOKUP(A56,'[1]Phân công'!$B$2:$K$259,10,FALSE)</f>
        <v>https://drive.google.com/open?id=13tiQizfrzO5NHU9rj9NYOM5AuvZbj0jq&amp;usp=drive_fs</v>
      </c>
      <c r="E56" t="str">
        <f>VLOOKUP(A56,'[1]Phân công'!$B$2:$K$259,9,FALSE)</f>
        <v>Tiếng Việt</v>
      </c>
    </row>
    <row r="57" spans="1:5" ht="15.75" customHeight="1" x14ac:dyDescent="0.35">
      <c r="A57" s="58" t="s">
        <v>218</v>
      </c>
      <c r="B57" t="str">
        <f>VLOOKUP(A57,'[1]Phân công'!$B$2:$K$259,7,FALSE)</f>
        <v>UNVEILING NON-LINEAR DYNAMICS: HOW ECONOMIC POLICY  UNCERTAINTY IMPACTS MANUFACTURING STOCK RETURNS THROUGH XGBOOST AND  RANDOM FOREST ANALYSIS.</v>
      </c>
      <c r="C57" t="str">
        <f>VLOOKUP(A57,'[1]Phân công'!$B$2:$K$259,10,FALSE)</f>
        <v>https://drive.google.com/open?id=1BXrXuHjaYZJeGqw9UA-qrMNj4p-OSff8</v>
      </c>
      <c r="D57" t="str">
        <f>VLOOKUP(A57,'[1]Phân công'!$B$2:$K$259,10,FALSE)</f>
        <v>https://drive.google.com/open?id=1BXrXuHjaYZJeGqw9UA-qrMNj4p-OSff8</v>
      </c>
      <c r="E57" t="str">
        <f>VLOOKUP(A57,'[1]Phân công'!$B$2:$K$259,9,FALSE)</f>
        <v>Tiếng Anh</v>
      </c>
    </row>
    <row r="58" spans="1:5" ht="15.75" customHeight="1" x14ac:dyDescent="0.35">
      <c r="A58" s="58" t="s">
        <v>220</v>
      </c>
      <c r="B58" t="str">
        <f>VLOOKUP(A58,'[1]Phân công'!$B$2:$K$259,7,FALSE)</f>
        <v xml:space="preserve">REGIME-SWITCHING ANALYSIS OF THE VIETNAMESE STOCK MARKET: BENCHMARKING CLASSICAL MODELS AND A HYBRID LATENT FRAMEWORK </v>
      </c>
      <c r="C58" t="str">
        <f>VLOOKUP(A58,'[1]Phân công'!$B$2:$K$259,10,FALSE)</f>
        <v>https://drive.google.com/open?id=14KHr1oKnpdzF5_09SOuwK-O0zfLjJslG</v>
      </c>
      <c r="D58" t="str">
        <f>VLOOKUP(A58,'[1]Phân công'!$B$2:$K$259,10,FALSE)</f>
        <v>https://drive.google.com/open?id=14KHr1oKnpdzF5_09SOuwK-O0zfLjJslG</v>
      </c>
      <c r="E58" t="str">
        <f>VLOOKUP(A58,'[1]Phân công'!$B$2:$K$259,9,FALSE)</f>
        <v>Tiếng Anh</v>
      </c>
    </row>
    <row r="59" spans="1:5" ht="15.75" customHeight="1" x14ac:dyDescent="0.35">
      <c r="A59" s="58" t="s">
        <v>222</v>
      </c>
      <c r="B59" t="str">
        <f>VLOOKUP(A59,'[1]Phân công'!$B$2:$K$259,7,FALSE)</f>
        <v>DỰ BÁO BIẾN ĐỘNG CÁC MÃ CỔ PHIẾU CỦA THỊ TRƯỜNG VIỆT NAM BẰNG MÔ HÌNH GARCH TĂNG CƯỜNG HỌC SÂU LSTM VỚI THÔNG TIN THỊ TRƯỜNG VÀ SENTIMENT TIN TỨC</v>
      </c>
      <c r="C59" t="str">
        <f>VLOOKUP(A59,'[1]Phân công'!$B$2:$K$259,10,FALSE)</f>
        <v>https://drive.google.com/open?id=1Zmv0pbvytBv__aLOHzeoDpxFwoaE6qxZ</v>
      </c>
      <c r="D59" t="str">
        <f>VLOOKUP(A59,'[1]Phân công'!$B$2:$K$259,10,FALSE)</f>
        <v>https://drive.google.com/open?id=1Zmv0pbvytBv__aLOHzeoDpxFwoaE6qxZ</v>
      </c>
      <c r="E59" t="str">
        <f>VLOOKUP(A59,'[1]Phân công'!$B$2:$K$259,9,FALSE)</f>
        <v>Tiếng Việt</v>
      </c>
    </row>
    <row r="60" spans="1:5" ht="15.75" customHeight="1" x14ac:dyDescent="0.35">
      <c r="A60" s="58" t="s">
        <v>225</v>
      </c>
      <c r="B60" t="str">
        <f>VLOOKUP(A60,'[1]Phân công'!$B$2:$K$259,7,FALSE)</f>
        <v>XÂY DỰNG MÔ HÌNH DỰ BÁO GIÁ ĐÓNG CỬA NGẮN HẠN CHO CÁC MÃ CỔ PHIẾU THUỘC VN30 BẰNG DEEP LEARNING VÀ ỨNG DỤNG TRONG HỆ THỐNG HỖ TRỢ GIAO DỊCH FINTECH</v>
      </c>
      <c r="C60" t="str">
        <f>VLOOKUP(A60,'[1]Phân công'!$B$2:$K$259,10,FALSE)</f>
        <v>https://drive.google.com/open?id=1Jc-UMnspQBNZr0Nbb25qrUlnyEfUSwVu</v>
      </c>
      <c r="D60" t="str">
        <f>VLOOKUP(A60,'[1]Phân công'!$B$2:$K$259,10,FALSE)</f>
        <v>https://drive.google.com/open?id=1Jc-UMnspQBNZr0Nbb25qrUlnyEfUSwVu</v>
      </c>
      <c r="E60" t="str">
        <f>VLOOKUP(A60,'[1]Phân công'!$B$2:$K$259,9,FALSE)</f>
        <v>Tiếng Việt</v>
      </c>
    </row>
    <row r="61" spans="1:5" ht="15.75" customHeight="1" x14ac:dyDescent="0.35">
      <c r="A61" s="58" t="s">
        <v>228</v>
      </c>
      <c r="B61" t="str">
        <f>VLOOKUP(A61,'[1]Phân công'!$B$2:$K$259,7,FALSE)</f>
        <v>DỰ BÁO BIẾN ĐỘNG LỢI NHUẬN VÀ RỦI RO SUY GIẢM LỢI NHUẬN CỦA CÁC DOANH NGHIỆP NIÊM YẾT PHI TÀI CHÍNH TẠI VIỆT NAM BẰNG HỌC MÁY</v>
      </c>
      <c r="C61" t="str">
        <f>VLOOKUP(A61,'[1]Phân công'!$B$2:$K$259,10,FALSE)</f>
        <v>https://drive.google.com/open?id=1dJq_RVgjBeEYnc_ImqAGy9-JBEjabtLd</v>
      </c>
      <c r="D61" t="str">
        <f>VLOOKUP(A61,'[1]Phân công'!$B$2:$K$259,10,FALSE)</f>
        <v>https://drive.google.com/open?id=1dJq_RVgjBeEYnc_ImqAGy9-JBEjabtLd</v>
      </c>
      <c r="E61" t="str">
        <f>VLOOKUP(A61,'[1]Phân công'!$B$2:$K$259,9,FALSE)</f>
        <v>Tiếng Việt</v>
      </c>
    </row>
    <row r="62" spans="1:5" ht="15.75" customHeight="1" x14ac:dyDescent="0.35">
      <c r="A62" s="58" t="s">
        <v>231</v>
      </c>
      <c r="B62" t="str">
        <f>VLOOKUP(A62,'[1]Phân công'!$B$2:$K$259,7,FALSE)</f>
        <v>ỨNG DỤNG MACHINE LEARNING TRONG DỰ BÁO RỦI RO THANH KHOẢN CỦA NGÂN HÀNG THƯƠNG MẠI TẠI VIỆT NAM</v>
      </c>
      <c r="C62" t="str">
        <f>VLOOKUP(A62,'[1]Phân công'!$B$2:$K$259,10,FALSE)</f>
        <v>https://drive.google.com/open?id=1h_mZeupS44TgPflfSEpuY_s05KHp6vlX</v>
      </c>
      <c r="D62" t="str">
        <f>VLOOKUP(A62,'[1]Phân công'!$B$2:$K$259,10,FALSE)</f>
        <v>https://drive.google.com/open?id=1h_mZeupS44TgPflfSEpuY_s05KHp6vlX</v>
      </c>
      <c r="E62" t="str">
        <f>VLOOKUP(A62,'[1]Phân công'!$B$2:$K$259,9,FALSE)</f>
        <v>Tiếng Việt</v>
      </c>
    </row>
    <row r="63" spans="1:5" ht="15.75" customHeight="1" x14ac:dyDescent="0.35">
      <c r="A63" s="58" t="s">
        <v>234</v>
      </c>
      <c r="B63" t="str">
        <f>VLOOKUP(A63,'[1]Phân công'!$B$2:$K$259,7,FALSE)</f>
        <v>QUANTVN STRATEGY FORGE: THIẾT KẾ VÀ TRIỂN KHAI NỀN TẢNG PHÂN TÍCH ĐỊNH LƯỢNG HỖ TRỢ XÂY DỰNG CHIẾN LƯỢC GIAO DỊCH VÀ KIỂM ĐỊNH QUÁ KHỨ TRÊN THỊ TRƯỜNG CỔ PHIẾU VIỆT NAM (HOSE)</v>
      </c>
      <c r="C63" t="str">
        <f>VLOOKUP(A63,'[1]Phân công'!$B$2:$K$259,10,FALSE)</f>
        <v>https://drive.google.com/open?id=17R1d5-5pxA0Ba0AC7kKHNbZKHZrnAYss</v>
      </c>
      <c r="D63" t="str">
        <f>VLOOKUP(A63,'[1]Phân công'!$B$2:$K$259,10,FALSE)</f>
        <v>https://drive.google.com/open?id=17R1d5-5pxA0Ba0AC7kKHNbZKHZrnAYss</v>
      </c>
      <c r="E63" t="str">
        <f>VLOOKUP(A63,'[1]Phân công'!$B$2:$K$259,9,FALSE)</f>
        <v>Tiếng Việt</v>
      </c>
    </row>
    <row r="64" spans="1:5" ht="15.75" customHeight="1" x14ac:dyDescent="0.35">
      <c r="A64" s="58" t="s">
        <v>236</v>
      </c>
      <c r="B64" t="str">
        <f>VLOOKUP(A64,'[1]Phân công'!$B$2:$K$259,7,FALSE)</f>
        <v>PHÂN TÍCH CÁC YẾU TỐ TÁC ĐỘNG ĐẾN CĂNG THẲNG TÀI CHÍNH CỦA DOANH NGHIỆP NGÀNH NGUYÊN VẬT LIỆU NIÊM YẾT TRÊN SỞ GIAO DỊCH CHỨNG KHOÁN TP. HỒ CHÍ MINH GIAI ĐOẠN 2014–2024</v>
      </c>
      <c r="C64" t="str">
        <f>VLOOKUP(A64,'[1]Phân công'!$B$2:$K$259,10,FALSE)</f>
        <v>https://drive.google.com/open?id=18QfMm1Jj2t20BOVXKpXpIhlVpP8jeB7H</v>
      </c>
      <c r="D64" t="str">
        <f>VLOOKUP(A64,'[1]Phân công'!$B$2:$K$259,10,FALSE)</f>
        <v>https://drive.google.com/open?id=18QfMm1Jj2t20BOVXKpXpIhlVpP8jeB7H</v>
      </c>
      <c r="E64" t="str">
        <f>VLOOKUP(A64,'[1]Phân công'!$B$2:$K$259,9,FALSE)</f>
        <v>Tiếng Việt</v>
      </c>
    </row>
    <row r="65" spans="1:5" ht="15.75" customHeight="1" x14ac:dyDescent="0.35">
      <c r="A65" s="58" t="s">
        <v>239</v>
      </c>
      <c r="B65" t="str">
        <f>VLOOKUP(A65,'[1]Phân công'!$B$2:$K$259,7,FALSE)</f>
        <v>PHÂN TÍCH HIỆU SUẤT TÀI CHÍNH VÀ CHI PHÍ CƠ HỘI CỦA DANH MỤC ĐẦU TƯ TÍCH HỢP TIÊU CHÍ ESG TẠI THỊ TRƯỜNG CHỨNG KHOÁN VIỆT NAM: TIẾP CẬN TỪ MÔ HÌNH MARKOWITZ VÀ THUẬT TOÁN NSGA-II</v>
      </c>
      <c r="C65" t="str">
        <f>VLOOKUP(A65,'[1]Phân công'!$B$2:$K$259,10,FALSE)</f>
        <v>https://drive.google.com/open?id=1xSfqh-DHR1Rawo8iMrafNTP9XhVOIfBZ</v>
      </c>
      <c r="D65" t="str">
        <f>VLOOKUP(A65,'[1]Phân công'!$B$2:$K$259,10,FALSE)</f>
        <v>https://drive.google.com/open?id=1xSfqh-DHR1Rawo8iMrafNTP9XhVOIfBZ</v>
      </c>
      <c r="E65" t="str">
        <f>VLOOKUP(A65,'[1]Phân công'!$B$2:$K$259,9,FALSE)</f>
        <v>Tiếng Việt</v>
      </c>
    </row>
    <row r="66" spans="1:5" ht="15.75" customHeight="1" x14ac:dyDescent="0.35">
      <c r="A66" s="58" t="s">
        <v>242</v>
      </c>
      <c r="B66" t="str">
        <f>VLOOKUP(A66,'[1]Phân công'!$B$2:$K$259,7,FALSE)</f>
        <v>ỨNG DỤNG MACHINE LEARNING TRONG XÂY DỰNG HỆ THỐNG DỰ BÁO RỦI RO CỔ PHIẾU TRÊN THỊ TRƯỜNG CHỨNG KHOÁN VIỆT NAM</v>
      </c>
      <c r="C66" t="str">
        <f>VLOOKUP(A66,'[1]Phân công'!$B$2:$K$259,10,FALSE)</f>
        <v>https://drive.google.com/open?id=1pV3dCYZAj-pE5bgCdYuZjTNK9r2yHBLF</v>
      </c>
      <c r="D66" t="str">
        <f>VLOOKUP(A66,'[1]Phân công'!$B$2:$K$259,10,FALSE)</f>
        <v>https://drive.google.com/open?id=1pV3dCYZAj-pE5bgCdYuZjTNK9r2yHBLF</v>
      </c>
      <c r="E66" t="str">
        <f>VLOOKUP(A66,'[1]Phân công'!$B$2:$K$259,9,FALSE)</f>
        <v>Tiếng Việt</v>
      </c>
    </row>
    <row r="67" spans="1:5" ht="15.75" customHeight="1" x14ac:dyDescent="0.35">
      <c r="A67" s="58" t="s">
        <v>244</v>
      </c>
      <c r="B67" t="str">
        <f>VLOOKUP(A67,'[1]Phân công'!$B$2:$K$259,7,FALSE)</f>
        <v>XÂY DỰNG TRỢ LÝ HỖ TRỢ NGHIỆP VỤ NGÂN HÀNG DỰA TRÊN MÔ HÌNH RAG VÀ KỸ THUẬT OCR TRONG XỬ LÝ VĂN BẢN</v>
      </c>
      <c r="C67" t="str">
        <f>VLOOKUP(A67,'[1]Phân công'!$B$2:$K$259,10,FALSE)</f>
        <v>https://drive.google.com/open?id=1-CkXnJchq4dIj2pgPHRfaPhDXGfLlDB_</v>
      </c>
      <c r="D67" t="str">
        <f>VLOOKUP(A67,'[1]Phân công'!$B$2:$K$259,10,FALSE)</f>
        <v>https://drive.google.com/open?id=1-CkXnJchq4dIj2pgPHRfaPhDXGfLlDB_</v>
      </c>
      <c r="E67" t="str">
        <f>VLOOKUP(A67,'[1]Phân công'!$B$2:$K$259,9,FALSE)</f>
        <v>Tiếng Việt</v>
      </c>
    </row>
    <row r="68" spans="1:5" ht="15.75" customHeight="1" x14ac:dyDescent="0.35">
      <c r="A68" s="58" t="s">
        <v>246</v>
      </c>
      <c r="B68" t="str">
        <f>VLOOKUP(A68,'[1]Phân công'!$B$2:$K$259,7,FALSE)</f>
        <v xml:space="preserve">XÂY DỰNG HỆ THỐNG CẢNH BÁO SỚM TÌNH TRẠNG KIỆT QUỆ TÀI CHÍNH ĐỐI VỚI CÁC DOANH NGHIỆP PHI TÀI CHÍNH NIÊM YẾT TRÊN SỞ GIAO DỊCH CHỨNG KHOÁN TP. HỒ CHÍ MINH (HOSE) GIAI ĐOẠN 2014-2024 BẰNG DASHBOARD ỨNG DỤNG STREAMLIT </v>
      </c>
      <c r="C68" t="str">
        <f>VLOOKUP(A68,'[1]Phân công'!$B$2:$K$259,10,FALSE)</f>
        <v>https://drive.google.com/open?id=1yJA-6axgvCBgcGCVhqRZMQCfZNVEc6yw</v>
      </c>
      <c r="D68" t="str">
        <f>VLOOKUP(A68,'[1]Phân công'!$B$2:$K$259,10,FALSE)</f>
        <v>https://drive.google.com/open?id=1yJA-6axgvCBgcGCVhqRZMQCfZNVEc6yw</v>
      </c>
      <c r="E68" t="str">
        <f>VLOOKUP(A68,'[1]Phân công'!$B$2:$K$259,9,FALSE)</f>
        <v>Tiếng Việt</v>
      </c>
    </row>
    <row r="69" spans="1:5" ht="15.75" customHeight="1" x14ac:dyDescent="0.35">
      <c r="A69" s="58" t="s">
        <v>248</v>
      </c>
      <c r="B69" t="str">
        <f>VLOOKUP(A69,'[1]Phân công'!$B$2:$K$259,7,FALSE)</f>
        <v>ỨNG DỤNG MÔ HÌNH MEAN - VARIANCE VÀ HIERARCHICAL RISK PARITY TRONG PHÂN BỔ DANH MỤC CỔ PHIẾU TẠI THỊ TRƯỜNG CHỨNG KHOÁN VIỆT NAM</v>
      </c>
      <c r="C69" t="str">
        <f>VLOOKUP(A69,'[1]Phân công'!$B$2:$K$259,10,FALSE)</f>
        <v>https://drive.google.com/open?id=1u_Y61HKiFIFxBoTp3KxWmkF3T5WpVdB7</v>
      </c>
      <c r="D69" t="str">
        <f>VLOOKUP(A69,'[1]Phân công'!$B$2:$K$259,10,FALSE)</f>
        <v>https://drive.google.com/open?id=1u_Y61HKiFIFxBoTp3KxWmkF3T5WpVdB7</v>
      </c>
      <c r="E69" t="str">
        <f>VLOOKUP(A69,'[1]Phân công'!$B$2:$K$259,9,FALSE)</f>
        <v>Tiếng Việt</v>
      </c>
    </row>
    <row r="70" spans="1:5" ht="15.75" customHeight="1" x14ac:dyDescent="0.35">
      <c r="A70" s="58" t="s">
        <v>297</v>
      </c>
      <c r="B70" t="str">
        <f>VLOOKUP(A70,'[1]Phân công'!$B$2:$K$259,7,FALSE)</f>
        <v>ỨNG DỤNG DEEP REINFORCEMENT LEARNING  TRONG TỐI ƯU HÓA DANH MỤC ĐẦU TƯ CHỨNG KHOÁN Ở THỊ TRƯỜNG VIỆT NAM</v>
      </c>
      <c r="C70" t="str">
        <f>VLOOKUP(A70,'[1]Phân công'!$B$2:$K$259,10,FALSE)</f>
        <v>https://drive.google.com/open?id=1aJPIQHdorWx-XkNR5_DSy0bwEaBsmtgU</v>
      </c>
      <c r="D70" t="str">
        <f>VLOOKUP(A70,'[1]Phân công'!$B$2:$K$259,10,FALSE)</f>
        <v>https://drive.google.com/open?id=1aJPIQHdorWx-XkNR5_DSy0bwEaBsmtgU</v>
      </c>
      <c r="E70" t="str">
        <f>VLOOKUP(A70,'[1]Phân công'!$B$2:$K$259,9,FALSE)</f>
        <v>Tiếng Việt</v>
      </c>
    </row>
    <row r="71" spans="1:5" ht="15.75" customHeight="1" x14ac:dyDescent="0.35">
      <c r="A71" s="58" t="s">
        <v>299</v>
      </c>
      <c r="B71" t="str">
        <f>VLOOKUP(A71,'[1]Phân công'!$B$2:$K$259,7,FALSE)</f>
        <v>ỨNG DỤNG MÔ HÌNH HEDONIC VÀ MACHINE LEARNING TRONG PHÂN TÍCH CÁC YẾU TỐ ẢNH HƯỞNG ĐẾN GIÁ CĂN HỘ CHUNG CƯ TẠI TP.HCM</v>
      </c>
      <c r="C71" t="str">
        <f>VLOOKUP(A71,'[1]Phân công'!$B$2:$K$259,10,FALSE)</f>
        <v>https://drive.google.com/open?id=1rqbS8g3SruQRRw9kpmc5kXg9tKJVEn5h</v>
      </c>
      <c r="D71" t="str">
        <f>VLOOKUP(A71,'[1]Phân công'!$B$2:$K$259,10,FALSE)</f>
        <v>https://drive.google.com/open?id=1rqbS8g3SruQRRw9kpmc5kXg9tKJVEn5h</v>
      </c>
      <c r="E71" t="str">
        <f>VLOOKUP(A71,'[1]Phân công'!$B$2:$K$259,9,FALSE)</f>
        <v>Tiếng Việt</v>
      </c>
    </row>
    <row r="72" spans="1:5" ht="15.75" customHeight="1" x14ac:dyDescent="0.35">
      <c r="A72" s="58" t="s">
        <v>301</v>
      </c>
      <c r="B72" t="str">
        <f>VLOOKUP(A72,'[1]Phân công'!$B$2:$K$259,7,FALSE)</f>
        <v>ỨNG DỤNG MÔ HÌNH HỌC SÂU LAI LSTM-GRU TRONG DỰ BÁO ĐIỂM ĐẢO CHIỀU XU HƯỚNG CỔ PHIẾU: THỰC NGHIỆM TẠI THỊ TRƯỜNG CHỨNG KHOÁN VIỆT NAM</v>
      </c>
      <c r="C72" t="str">
        <f>VLOOKUP(A72,'[1]Phân công'!$B$2:$K$259,10,FALSE)</f>
        <v>https://drive.google.com/open?id=1apeGzQjqsRX5_mRKHRLphzoZ5xItuB0T</v>
      </c>
      <c r="D72" t="str">
        <f>VLOOKUP(A72,'[1]Phân công'!$B$2:$K$259,10,FALSE)</f>
        <v>https://drive.google.com/open?id=1apeGzQjqsRX5_mRKHRLphzoZ5xItuB0T</v>
      </c>
      <c r="E72" t="str">
        <f>VLOOKUP(A72,'[1]Phân công'!$B$2:$K$259,9,FALSE)</f>
        <v>Tiếng Việt</v>
      </c>
    </row>
    <row r="73" spans="1:5" ht="15.75" customHeight="1" x14ac:dyDescent="0.35">
      <c r="A73" s="58" t="s">
        <v>358</v>
      </c>
      <c r="B73" t="str">
        <f>VLOOKUP(A73,'[1]Phân công'!$B$2:$K$259,7,FALSE)</f>
        <v>XÂY DỰNG VÀ SO SÁNH HIỆU QUẢ DANH MỤC ĐẦU TƯ THEO MÔ HÌNH MARKOWITZ VÀ DOWNSIDE RISK TRÊN RỔ CỔ PHIẾU VN100 KẾT HỢP KỸ THUẬT PHÂN CỤM</v>
      </c>
      <c r="C73" t="str">
        <f>VLOOKUP(A73,'[1]Phân công'!$B$2:$K$259,10,FALSE)</f>
        <v>https://drive.google.com/open?id=1HBe6sKVWo57SYNJmGwuMlghonFnmX4hz</v>
      </c>
      <c r="D73" t="str">
        <f>VLOOKUP(A73,'[1]Phân công'!$B$2:$K$259,10,FALSE)</f>
        <v>https://drive.google.com/open?id=1HBe6sKVWo57SYNJmGwuMlghonFnmX4hz</v>
      </c>
      <c r="E73" t="str">
        <f>VLOOKUP(A73,'[1]Phân công'!$B$2:$K$259,9,FALSE)</f>
        <v>Tiếng Việt</v>
      </c>
    </row>
    <row r="74" spans="1:5" ht="15.75" customHeight="1" x14ac:dyDescent="0.35">
      <c r="A74" s="58" t="s">
        <v>360</v>
      </c>
      <c r="B74" t="str">
        <f>VLOOKUP(A74,'[1]Phân công'!$B$2:$K$259,7,FALSE)</f>
        <v>APPLYING MACHINE LEARNING TO ASSESS  FINANCIAL RISK OF VIETNAMESE LISTED FIRMS  USING CLASSICAL BANKRUPTCY MODELS  AND PRICE-BASED RISK MEASURES</v>
      </c>
      <c r="C74" t="str">
        <f>VLOOKUP(A74,'[1]Phân công'!$B$2:$K$259,10,FALSE)</f>
        <v>https://drive.google.com/open?id=1j0SOYbvN-zT3wki1_Soaju3X2FjgX1mG</v>
      </c>
      <c r="D74" t="str">
        <f>VLOOKUP(A74,'[1]Phân công'!$B$2:$K$259,10,FALSE)</f>
        <v>https://drive.google.com/open?id=1j0SOYbvN-zT3wki1_Soaju3X2FjgX1mG</v>
      </c>
      <c r="E74" t="str">
        <f>VLOOKUP(A74,'[1]Phân công'!$B$2:$K$259,9,FALSE)</f>
        <v>Tiếng Anh</v>
      </c>
    </row>
    <row r="75" spans="1:5" ht="15.75" customHeight="1" x14ac:dyDescent="0.25">
      <c r="A75" s="59" t="s">
        <v>362</v>
      </c>
      <c r="B75" t="str">
        <f>VLOOKUP(A75,'[1]Phân công'!$B$2:$K$259,7,FALSE)</f>
        <v>ỨNG DỤNG MÁY HỌC TRONG PHÂN TÍCH  CẢM XÚC THỊ TRƯỜNG ĐỂ DỰ BÁO GIÁ CỔ PHIẾU VIỆT NAM</v>
      </c>
      <c r="C75" t="str">
        <f>VLOOKUP(A75,'[1]Phân công'!$B$2:$K$259,10,FALSE)</f>
        <v>https://drive.google.com/open?id=1Kuz9QfEauikGIqe7-RKIIw7OON_RD5b9&amp;usp=drive_fs</v>
      </c>
      <c r="D75" t="str">
        <f>VLOOKUP(A75,'[1]Phân công'!$B$2:$K$259,10,FALSE)</f>
        <v>https://drive.google.com/open?id=1Kuz9QfEauikGIqe7-RKIIw7OON_RD5b9&amp;usp=drive_fs</v>
      </c>
      <c r="E75" t="str">
        <f>VLOOKUP(A75,'[1]Phân công'!$B$2:$K$259,9,FALSE)</f>
        <v>Tiếng Việt</v>
      </c>
    </row>
    <row r="76" spans="1:5" ht="15.75" customHeight="1" x14ac:dyDescent="0.35">
      <c r="A76" s="58" t="s">
        <v>364</v>
      </c>
      <c r="B76" t="str">
        <f>VLOOKUP(A76,'[1]Phân công'!$B$2:$K$259,7,FALSE)</f>
        <v>ỨNG DỤNG THUẬT TOÁN K-MEANS TRONG VIỆC PHÂN NHÓM CỔ PHIẾU VÀ TẠO LẬP DANH MỤC ĐẦU TƯ.</v>
      </c>
      <c r="C76" t="str">
        <f>VLOOKUP(A76,'[1]Phân công'!$B$2:$K$259,10,FALSE)</f>
        <v>https://drive.google.com/open?id=1w1FE9h3C8odNYERPJndNdr2Ljho940r2</v>
      </c>
      <c r="D76" t="str">
        <f>VLOOKUP(A76,'[1]Phân công'!$B$2:$K$259,10,FALSE)</f>
        <v>https://drive.google.com/open?id=1w1FE9h3C8odNYERPJndNdr2Ljho940r2</v>
      </c>
      <c r="E76" t="str">
        <f>VLOOKUP(A76,'[1]Phân công'!$B$2:$K$259,9,FALSE)</f>
        <v>Tiếng Việt</v>
      </c>
    </row>
    <row r="77" spans="1:5" ht="15.75" customHeight="1" x14ac:dyDescent="0.35">
      <c r="A77" s="58" t="s">
        <v>367</v>
      </c>
      <c r="B77" t="str">
        <f>VLOOKUP(A77,'[1]Phân công'!$B$2:$K$259,7,FALSE)</f>
        <v>THIẾT KẾ VÀ TRIỂN KHAI HỆ THỐNG GIAO DỊCH ĐỊNH LƯỢNG THÍCH NGHI (ADAPTIVE) TRÊN THỊ TRƯỜNG TIỀN MÃ HÓA ỨNG DỤNG BỘ LỌC KALMAN VÀ TỐI ƯU HÓA DANH MỤC THEO KELLY CRITERION</v>
      </c>
      <c r="C77" t="str">
        <f>VLOOKUP(A77,'[1]Phân công'!$B$2:$K$259,10,FALSE)</f>
        <v>https://drive.google.com/open?id=1nfvXbXBBOl55YDqEI_K3x-gNOV88_xgM</v>
      </c>
      <c r="D77" t="str">
        <f>VLOOKUP(A77,'[1]Phân công'!$B$2:$K$259,10,FALSE)</f>
        <v>https://drive.google.com/open?id=1nfvXbXBBOl55YDqEI_K3x-gNOV88_xgM</v>
      </c>
      <c r="E77" t="str">
        <f>VLOOKUP(A77,'[1]Phân công'!$B$2:$K$259,9,FALSE)</f>
        <v>Tiếng Việt</v>
      </c>
    </row>
    <row r="78" spans="1:5" ht="15.75" customHeight="1" x14ac:dyDescent="0.35">
      <c r="A78" s="58" t="s">
        <v>370</v>
      </c>
      <c r="B78" t="str">
        <f>VLOOKUP(A78,'[1]Phân công'!$B$2:$K$259,7,FALSE)</f>
        <v>ỨNG DỤNG HỌC MÁY TRONG PHÂN LOẠI  SỨC KHỎE TÀI CHÍNH VÀ ĐÁNH GIÁ TÍN NHIỆM  DOANH NGHIỆP PHI TÀI CHÍNH VIỆT NAM</v>
      </c>
      <c r="C78" t="str">
        <f>VLOOKUP(A78,'[1]Phân công'!$B$2:$K$259,10,FALSE)</f>
        <v>https://drive.google.com/open?id=1RgOEnqncxiwz0uPnMw6askGZVose1ex_</v>
      </c>
      <c r="D78" t="str">
        <f>VLOOKUP(A78,'[1]Phân công'!$B$2:$K$259,10,FALSE)</f>
        <v>https://drive.google.com/open?id=1RgOEnqncxiwz0uPnMw6askGZVose1ex_</v>
      </c>
      <c r="E78" t="str">
        <f>VLOOKUP(A78,'[1]Phân công'!$B$2:$K$259,9,FALSE)</f>
        <v>Tiếng Việt</v>
      </c>
    </row>
    <row r="79" spans="1:5" ht="15.75" customHeight="1" x14ac:dyDescent="0.35">
      <c r="A79" s="58" t="s">
        <v>372</v>
      </c>
      <c r="B79" t="str">
        <f>VLOOKUP(A79,'[1]Phân công'!$B$2:$K$259,7,FALSE)</f>
        <v>PHÂN TÍCH VÀ ỨNG DỤNG HỌC MÁY   TRONG CẢNH BÁO SỚM RỦI RO TÀI CHÍNH CỦA CÁC DOANH  NGHIỆP PHI TÀI CHÍNH NIÊM YẾT TẠI VIỆT NAM</v>
      </c>
      <c r="C79" t="str">
        <f>VLOOKUP(A79,'[1]Phân công'!$B$2:$K$259,10,FALSE)</f>
        <v>https://drive.google.com/open?id=1ik8rS8-FKwXAote9J5tcBc2yA80_AfRp</v>
      </c>
      <c r="D79" t="str">
        <f>VLOOKUP(A79,'[1]Phân công'!$B$2:$K$259,10,FALSE)</f>
        <v>https://drive.google.com/open?id=1ik8rS8-FKwXAote9J5tcBc2yA80_AfRp</v>
      </c>
      <c r="E79" t="str">
        <f>VLOOKUP(A79,'[1]Phân công'!$B$2:$K$259,9,FALSE)</f>
        <v>Tiếng Việt</v>
      </c>
    </row>
    <row r="80" spans="1:5" ht="15.75" customHeight="1" x14ac:dyDescent="0.35">
      <c r="A80" s="58" t="s">
        <v>376</v>
      </c>
      <c r="B80" t="str">
        <f>VLOOKUP(A80,'[1]Phân công'!$B$2:$K$259,7,FALSE)</f>
        <v>XÂY DỰNG HỆ THỐNG CHATBOT TƯ VẤN SẢN PHẨM DỊCH VỤ NGÂN HÀNG TÍCH HỢP AI CHO TỆP KHÁCH HÀNG CÁ NHÂN CỦA NGÂN HÀNG MBV</v>
      </c>
      <c r="C80" t="str">
        <f>VLOOKUP(A80,'[1]Phân công'!$B$2:$K$259,10,FALSE)</f>
        <v>https://drive.google.com/open?id=1RvKcqo8SySvvbr_jmQ3b5GjRG1FCT5Ac</v>
      </c>
      <c r="D80" t="str">
        <f>VLOOKUP(A80,'[1]Phân công'!$B$2:$K$259,10,FALSE)</f>
        <v>https://drive.google.com/open?id=1RvKcqo8SySvvbr_jmQ3b5GjRG1FCT5Ac</v>
      </c>
      <c r="E80" t="str">
        <f>VLOOKUP(A80,'[1]Phân công'!$B$2:$K$259,9,FALSE)</f>
        <v>Tiếng Việt</v>
      </c>
    </row>
    <row r="81" spans="1:5" ht="15.75" customHeight="1" x14ac:dyDescent="0.35">
      <c r="A81" s="58" t="s">
        <v>378</v>
      </c>
      <c r="B81" t="str">
        <f>VLOOKUP(A81,'[1]Phân công'!$B$2:$K$259,7,FALSE)</f>
        <v>FORECASTING VN-INDEX RETURNS USING TRADITIONAL MODELS, MACHINE LEARNING AND DEEP LEARNING IN AN EMERGING MARKET</v>
      </c>
      <c r="C81" t="str">
        <f>VLOOKUP(A81,'[1]Phân công'!$B$2:$K$259,10,FALSE)</f>
        <v>https://drive.google.com/open?id=1DBKOj-gp3D4ekJzbo8Fuvdb_dX8Iqwtf</v>
      </c>
      <c r="D81" t="str">
        <f>VLOOKUP(A81,'[1]Phân công'!$B$2:$K$259,10,FALSE)</f>
        <v>https://drive.google.com/open?id=1DBKOj-gp3D4ekJzbo8Fuvdb_dX8Iqwtf</v>
      </c>
      <c r="E81" t="str">
        <f>VLOOKUP(A81,'[1]Phân công'!$B$2:$K$259,9,FALSE)</f>
        <v>Tiếng Anh</v>
      </c>
    </row>
    <row r="82" spans="1:5" ht="15.75" customHeight="1" x14ac:dyDescent="0.35">
      <c r="A82" s="58" t="s">
        <v>381</v>
      </c>
      <c r="B82" t="str">
        <f>VLOOKUP(A82,'[1]Phân công'!$B$2:$K$259,7,FALSE)</f>
        <v>PREDICTING FUTURE GOLD PRICES AND SUGGESTING SUITABLE DERIVATIVE CONTRACTS</v>
      </c>
      <c r="C82" t="str">
        <f>VLOOKUP(A82,'[1]Phân công'!$B$2:$K$259,10,FALSE)</f>
        <v>https://drive.google.com/open?id=1FoCgeNRKbjFBZPtmu64Kn7oA-ZlEd7eR</v>
      </c>
      <c r="D82" t="str">
        <f>VLOOKUP(A82,'[1]Phân công'!$B$2:$K$259,10,FALSE)</f>
        <v>https://drive.google.com/open?id=1FoCgeNRKbjFBZPtmu64Kn7oA-ZlEd7eR</v>
      </c>
      <c r="E82" t="str">
        <f>VLOOKUP(A82,'[1]Phân công'!$B$2:$K$259,9,FALSE)</f>
        <v>Tiếng Anh</v>
      </c>
    </row>
    <row r="83" spans="1:5" ht="15.75" customHeight="1" x14ac:dyDescent="0.35">
      <c r="A83" s="58" t="s">
        <v>384</v>
      </c>
      <c r="B83" t="str">
        <f>VLOOKUP(A83,'[1]Phân công'!$B$2:$K$259,7,FALSE)</f>
        <v>A COMPARATIVE STUDY OF THE EFFECTIVENESS OF ARIMA, SARIMA, LSTM MODELS IN CRYPTO CURRENCY PRICE FORECASTING</v>
      </c>
      <c r="C83" t="str">
        <f>VLOOKUP(A83,'[1]Phân công'!$B$2:$K$259,10,FALSE)</f>
        <v>https://drive.google.com/open?id=14L3_jLl-FjkoCFxxIddu3RpTKa5UGQD9</v>
      </c>
      <c r="D83" t="str">
        <f>VLOOKUP(A83,'[1]Phân công'!$B$2:$K$259,10,FALSE)</f>
        <v>https://drive.google.com/open?id=14L3_jLl-FjkoCFxxIddu3RpTKa5UGQD9</v>
      </c>
      <c r="E83" t="str">
        <f>VLOOKUP(A83,'[1]Phân công'!$B$2:$K$259,9,FALSE)</f>
        <v>Tiếng Anh</v>
      </c>
    </row>
    <row r="84" spans="1:5" ht="15.75" customHeight="1" x14ac:dyDescent="0.35">
      <c r="A84" s="58" t="s">
        <v>386</v>
      </c>
      <c r="B84" t="str">
        <f>VLOOKUP(A84,'[1]Phân công'!$B$2:$K$259,7,FALSE)</f>
        <v>DỰ BÁO BIẾN ĐỘNG TỶ GIÁ CÁC NGOẠI TỆ CHỦ CHỐT TẠI VIỆT NAM: NGHIÊN CỨU SO SÁNH GIỮA CÁC MÔ HÌNH THỐNG KÊ VÀ HỌC SÂU</v>
      </c>
      <c r="C84" t="str">
        <f>VLOOKUP(A84,'[1]Phân công'!$B$2:$K$259,10,FALSE)</f>
        <v>https://drive.google.com/open?id=1ZL5tv8lsR_dzwzLqY-AQRE8Pu6eGrUEL</v>
      </c>
      <c r="D84" t="str">
        <f>VLOOKUP(A84,'[1]Phân công'!$B$2:$K$259,10,FALSE)</f>
        <v>https://drive.google.com/open?id=1ZL5tv8lsR_dzwzLqY-AQRE8Pu6eGrUEL</v>
      </c>
      <c r="E84" t="str">
        <f>VLOOKUP(A84,'[1]Phân công'!$B$2:$K$259,9,FALSE)</f>
        <v>Tiếng Việt</v>
      </c>
    </row>
    <row r="85" spans="1:5" ht="15.75" customHeight="1" x14ac:dyDescent="0.35">
      <c r="A85" s="58" t="s">
        <v>388</v>
      </c>
      <c r="B85" t="str">
        <f>VLOOKUP(A85,'[1]Phân công'!$B$2:$K$259,7,FALSE)</f>
        <v>COMPOSITE PROFITABILITY INDEX CONSTRUCTION AND OUT-OF-SAMPLE PREDICTION: EVIDENCE FROM VIETNAM</v>
      </c>
      <c r="C85" t="str">
        <f>VLOOKUP(A85,'[1]Phân công'!$B$2:$K$259,10,FALSE)</f>
        <v>https://drive.google.com/open?id=1OA5cn0SIfgIcQDB0qfqTIjd7BYQw9T5D</v>
      </c>
      <c r="D85" t="str">
        <f>VLOOKUP(A85,'[1]Phân công'!$B$2:$K$259,10,FALSE)</f>
        <v>https://drive.google.com/open?id=1OA5cn0SIfgIcQDB0qfqTIjd7BYQw9T5D</v>
      </c>
      <c r="E85" t="str">
        <f>VLOOKUP(A85,'[1]Phân công'!$B$2:$K$259,9,FALSE)</f>
        <v>Tiếng Anh</v>
      </c>
    </row>
    <row r="86" spans="1:5" ht="15.75" customHeight="1" x14ac:dyDescent="0.35">
      <c r="A86" s="58" t="s">
        <v>390</v>
      </c>
      <c r="B86" t="str">
        <f>VLOOKUP(A86,'[1]Phân công'!$B$2:$K$259,7,FALSE)</f>
        <v>DỰ BÁO RỦI RO PHÁ SẢN DOANH NGHIỆP PHI TÀI CHÍNH TRÊN SÀN GIAO DỊCH CHỨNG KHOÁN TP. HỒ CHÍ MINH: HƯỚNG TIẾP CẬN PHƯƠNG PHÁP LAI TÍCH HỢP MÔ HÌNH ALTMAN Z’’-SCORE VÀ MACHINE LEARNING</v>
      </c>
      <c r="C86" t="str">
        <f>VLOOKUP(A86,'[1]Phân công'!$B$2:$K$259,10,FALSE)</f>
        <v>https://drive.google.com/open?id=1rqFQ-63kJazg9Uyg0Jym7j80nZnUglPy</v>
      </c>
      <c r="D86" t="str">
        <f>VLOOKUP(A86,'[1]Phân công'!$B$2:$K$259,10,FALSE)</f>
        <v>https://drive.google.com/open?id=1rqFQ-63kJazg9Uyg0Jym7j80nZnUglPy</v>
      </c>
      <c r="E86" t="str">
        <f>VLOOKUP(A86,'[1]Phân công'!$B$2:$K$259,9,FALSE)</f>
        <v>Tiếng Việt</v>
      </c>
    </row>
    <row r="87" spans="1:5" ht="15.75" customHeight="1" x14ac:dyDescent="0.35">
      <c r="A87" s="58" t="s">
        <v>392</v>
      </c>
      <c r="B87" t="str">
        <f>VLOOKUP(A87,'[1]Phân công'!$B$2:$K$259,7,FALSE)</f>
        <v>TÁC ĐỘNG CỦA ĐA DẠNG HÓA NGUỒN VỐN ĐẾN LỢI NHUẬN VÀ RỦI RO CỦA CÁC NGÂN HÀNG THƯƠNG MẠI TẠI VIỆT NAM.</v>
      </c>
      <c r="C87" t="str">
        <f>VLOOKUP(A87,'[1]Phân công'!$B$2:$K$259,10,FALSE)</f>
        <v>https://drive.google.com/open?id=1_4WoNPmeGOdzuEQ5tydrLhD2UoON2KFv</v>
      </c>
      <c r="D87" t="str">
        <f>VLOOKUP(A87,'[1]Phân công'!$B$2:$K$259,10,FALSE)</f>
        <v>https://drive.google.com/open?id=1_4WoNPmeGOdzuEQ5tydrLhD2UoON2KFv</v>
      </c>
      <c r="E87" t="str">
        <f>VLOOKUP(A87,'[1]Phân công'!$B$2:$K$259,9,FALSE)</f>
        <v>Tiếng Việt</v>
      </c>
    </row>
    <row r="88" spans="1:5" ht="15.75" customHeight="1" x14ac:dyDescent="0.35">
      <c r="A88" s="58" t="s">
        <v>396</v>
      </c>
      <c r="B88" t="str">
        <f>VLOOKUP(A88,'[1]Phân công'!$B$2:$K$259,7,FALSE)</f>
        <v>TÁC ĐỘNG CỦA CẤU TRÚC VỐN ĐẾN KHẢ NĂNG SINH LỜI CỦA CÁC NGÂN HÀNG THƯƠNG MẠI TẠI VIỆT NAM</v>
      </c>
      <c r="C88" t="str">
        <f>VLOOKUP(A88,'[1]Phân công'!$B$2:$K$259,10,FALSE)</f>
        <v>https://drive.google.com/open?id=1CoYdJf0d_DYGOl6usVw774BLv1xbgnRe</v>
      </c>
      <c r="D88" t="str">
        <f>VLOOKUP(A88,'[1]Phân công'!$B$2:$K$259,10,FALSE)</f>
        <v>https://drive.google.com/open?id=1CoYdJf0d_DYGOl6usVw774BLv1xbgnRe</v>
      </c>
      <c r="E88" t="str">
        <f>VLOOKUP(A88,'[1]Phân công'!$B$2:$K$259,9,FALSE)</f>
        <v>Tiếng Việt</v>
      </c>
    </row>
    <row r="89" spans="1:5" ht="15.75" customHeight="1" x14ac:dyDescent="0.35">
      <c r="A89" s="58" t="s">
        <v>399</v>
      </c>
      <c r="B89" t="str">
        <f>VLOOKUP(A89,'[1]Phân công'!$B$2:$K$259,7,FALSE)</f>
        <v>ANALYZING THE TECHNICAL EFFICIENCY OF COMMERCIAL BANKS IN VIETNAM USING THE DATA ENVELOPE ANALYSIS APPROACH</v>
      </c>
      <c r="C89" t="str">
        <f>VLOOKUP(A89,'[1]Phân công'!$B$2:$K$259,10,FALSE)</f>
        <v>https://drive.google.com/open?id=1YhGLTeTefbvnTodbHBxPRPsZ2BQyTamj</v>
      </c>
      <c r="D89" t="str">
        <f>VLOOKUP(A89,'[1]Phân công'!$B$2:$K$259,10,FALSE)</f>
        <v>https://drive.google.com/open?id=1YhGLTeTefbvnTodbHBxPRPsZ2BQyTamj</v>
      </c>
      <c r="E89" t="str">
        <f>VLOOKUP(A89,'[1]Phân công'!$B$2:$K$259,9,FALSE)</f>
        <v>Tiếng Anh</v>
      </c>
    </row>
    <row r="90" spans="1:5" ht="15.75" customHeight="1" x14ac:dyDescent="0.35">
      <c r="A90" s="58" t="s">
        <v>401</v>
      </c>
      <c r="B90" t="str">
        <f>VLOOKUP(A90,'[1]Phân công'!$B$2:$K$259,7,FALSE)</f>
        <v>BANK–FINTECH COOPERATION, OWNERSHIP STRUCTURE, AND OVERALL BANK RISK: EMPIRICAL EVIDENCE FROM VIETNAM</v>
      </c>
      <c r="C90" t="str">
        <f>VLOOKUP(A90,'[1]Phân công'!$B$2:$K$259,10,FALSE)</f>
        <v>https://drive.google.com/open?id=1b6wAb3ttgtJQQNJuhGHJB_5qG8r9AqtX</v>
      </c>
      <c r="D90" t="str">
        <f>VLOOKUP(A90,'[1]Phân công'!$B$2:$K$259,10,FALSE)</f>
        <v>https://drive.google.com/open?id=1b6wAb3ttgtJQQNJuhGHJB_5qG8r9AqtX</v>
      </c>
      <c r="E90" t="str">
        <f>VLOOKUP(A90,'[1]Phân công'!$B$2:$K$259,9,FALSE)</f>
        <v>Tiếng Anh</v>
      </c>
    </row>
    <row r="91" spans="1:5" ht="15.75" customHeight="1" x14ac:dyDescent="0.35">
      <c r="A91" s="58" t="s">
        <v>404</v>
      </c>
      <c r="B91" t="str">
        <f>VLOOKUP(A91,'[1]Phân công'!$B$2:$K$259,7,FALSE)</f>
        <v>ẢNH HƯỞNG CỦA CÁC NHÂN TỐ VĨ MÔ VÀ CÁC NHÂN TỐ NỘI TẠI ĐẾN BIÊN LÃI RÒNG CỦA CÁC NGÂN HÀNG THƯƠNG MẠI QUY MÔ VỪA VÀ NHỎ TẠI VIỆT NAM TRONG GIAI ĐOẠN 2014-2024</v>
      </c>
      <c r="C91" t="str">
        <f>VLOOKUP(A91,'[1]Phân công'!$B$2:$K$259,10,FALSE)</f>
        <v>https://drive.google.com/open?id=1OEpYckDJnZy6-xFaEjecrWYk0rZZr-F5</v>
      </c>
      <c r="D91" t="str">
        <f>VLOOKUP(A91,'[1]Phân công'!$B$2:$K$259,10,FALSE)</f>
        <v>https://drive.google.com/open?id=1OEpYckDJnZy6-xFaEjecrWYk0rZZr-F5</v>
      </c>
      <c r="E91" t="str">
        <f>VLOOKUP(A91,'[1]Phân công'!$B$2:$K$259,9,FALSE)</f>
        <v>Tiếng Việt</v>
      </c>
    </row>
    <row r="92" spans="1:5" ht="15.75" customHeight="1" x14ac:dyDescent="0.35">
      <c r="A92" s="58" t="s">
        <v>407</v>
      </c>
      <c r="B92" t="str">
        <f>VLOOKUP(A92,'[1]Phân công'!$B$2:$K$259,7,FALSE)</f>
        <v>EVALUATING BUSINESS PERFORMANCE OF COMMERCIAL BANKS IN VIETNAM BASED ON THE CAMELS FRAMEWORK</v>
      </c>
      <c r="C92" t="str">
        <f>VLOOKUP(A92,'[1]Phân công'!$B$2:$K$259,10,FALSE)</f>
        <v>https://drive.google.com/open?id=17oHQ1kPpUxUPMz4J7MSB1AnABqwPUcZ4</v>
      </c>
      <c r="D92" t="str">
        <f>VLOOKUP(A92,'[1]Phân công'!$B$2:$K$259,10,FALSE)</f>
        <v>https://drive.google.com/open?id=17oHQ1kPpUxUPMz4J7MSB1AnABqwPUcZ4</v>
      </c>
      <c r="E92" t="str">
        <f>VLOOKUP(A92,'[1]Phân công'!$B$2:$K$259,9,FALSE)</f>
        <v>Tiếng Anh</v>
      </c>
    </row>
    <row r="93" spans="1:5" ht="16.5" x14ac:dyDescent="0.35">
      <c r="A93" s="58" t="s">
        <v>409</v>
      </c>
      <c r="B93" t="str">
        <f>VLOOKUP(A93,'[1]Phân công'!$B$2:$K$259,7,FALSE)</f>
        <v>THE IMPACT OF CAPITAL STRUCTURE ON LIQUIDITY OF VIETNAMESE COMMERCIAL BANKS: EVIDENCE DURING 2019-2025</v>
      </c>
      <c r="C93" t="str">
        <f>VLOOKUP(A93,'[1]Phân công'!$B$2:$K$259,10,FALSE)</f>
        <v>https://drive.google.com/open?id=18Epq500tcInZOdyxjts7YvFMq-JZkXks</v>
      </c>
      <c r="D93" t="str">
        <f>VLOOKUP(A93,'[1]Phân công'!$B$2:$K$259,10,FALSE)</f>
        <v>https://drive.google.com/open?id=18Epq500tcInZOdyxjts7YvFMq-JZkXks</v>
      </c>
      <c r="E93" t="str">
        <f>VLOOKUP(A93,'[1]Phân công'!$B$2:$K$259,9,FALSE)</f>
        <v>Tiếng Anh</v>
      </c>
    </row>
    <row r="94" spans="1:5" ht="15.75" customHeight="1" x14ac:dyDescent="0.35">
      <c r="A94" s="58" t="s">
        <v>411</v>
      </c>
      <c r="B94" t="str">
        <f>VLOOKUP(A94,'[1]Phân công'!$B$2:$K$259,7,FALSE)</f>
        <v>THE IMPACT OF FINANCIAL LEVERAGE ON FINANCIAL DISTRESS: THE CASE OF REAL ESTATE FIRMS LISTED ON THE HO CHI MINH STOCK EXCHANGE</v>
      </c>
      <c r="C94" t="str">
        <f>VLOOKUP(A94,'[1]Phân công'!$B$2:$K$259,10,FALSE)</f>
        <v>https://drive.google.com/open?id=1JYWXzbtHVhgeBJDkoS4ELCeERGbh8m-Z</v>
      </c>
      <c r="D94" t="str">
        <f>VLOOKUP(A94,'[1]Phân công'!$B$2:$K$259,10,FALSE)</f>
        <v>https://drive.google.com/open?id=1JYWXzbtHVhgeBJDkoS4ELCeERGbh8m-Z</v>
      </c>
      <c r="E94" t="str">
        <f>VLOOKUP(A94,'[1]Phân công'!$B$2:$K$259,9,FALSE)</f>
        <v>Tiếng Anh</v>
      </c>
    </row>
    <row r="95" spans="1:5" ht="15.75" customHeight="1" x14ac:dyDescent="0.35">
      <c r="A95" s="58" t="s">
        <v>414</v>
      </c>
      <c r="B95" t="str">
        <f>VLOOKUP(A95,'[1]Phân công'!$B$2:$K$259,7,FALSE)</f>
        <v>THE IMPACT OF CAPITAL STRUCTURE ON PROFITABILITY: A CASE STUDY OF VIETNAMESE NON – FINANCIAL LISTED COMPANIES</v>
      </c>
      <c r="C95" t="str">
        <f>VLOOKUP(A95,'[1]Phân công'!$B$2:$K$259,10,FALSE)</f>
        <v>https://drive.google.com/open?id=1nEhyjOkz0VE0PBQIhqFTJpv1fKyUfA56</v>
      </c>
      <c r="D95" t="str">
        <f>VLOOKUP(A95,'[1]Phân công'!$B$2:$K$259,10,FALSE)</f>
        <v>https://drive.google.com/open?id=1nEhyjOkz0VE0PBQIhqFTJpv1fKyUfA56</v>
      </c>
      <c r="E95" t="str">
        <f>VLOOKUP(A95,'[1]Phân công'!$B$2:$K$259,9,FALSE)</f>
        <v>Tiếng Anh</v>
      </c>
    </row>
    <row r="96" spans="1:5" ht="15.75" customHeight="1" x14ac:dyDescent="0.35">
      <c r="A96" s="60" t="s">
        <v>417</v>
      </c>
      <c r="B96" t="str">
        <f>VLOOKUP(A96,'[1]Phân công'!$B$2:$K$259,7,FALSE)</f>
        <v>THE MODERATING ROLE OF DIGITAL BANKING ON THE RELATIONSHIP BETWEEN INCOME DIVERSIFICATION AND BANK PERFORMANCE: EVIDENCE FROM VIETNAMESE COMMERCIAL BANK</v>
      </c>
      <c r="C96" t="str">
        <f>VLOOKUP(A96,'[1]Phân công'!$B$2:$K$259,10,FALSE)</f>
        <v>https://drive.google.com/open?id=14rWPLJmTJKqMD8KSlWNXGrSZ3njUmrwh</v>
      </c>
      <c r="D96" t="str">
        <f>VLOOKUP(A96,'[1]Phân công'!$B$2:$K$259,10,FALSE)</f>
        <v>https://drive.google.com/open?id=14rWPLJmTJKqMD8KSlWNXGrSZ3njUmrwh</v>
      </c>
      <c r="E96" t="str">
        <f>VLOOKUP(A96,'[1]Phân công'!$B$2:$K$259,9,FALSE)</f>
        <v>Tiếng Anh</v>
      </c>
    </row>
    <row r="97" spans="1:5" ht="15.75" customHeight="1" x14ac:dyDescent="0.35">
      <c r="A97" s="60" t="s">
        <v>421</v>
      </c>
      <c r="B97" t="str">
        <f>VLOOKUP(A97,'[1]Phân công'!$B$2:$K$259,7,FALSE)</f>
        <v>TÁC ĐỘNG CỦA CHUYỂN ĐỔI SỐ VÀ CẤU TRÚC VỐN ĐẾN HIỆU QUẢ HOẠT ĐỘNG: TRƯỜNG HỢP CÁC NGÂN HÀNG THƯƠNG MẠI VIỆT NAM</v>
      </c>
      <c r="C97" t="str">
        <f>VLOOKUP(A97,'[1]Phân công'!$B$2:$K$259,10,FALSE)</f>
        <v>https://drive.google.com/open?id=1mrX_FSvKNetoJQUvRBaj1K0ew6TjqmjC</v>
      </c>
      <c r="D97" t="str">
        <f>VLOOKUP(A97,'[1]Phân công'!$B$2:$K$259,10,FALSE)</f>
        <v>https://drive.google.com/open?id=1mrX_FSvKNetoJQUvRBaj1K0ew6TjqmjC</v>
      </c>
      <c r="E97" t="str">
        <f>VLOOKUP(A97,'[1]Phân công'!$B$2:$K$259,9,FALSE)</f>
        <v>Tiếng Việt</v>
      </c>
    </row>
    <row r="98" spans="1:5" ht="15.75" customHeight="1" x14ac:dyDescent="0.35">
      <c r="A98" s="58" t="s">
        <v>424</v>
      </c>
      <c r="B98" t="str">
        <f>VLOOKUP(A98,'[1]Phân công'!$B$2:$K$259,7,FALSE)</f>
        <v>PHÁT TRIỂN TÍN DỤNG NHÀ Ở DÀNH CHO KHÁCH HÀNG TRẺ TẠI CÁC NGÂN HÀNG THƯƠNG MẠI CỔ PHẦN Ở VIỆT NAM</v>
      </c>
      <c r="C98" t="str">
        <f>VLOOKUP(A98,'[1]Phân công'!$B$2:$K$259,10,FALSE)</f>
        <v>https://drive.google.com/open?id=1tG0abyWyzm65mrLp7vJR6_JrmqIZrJhF</v>
      </c>
      <c r="D98" t="str">
        <f>VLOOKUP(A98,'[1]Phân công'!$B$2:$K$259,10,FALSE)</f>
        <v>https://drive.google.com/open?id=1tG0abyWyzm65mrLp7vJR6_JrmqIZrJhF</v>
      </c>
      <c r="E98" t="str">
        <f>VLOOKUP(A98,'[1]Phân công'!$B$2:$K$259,9,FALSE)</f>
        <v>Tiếng Việt</v>
      </c>
    </row>
    <row r="99" spans="1:5" ht="15.75" customHeight="1" x14ac:dyDescent="0.35">
      <c r="A99" s="58" t="s">
        <v>431</v>
      </c>
      <c r="B99" t="str">
        <f>VLOOKUP(A99,'[1]Phân công'!$B$2:$K$259,7,FALSE)</f>
        <v>KIỂM ĐỊNH TÍNH THỰC NGHIỆM LÝ THUYẾT MÔ HÌNH FAMA-FRENCH NĂM NHÂN TỐ TẠI THỊ TRƯỜNG CHỨNG KHOÁN VIỆT NAM: TRƯỜNG HỢP VN30</v>
      </c>
      <c r="C99" t="str">
        <f>VLOOKUP(A99,'[1]Phân công'!$B$2:$K$259,10,FALSE)</f>
        <v>https://drive.google.com/open?id=1C9PPQymOOu9FxcPWy1KNGIASBoUJ1k_j</v>
      </c>
      <c r="D99" t="str">
        <f>VLOOKUP(A99,'[1]Phân công'!$B$2:$K$259,10,FALSE)</f>
        <v>https://drive.google.com/open?id=1C9PPQymOOu9FxcPWy1KNGIASBoUJ1k_j</v>
      </c>
      <c r="E99" t="str">
        <f>VLOOKUP(A99,'[1]Phân công'!$B$2:$K$259,9,FALSE)</f>
        <v>Tiếng Việt</v>
      </c>
    </row>
    <row r="100" spans="1:5" ht="15.75" customHeight="1" x14ac:dyDescent="0.35">
      <c r="A100" s="58" t="s">
        <v>435</v>
      </c>
      <c r="B100" t="str">
        <f>VLOOKUP(A100,'[1]Phân công'!$B$2:$K$259,7,FALSE)</f>
        <v>FACTORS AFFECTING THE FINANCIAL DISTRESS RISK OF LISTED MANUFACTURING FIRMS ON THE HO CHI MINH STOCK EXCHANGE</v>
      </c>
      <c r="C100" t="str">
        <f>VLOOKUP(A100,'[1]Phân công'!$B$2:$K$259,10,FALSE)</f>
        <v>https://drive.google.com/open?id=10JEcyG5CApihiJNYJ3SjlXq_aenQQdqA</v>
      </c>
      <c r="D100" t="str">
        <f>VLOOKUP(A100,'[1]Phân công'!$B$2:$K$259,10,FALSE)</f>
        <v>https://drive.google.com/open?id=10JEcyG5CApihiJNYJ3SjlXq_aenQQdqA</v>
      </c>
      <c r="E100" t="str">
        <f>VLOOKUP(A100,'[1]Phân công'!$B$2:$K$259,9,FALSE)</f>
        <v>Tiếng Anh</v>
      </c>
    </row>
    <row r="101" spans="1:5" ht="15.75" customHeight="1" x14ac:dyDescent="0.35">
      <c r="A101" s="58" t="s">
        <v>437</v>
      </c>
      <c r="B101" t="str">
        <f>VLOOKUP(A101,'[1]Phân công'!$B$2:$K$259,7,FALSE)</f>
        <v>ANALYSIS OF FACTORS AFFECTING THE ISSUANCE OF GREEN BONDS IN DEVELOPING COUNTRIES</v>
      </c>
      <c r="C101" t="str">
        <f>VLOOKUP(A101,'[1]Phân công'!$B$2:$K$259,10,FALSE)</f>
        <v>https://drive.google.com/open?id=14rZm4z7f6_rVmj3r_6voMl_4U8rtox5F</v>
      </c>
      <c r="D101" t="str">
        <f>VLOOKUP(A101,'[1]Phân công'!$B$2:$K$259,10,FALSE)</f>
        <v>https://drive.google.com/open?id=14rZm4z7f6_rVmj3r_6voMl_4U8rtox5F</v>
      </c>
      <c r="E101" t="str">
        <f>VLOOKUP(A101,'[1]Phân công'!$B$2:$K$259,9,FALSE)</f>
        <v>Tiếng Anh</v>
      </c>
    </row>
    <row r="102" spans="1:5" ht="15.75" customHeight="1" x14ac:dyDescent="0.35">
      <c r="A102" s="58" t="s">
        <v>439</v>
      </c>
      <c r="B102" t="str">
        <f>VLOOKUP(A102,'[1]Phân công'!$B$2:$K$259,7,FALSE)</f>
        <v>TÍNH LAN TỎA GIỮA CÁC TÀI SẢN DEFI, TIỀN MÃ HÓA, CỔ PHIẾU VÀ TÀI SẢN TRÚ ẨN AN TOÀN</v>
      </c>
      <c r="C102" t="str">
        <f>VLOOKUP(A102,'[1]Phân công'!$B$2:$K$259,10,FALSE)</f>
        <v>https://drive.google.com/open?id=10lpHY1hjMRfvFeUJEwOX4In0mDiuXT3J</v>
      </c>
      <c r="D102" t="str">
        <f>VLOOKUP(A102,'[1]Phân công'!$B$2:$K$259,10,FALSE)</f>
        <v>https://drive.google.com/open?id=10lpHY1hjMRfvFeUJEwOX4In0mDiuXT3J</v>
      </c>
      <c r="E102" t="str">
        <f>VLOOKUP(A102,'[1]Phân công'!$B$2:$K$259,9,FALSE)</f>
        <v>Tiếng Việt</v>
      </c>
    </row>
    <row r="103" spans="1:5" ht="15.75" customHeight="1" x14ac:dyDescent="0.35">
      <c r="A103" s="58" t="s">
        <v>478</v>
      </c>
      <c r="B103" t="str">
        <f>VLOOKUP(A103,'[1]Phân công'!$B$2:$K$259,7,FALSE)</f>
        <v>PHÂN TÍCH CÁC YẾU TỐ ẢNH HƯỞNG ĐẾN NỢ XẤU TẠI CÁC NGÂN HÀNG THƯƠNG MẠI VIỆT NAM GIAI ĐOẠN 2014 - 2024</v>
      </c>
      <c r="C103" t="str">
        <f>VLOOKUP(A103,'[1]Phân công'!$B$2:$K$259,10,FALSE)</f>
        <v>https://drive.google.com/open?id=1-fSe6ljPODfmDnuw0i9YLGHJuwBMowKW</v>
      </c>
      <c r="D103" t="str">
        <f>VLOOKUP(A103,'[1]Phân công'!$B$2:$K$259,10,FALSE)</f>
        <v>https://drive.google.com/open?id=1-fSe6ljPODfmDnuw0i9YLGHJuwBMowKW</v>
      </c>
      <c r="E103" t="str">
        <f>VLOOKUP(A103,'[1]Phân công'!$B$2:$K$259,9,FALSE)</f>
        <v>Tiếng Việt</v>
      </c>
    </row>
    <row r="104" spans="1:5" ht="15.75" customHeight="1" x14ac:dyDescent="0.35">
      <c r="A104" s="58" t="s">
        <v>481</v>
      </c>
      <c r="B104" t="str">
        <f>VLOOKUP(A104,'[1]Phân công'!$B$2:$K$259,7,FALSE)</f>
        <v>THE IMPACT OF CEO CHARACTERISTICS ON FINANCIAL PERFORMANCE OF VIETNAMESE COMMERCIAL BANKS</v>
      </c>
      <c r="C104" t="str">
        <f>VLOOKUP(A104,'[1]Phân công'!$B$2:$K$259,10,FALSE)</f>
        <v>https://drive.google.com/open?id=1fwESmfwDEc0rKUi6XHSCOGFwQ68ArZuZ</v>
      </c>
      <c r="D104" t="str">
        <f>VLOOKUP(A104,'[1]Phân công'!$B$2:$K$259,10,FALSE)</f>
        <v>https://drive.google.com/open?id=1fwESmfwDEc0rKUi6XHSCOGFwQ68ArZuZ</v>
      </c>
      <c r="E104" t="str">
        <f>VLOOKUP(A104,'[1]Phân công'!$B$2:$K$259,9,FALSE)</f>
        <v>Tiếng Anh</v>
      </c>
    </row>
    <row r="105" spans="1:5" ht="15.75" customHeight="1" x14ac:dyDescent="0.35">
      <c r="A105" s="58" t="s">
        <v>484</v>
      </c>
      <c r="B105" t="str">
        <f>VLOOKUP(A105,'[1]Phân công'!$B$2:$K$259,7,FALSE)</f>
        <v>MỐI QUAN HỆ GIỮA TỶ LỆ AN TOÀN VỐN VÀ HIỆU QUẢ HOẠT ĐỘNG CỦA CÁC NGÂN HÀNG THƯƠNG MẠI CỔ PHẦN TẠI VIỆT NAM: BẰNG CHỨNG TỪ MÔ HÌNH HỆ PHƯƠNG TRÌNH ĐỒNG THỜI (SEM)</v>
      </c>
      <c r="C105" t="str">
        <f>VLOOKUP(A105,'[1]Phân công'!$B$2:$K$259,10,FALSE)</f>
        <v>https://drive.google.com/open?id=1-BC9yK0Bm8DwW7WT3zCp3DRWi5FwBsrd</v>
      </c>
      <c r="D105" t="str">
        <f>VLOOKUP(A105,'[1]Phân công'!$B$2:$K$259,10,FALSE)</f>
        <v>https://drive.google.com/open?id=1-BC9yK0Bm8DwW7WT3zCp3DRWi5FwBsrd</v>
      </c>
      <c r="E105" t="str">
        <f>VLOOKUP(A105,'[1]Phân công'!$B$2:$K$259,9,FALSE)</f>
        <v>Tiếng Việt</v>
      </c>
    </row>
    <row r="106" spans="1:5" ht="15.75" customHeight="1" x14ac:dyDescent="0.35">
      <c r="A106" s="58" t="s">
        <v>487</v>
      </c>
      <c r="B106" t="str">
        <f>VLOOKUP(A106,'[1]Phân công'!$B$2:$K$259,7,FALSE)</f>
        <v>ĐÁNH GIÁ VÀ PHÂN TÍCH CÁC YẾU TỐ ẢNH HƯỞNG ĐẾN HIỆU QUẢ HOẠT ĐỘNG CỦA CÁC NGÂN HÀNG THƯƠNG MẠI TẠI VIỆT NAM TRONG GIAI ĐOẠN 2020-2024: CÁCH TIẾP CẬN PHƯƠNG PHÁP BAO DỮ LIỆU (DEA) VÀ HỒI QUY TOBIT</v>
      </c>
      <c r="C106" t="str">
        <f>VLOOKUP(A106,'[1]Phân công'!$B$2:$K$259,10,FALSE)</f>
        <v>https://drive.google.com/open?id=1xh6oIYeGk3U6ezY7Hri-oHKSpQd-5twl</v>
      </c>
      <c r="D106" t="str">
        <f>VLOOKUP(A106,'[1]Phân công'!$B$2:$K$259,10,FALSE)</f>
        <v>https://drive.google.com/open?id=1xh6oIYeGk3U6ezY7Hri-oHKSpQd-5twl</v>
      </c>
      <c r="E106" t="str">
        <f>VLOOKUP(A106,'[1]Phân công'!$B$2:$K$259,9,FALSE)</f>
        <v>Tiếng Việt</v>
      </c>
    </row>
    <row r="107" spans="1:5" ht="15.75" customHeight="1" x14ac:dyDescent="0.35">
      <c r="A107" s="58" t="s">
        <v>490</v>
      </c>
      <c r="B107" t="str">
        <f>VLOOKUP(A107,'[1]Phân công'!$B$2:$K$259,7,FALSE)</f>
        <v>THE IMPACT OF BOARD CHARACTERISTICS  ON THE FINANCIAL PERFORMANCE OF LISTED  COMMERCIAL BANKS IN VIETNAM:  EVIDENCE FROM 2015-2024</v>
      </c>
      <c r="C107" t="str">
        <f>VLOOKUP(A107,'[1]Phân công'!$B$2:$K$259,10,FALSE)</f>
        <v>https://drive.google.com/open?id=15j5YHsntLpLHRKY-37OhUdxiuoKMh1Ss</v>
      </c>
      <c r="D107" t="str">
        <f>VLOOKUP(A107,'[1]Phân công'!$B$2:$K$259,10,FALSE)</f>
        <v>https://drive.google.com/open?id=15j5YHsntLpLHRKY-37OhUdxiuoKMh1Ss</v>
      </c>
      <c r="E107" t="str">
        <f>VLOOKUP(A107,'[1]Phân công'!$B$2:$K$259,9,FALSE)</f>
        <v>Tiếng Anh</v>
      </c>
    </row>
    <row r="108" spans="1:5" ht="15.75" customHeight="1" x14ac:dyDescent="0.35">
      <c r="A108" s="58" t="s">
        <v>512</v>
      </c>
      <c r="B108" t="str">
        <f>VLOOKUP(A108,'[1]Phân công'!$B$2:$K$259,7,FALSE)</f>
        <v>CÁC YẾU TỐ ẢNH HƯỞNG ĐẾN HOẠT ĐỘNG HUY ĐỘNG VỐN CỦA NGÂN HÀNG THƯƠNG MẠI VIỆT NAM</v>
      </c>
      <c r="C108" t="str">
        <f>VLOOKUP(A108,'[1]Phân công'!$B$2:$K$259,10,FALSE)</f>
        <v>https://drive.google.com/open?id=186y1iuhE4YBZhzsIvEl_WgkEWTWnFFAd</v>
      </c>
      <c r="D108" t="str">
        <f>VLOOKUP(A108,'[1]Phân công'!$B$2:$K$259,10,FALSE)</f>
        <v>https://drive.google.com/open?id=186y1iuhE4YBZhzsIvEl_WgkEWTWnFFAd</v>
      </c>
      <c r="E108" t="str">
        <f>VLOOKUP(A108,'[1]Phân công'!$B$2:$K$259,9,FALSE)</f>
        <v>Tiếng Việt</v>
      </c>
    </row>
    <row r="109" spans="1:5" ht="15.75" customHeight="1" x14ac:dyDescent="0.35">
      <c r="A109" s="58" t="s">
        <v>514</v>
      </c>
      <c r="B109" t="str">
        <f>VLOOKUP(A109,'[1]Phân công'!$B$2:$K$259,7,FALSE)</f>
        <v>TÁC ĐỘNG CỦA TĂNG TRƯỞNG TÍN DỤNG ĐẾN RỦI RO THANH KHOẢN CỦA CÁC NGÂN HÀNG THƯƠNG MẠI CỔ PHẦN VIỆT NAM</v>
      </c>
      <c r="C109" t="str">
        <f>VLOOKUP(A109,'[1]Phân công'!$B$2:$K$259,10,FALSE)</f>
        <v>https://drive.google.com/open?id=1_evaqKEcYffiZxvGnqvJ85ZEqfiGE1es</v>
      </c>
      <c r="D109" t="str">
        <f>VLOOKUP(A109,'[1]Phân công'!$B$2:$K$259,10,FALSE)</f>
        <v>https://drive.google.com/open?id=1_evaqKEcYffiZxvGnqvJ85ZEqfiGE1es</v>
      </c>
      <c r="E109" t="str">
        <f>VLOOKUP(A109,'[1]Phân công'!$B$2:$K$259,9,FALSE)</f>
        <v>Tiếng Việt</v>
      </c>
    </row>
    <row r="110" spans="1:5" ht="15.75" customHeight="1" x14ac:dyDescent="0.35">
      <c r="A110" s="58" t="s">
        <v>516</v>
      </c>
      <c r="B110" t="str">
        <f>VLOOKUP(A110,'[1]Phân công'!$B$2:$K$259,7,FALSE)</f>
        <v>THE IMPACT OF BANK-FINTECH COOPERATION ON THE PERFORMANCE OF TRADITIONAL COMMERCIAL BANKS IN VIETNAM: THE MODERATING ROLE OF CEO CHARACTERISTICS</v>
      </c>
      <c r="C110" t="str">
        <f>VLOOKUP(A110,'[1]Phân công'!$B$2:$K$259,10,FALSE)</f>
        <v>https://drive.google.com/open?id=1w0gYi1WcKDjZDrOpTeDJPi8WuJN5DOLY</v>
      </c>
      <c r="D110" t="str">
        <f>VLOOKUP(A110,'[1]Phân công'!$B$2:$K$259,10,FALSE)</f>
        <v>https://drive.google.com/open?id=1w0gYi1WcKDjZDrOpTeDJPi8WuJN5DOLY</v>
      </c>
      <c r="E110" t="str">
        <f>VLOOKUP(A110,'[1]Phân công'!$B$2:$K$259,9,FALSE)</f>
        <v>Tiếng Anh</v>
      </c>
    </row>
    <row r="111" spans="1:5" ht="15.75" customHeight="1" x14ac:dyDescent="0.35">
      <c r="A111" s="58" t="s">
        <v>519</v>
      </c>
      <c r="B111" t="str">
        <f>VLOOKUP(A111,'[1]Phân công'!$B$2:$K$259,7,FALSE)</f>
        <v>ẢNH HƯỞNG CỦA NỢ XẤU ĐẾN KHẢ NĂNG SINH LỜI CỦA CÁC NGÂN HÀNG THƯƠNG MẠI VIỆT NAM</v>
      </c>
      <c r="C111" t="str">
        <f>VLOOKUP(A111,'[1]Phân công'!$B$2:$K$259,10,FALSE)</f>
        <v>https://drive.google.com/open?id=1xltPUoWnClLWrv2nWIgqT_Aw1VBJxBLB</v>
      </c>
      <c r="D111" t="str">
        <f>VLOOKUP(A111,'[1]Phân công'!$B$2:$K$259,10,FALSE)</f>
        <v>https://drive.google.com/open?id=1xltPUoWnClLWrv2nWIgqT_Aw1VBJxBLB</v>
      </c>
      <c r="E111" t="str">
        <f>VLOOKUP(A111,'[1]Phân công'!$B$2:$K$259,9,FALSE)</f>
        <v>Tiếng Việt</v>
      </c>
    </row>
    <row r="112" spans="1:5" ht="15.75" customHeight="1" x14ac:dyDescent="0.35">
      <c r="A112" s="58" t="s">
        <v>522</v>
      </c>
      <c r="B112" t="str">
        <f>VLOOKUP(A112,'[1]Phân công'!$B$2:$K$259,7,FALSE)</f>
        <v>MỐI QUAN HỆ GIỮA CAR VÀ KHẢ NĂNG SINH LỜI  CỦA CÁC NGÂN HÀNG THƯƠNG MẠI VIỆT NAM</v>
      </c>
      <c r="C112" t="str">
        <f>VLOOKUP(A112,'[1]Phân công'!$B$2:$K$259,10,FALSE)</f>
        <v>https://drive.google.com/open?id=1ywmDN0TaUUKDU3qV4cNAseMuy-f04vnK</v>
      </c>
      <c r="D112" t="str">
        <f>VLOOKUP(A112,'[1]Phân công'!$B$2:$K$259,10,FALSE)</f>
        <v>https://drive.google.com/open?id=1ywmDN0TaUUKDU3qV4cNAseMuy-f04vnK</v>
      </c>
      <c r="E112" t="str">
        <f>VLOOKUP(A112,'[1]Phân công'!$B$2:$K$259,9,FALSE)</f>
        <v>Tiếng Việt</v>
      </c>
    </row>
    <row r="113" spans="1:5" ht="15.75" customHeight="1" x14ac:dyDescent="0.35">
      <c r="A113" s="58" t="s">
        <v>524</v>
      </c>
      <c r="B113" t="str">
        <f>VLOOKUP(A113,'[1]Phân công'!$B$2:$K$259,7,FALSE)</f>
        <v>THE IMPACT OF DIGITAL TRANSFORMATION ON FIRM PERFORMANCE OF LISTED COMPANIES IN THE VIETNAMESE STOCK MARKET</v>
      </c>
      <c r="C113" t="str">
        <f>VLOOKUP(A113,'[1]Phân công'!$B$2:$K$259,10,FALSE)</f>
        <v>https://drive.google.com/open?id=1LSSfc8W7cR_6pTdqatT6ksPKn0Xu4u5K</v>
      </c>
      <c r="D113" t="str">
        <f>VLOOKUP(A113,'[1]Phân công'!$B$2:$K$259,10,FALSE)</f>
        <v>https://drive.google.com/open?id=1LSSfc8W7cR_6pTdqatT6ksPKn0Xu4u5K</v>
      </c>
      <c r="E113" t="str">
        <f>VLOOKUP(A113,'[1]Phân công'!$B$2:$K$259,9,FALSE)</f>
        <v>Tiếng Anh</v>
      </c>
    </row>
    <row r="114" spans="1:5" ht="15.75" customHeight="1" x14ac:dyDescent="0.35">
      <c r="A114" s="58" t="s">
        <v>528</v>
      </c>
      <c r="B114" t="str">
        <f>VLOOKUP(A114,'[1]Phân công'!$B$2:$K$259,7,FALSE)</f>
        <v>CORPORATE FINANCIALIZATION AND FIXED INVESTMENT RATES: EVIDENCE ON THE MODERATING EFFECTS OF FINANCIAL CONSTRAINTS AND MONETARY POLICY IN VIETNAM</v>
      </c>
      <c r="C114" t="str">
        <f>VLOOKUP(A114,'[1]Phân công'!$B$2:$K$259,10,FALSE)</f>
        <v>https://drive.google.com/open?id=14m5-s4KWxTaiN7ms3OOXgIhhEQQqp-RI</v>
      </c>
      <c r="D114" t="str">
        <f>VLOOKUP(A114,'[1]Phân công'!$B$2:$K$259,10,FALSE)</f>
        <v>https://drive.google.com/open?id=14m5-s4KWxTaiN7ms3OOXgIhhEQQqp-RI</v>
      </c>
      <c r="E114" t="str">
        <f>VLOOKUP(A114,'[1]Phân công'!$B$2:$K$259,9,FALSE)</f>
        <v>Tiếng Anh</v>
      </c>
    </row>
    <row r="115" spans="1:5" ht="15.75" customHeight="1" x14ac:dyDescent="0.35">
      <c r="A115" s="58" t="s">
        <v>531</v>
      </c>
      <c r="B115" t="str">
        <f>VLOOKUP(A115,'[1]Phân công'!$B$2:$K$259,7,FALSE)</f>
        <v>THE IMPACT OF RELATED-PARTY TRANSACTIONS ON CORPORATE BOND HOLDINGS AND BANK RISK: EVIDENCE FROM VIETNAMESE COMMERCIAL BANKS</v>
      </c>
      <c r="C115" t="str">
        <f>VLOOKUP(A115,'[1]Phân công'!$B$2:$K$259,10,FALSE)</f>
        <v>https://drive.google.com/open?id=1dAcp_qet9NlmZ1oSiy4Mb5aV3aQpLkL5</v>
      </c>
      <c r="D115" t="str">
        <f>VLOOKUP(A115,'[1]Phân công'!$B$2:$K$259,10,FALSE)</f>
        <v>https://drive.google.com/open?id=1dAcp_qet9NlmZ1oSiy4Mb5aV3aQpLkL5</v>
      </c>
      <c r="E115" t="str">
        <f>VLOOKUP(A115,'[1]Phân công'!$B$2:$K$259,9,FALSE)</f>
        <v>Tiếng Anh</v>
      </c>
    </row>
    <row r="116" spans="1:5" ht="15.75" customHeight="1" x14ac:dyDescent="0.35">
      <c r="A116" s="58" t="s">
        <v>534</v>
      </c>
      <c r="B116" t="str">
        <f>VLOOKUP(A116,'[1]Phân công'!$B$2:$K$259,7,FALSE)</f>
        <v>THE IMPACT OF AGENCY COST ON OVERINVESTMENT AND THE MODERATING ROLE OF FREE CASH FLOW: ENVIDENCE IN VIETNAM NON – FINANCIAL LISTED COMPANIES</v>
      </c>
      <c r="C116" t="str">
        <f>VLOOKUP(A116,'[1]Phân công'!$B$2:$K$259,10,FALSE)</f>
        <v>https://drive.google.com/open?id=1xc1S3NP0gsaIfShFPwo3to4w7dqrOOBh&amp;usp=drive_fs</v>
      </c>
      <c r="D116" t="str">
        <f>VLOOKUP(A116,'[1]Phân công'!$B$2:$K$259,10,FALSE)</f>
        <v>https://drive.google.com/open?id=1xc1S3NP0gsaIfShFPwo3to4w7dqrOOBh&amp;usp=drive_fs</v>
      </c>
      <c r="E116" t="str">
        <f>VLOOKUP(A116,'[1]Phân công'!$B$2:$K$259,9,FALSE)</f>
        <v>Tiếng Anh</v>
      </c>
    </row>
    <row r="117" spans="1:5" ht="15.75" customHeight="1" x14ac:dyDescent="0.35">
      <c r="A117" s="60" t="s">
        <v>538</v>
      </c>
      <c r="B117" t="str">
        <f>VLOOKUP(A117,'[1]Phân công'!$B$2:$K$259,7,FALSE)</f>
        <v xml:space="preserve">PHẢN ỨNG CỦA THỊ TRƯỜNG CHỨNG KHOÁN VIỆT NAM TRƯỚC CÁC GÓI HỖ TRỢ KINH TẾ  </v>
      </c>
      <c r="C117" t="str">
        <f>VLOOKUP(A117,'[1]Phân công'!$B$2:$K$259,10,FALSE)</f>
        <v>https://docs.google.com/document/d/1VnRNrn1l3S8ALUdL7ddjV3l72zcw98Se?rtpof=true&amp;usp=drive_fs</v>
      </c>
      <c r="D117" t="str">
        <f>VLOOKUP(A117,'[1]Phân công'!$B$2:$K$259,10,FALSE)</f>
        <v>https://docs.google.com/document/d/1VnRNrn1l3S8ALUdL7ddjV3l72zcw98Se?rtpof=true&amp;usp=drive_fs</v>
      </c>
      <c r="E117" t="str">
        <f>VLOOKUP(A117,'[1]Phân công'!$B$2:$K$259,9,FALSE)</f>
        <v>Tiếng Việt</v>
      </c>
    </row>
    <row r="118" spans="1:5" ht="15.75" customHeight="1" x14ac:dyDescent="0.35">
      <c r="A118" s="60" t="s">
        <v>540</v>
      </c>
      <c r="B118" t="str">
        <f>VLOOKUP(A118,'[1]Phân công'!$B$2:$K$259,7,FALSE)</f>
        <v>CASH-FLOW VOLATILITY AND FIRM LEVERAGE: MULTI-MEASURE EVIDENCE FROM VIETNAM’S LISTED NON-FINANCIAL FIRMS</v>
      </c>
      <c r="C118" t="str">
        <f>VLOOKUP(A118,'[1]Phân công'!$B$2:$K$259,10,FALSE)</f>
        <v>https://drive.google.com/open?id=1gj0XTcKScoi3VbTJQb61Kdfhp66i-Kbn</v>
      </c>
      <c r="D118" t="str">
        <f>VLOOKUP(A118,'[1]Phân công'!$B$2:$K$259,10,FALSE)</f>
        <v>https://drive.google.com/open?id=1gj0XTcKScoi3VbTJQb61Kdfhp66i-Kbn</v>
      </c>
      <c r="E118" t="str">
        <f>VLOOKUP(A118,'[1]Phân công'!$B$2:$K$259,9,FALSE)</f>
        <v>Tiếng Anh</v>
      </c>
    </row>
    <row r="119" spans="1:5" ht="15.75" customHeight="1" x14ac:dyDescent="0.35">
      <c r="A119" s="60" t="s">
        <v>543</v>
      </c>
      <c r="B119" t="str">
        <f>VLOOKUP(A119,'[1]Phân công'!$B$2:$K$259,7,FALSE)</f>
        <v>THE IMPACT OF ESG INFORMATION DISCLOSURE ON THE LIQUIDITY RISK OF COMMERCIAL BANKS IN VIETNAM</v>
      </c>
      <c r="C119" t="str">
        <f>VLOOKUP(A119,'[1]Phân công'!$B$2:$K$259,10,FALSE)</f>
        <v>https://drive.google.com/open?id=1UpXYj3H39zDtCwq-P6wIyVFpU2fPcQo2</v>
      </c>
      <c r="D119" t="str">
        <f>VLOOKUP(A119,'[1]Phân công'!$B$2:$K$259,10,FALSE)</f>
        <v>https://drive.google.com/open?id=1UpXYj3H39zDtCwq-P6wIyVFpU2fPcQo2</v>
      </c>
      <c r="E119" t="str">
        <f>VLOOKUP(A119,'[1]Phân công'!$B$2:$K$259,9,FALSE)</f>
        <v>Tiếng Anh</v>
      </c>
    </row>
    <row r="120" spans="1:5" ht="15.75" customHeight="1" x14ac:dyDescent="0.35">
      <c r="A120" s="58" t="s">
        <v>546</v>
      </c>
      <c r="B120" t="str">
        <f>VLOOKUP(A120,'[1]Phân công'!$B$2:$K$259,7,FALSE)</f>
        <v>THE IMPACT OF ESG DISCLOSURE ON THE COST OF DEBT- THE MODERATING EFFECT OF AGENCY COSTS: EVIDENCE FROM VNX50 FIRMS IN VIETNAM</v>
      </c>
      <c r="C120" t="str">
        <f>VLOOKUP(A120,'[1]Phân công'!$B$2:$K$259,10,FALSE)</f>
        <v>https://drive.google.com/open?id=1FtRwF6YaiwM030qsAMkx-ETnQDK9dG9o</v>
      </c>
      <c r="D120" t="str">
        <f>VLOOKUP(A120,'[1]Phân công'!$B$2:$K$259,10,FALSE)</f>
        <v>https://drive.google.com/open?id=1FtRwF6YaiwM030qsAMkx-ETnQDK9dG9o</v>
      </c>
      <c r="E120" t="str">
        <f>VLOOKUP(A120,'[1]Phân công'!$B$2:$K$259,9,FALSE)</f>
        <v>Tiếng Anh</v>
      </c>
    </row>
    <row r="121" spans="1:5" ht="15.75" customHeight="1" x14ac:dyDescent="0.35">
      <c r="A121" s="58" t="s">
        <v>549</v>
      </c>
      <c r="B121" t="str">
        <f>VLOOKUP(A121,'[1]Phân công'!$B$2:$K$259,7,FALSE)</f>
        <v xml:space="preserve"> FACTORS AFFECTING THE STOCK PRICES OF JOINT STOCKS COMPANIES LISTED ON THE VIET NAM STOCK EXCHANGE DURING THE PERIOD 2020-2025</v>
      </c>
      <c r="C121" t="str">
        <f>VLOOKUP(A121,'[1]Phân công'!$B$2:$K$259,10,FALSE)</f>
        <v>https://drive.google.com/open?id=1HBJOu4rsEiR22lM6WP1M8Wmzc1JOz5lp</v>
      </c>
      <c r="D121" t="str">
        <f>VLOOKUP(A121,'[1]Phân công'!$B$2:$K$259,10,FALSE)</f>
        <v>https://drive.google.com/open?id=1HBJOu4rsEiR22lM6WP1M8Wmzc1JOz5lp</v>
      </c>
      <c r="E121" t="str">
        <f>VLOOKUP(A121,'[1]Phân công'!$B$2:$K$259,9,FALSE)</f>
        <v>Tiếng Anh</v>
      </c>
    </row>
    <row r="122" spans="1:5" ht="15.75" customHeight="1" x14ac:dyDescent="0.35">
      <c r="A122" s="58" t="s">
        <v>551</v>
      </c>
      <c r="B122" t="str">
        <f>VLOOKUP(A122,'[1]Phân công'!$B$2:$K$259,7,FALSE)</f>
        <v>THE IMPACT OF FUNDING AND INCOME DIVERSIFICATION ON NON-PERFORMING LOANS: AN EMPIRICAL STUDY FROM VIETNAMESE COMMERCIAL BANKS</v>
      </c>
      <c r="C122" t="str">
        <f>VLOOKUP(A122,'[1]Phân công'!$B$2:$K$259,10,FALSE)</f>
        <v>https://drive.google.com/open?id=19Z1qKr8byoYCqKrUUuMaaD8yuC6Gudgo</v>
      </c>
      <c r="D122" t="str">
        <f>VLOOKUP(A122,'[1]Phân công'!$B$2:$K$259,10,FALSE)</f>
        <v>https://drive.google.com/open?id=19Z1qKr8byoYCqKrUUuMaaD8yuC6Gudgo</v>
      </c>
      <c r="E122" t="str">
        <f>VLOOKUP(A122,'[1]Phân công'!$B$2:$K$259,9,FALSE)</f>
        <v>Tiếng Anh</v>
      </c>
    </row>
    <row r="123" spans="1:5" ht="15.75" customHeight="1" x14ac:dyDescent="0.35">
      <c r="A123" s="58" t="s">
        <v>556</v>
      </c>
      <c r="B123" t="str">
        <f>VLOOKUP(A123,'[1]Phân công'!$B$2:$K$259,7,FALSE)</f>
        <v>THE MODERATING ROLE OF FINANCIAL STABILITY IN THE RELATIONSHIP BETWEEN PROFITABILITY AND FIRM VALUE: EVIDENCE FROM VIETNAMESE REAL ESTATE FIRMS</v>
      </c>
      <c r="C123" t="str">
        <f>VLOOKUP(A123,'[1]Phân công'!$B$2:$K$259,10,FALSE)</f>
        <v>https://drive.google.com/open?id=1G-5ZRtKZlGLeemvGCiEAebM-ps_L6waY</v>
      </c>
      <c r="D123" t="str">
        <f>VLOOKUP(A123,'[1]Phân công'!$B$2:$K$259,10,FALSE)</f>
        <v>https://drive.google.com/open?id=1G-5ZRtKZlGLeemvGCiEAebM-ps_L6waY</v>
      </c>
      <c r="E123" t="str">
        <f>VLOOKUP(A123,'[1]Phân công'!$B$2:$K$259,9,FALSE)</f>
        <v>Tiếng Anh</v>
      </c>
    </row>
    <row r="124" spans="1:5" ht="15.75" customHeight="1" x14ac:dyDescent="0.35">
      <c r="A124" s="58" t="s">
        <v>558</v>
      </c>
      <c r="B124" t="str">
        <f>VLOOKUP(A124,'[1]Phân công'!$B$2:$K$259,7,FALSE)</f>
        <v>THE IMPACT OF THE AI DISCLOSURE INDEX ON THE MARKET VALUE OF VIETNAM LISTED COMPANIES</v>
      </c>
      <c r="C124" t="str">
        <f>VLOOKUP(A124,'[1]Phân công'!$B$2:$K$259,10,FALSE)</f>
        <v>https://drive.google.com/open?id=1m9l7Y5aDeTrqHvocJz8oOOPWFDYhMIO5</v>
      </c>
      <c r="D124" t="str">
        <f>VLOOKUP(A124,'[1]Phân công'!$B$2:$K$259,10,FALSE)</f>
        <v>https://drive.google.com/open?id=1m9l7Y5aDeTrqHvocJz8oOOPWFDYhMIO5</v>
      </c>
      <c r="E124" t="str">
        <f>VLOOKUP(A124,'[1]Phân công'!$B$2:$K$259,9,FALSE)</f>
        <v>Tiếng Anh</v>
      </c>
    </row>
    <row r="125" spans="1:5" ht="15.75" customHeight="1" x14ac:dyDescent="0.35">
      <c r="A125" s="58" t="s">
        <v>561</v>
      </c>
      <c r="B125" t="str">
        <f>VLOOKUP(A125,'[1]Phân công'!$B$2:$K$259,7,FALSE)</f>
        <v>METHODS OF VALUING LISTED ENTERPRISES: THE CASE OF BINH MINH PLASTIC JOINT STOCK COMPANY</v>
      </c>
      <c r="C125" t="str">
        <f>VLOOKUP(A125,'[1]Phân công'!$B$2:$K$259,10,FALSE)</f>
        <v>https://drive.google.com/open?id=1GHkdn3sqgcwT1dyaKtr2HHdGYl5sGDfg</v>
      </c>
      <c r="D125" t="str">
        <f>VLOOKUP(A125,'[1]Phân công'!$B$2:$K$259,10,FALSE)</f>
        <v>https://drive.google.com/open?id=1GHkdn3sqgcwT1dyaKtr2HHdGYl5sGDfg</v>
      </c>
      <c r="E125" t="str">
        <f>VLOOKUP(A125,'[1]Phân công'!$B$2:$K$259,9,FALSE)</f>
        <v>Tiếng Anh</v>
      </c>
    </row>
    <row r="126" spans="1:5" ht="15.75" customHeight="1" x14ac:dyDescent="0.35">
      <c r="A126" s="58" t="s">
        <v>564</v>
      </c>
      <c r="B126" t="str">
        <f>VLOOKUP(A126,'[1]Phân công'!$B$2:$K$259,7,FALSE)</f>
        <v>ANALYSIS OF CREDIT RISK MANAGEMENT AT JOINT STOCK COMMERCIAL BANK FOR FOREIGN TRADE OF VIETNAM (VIETCOMBANK)</v>
      </c>
      <c r="C126" t="str">
        <f>VLOOKUP(A126,'[1]Phân công'!$B$2:$K$259,10,FALSE)</f>
        <v>https://drive.google.com/open?id=1EEugIlYOg-f6zlbA_qI6CGXYr0wxG79G</v>
      </c>
      <c r="D126" t="str">
        <f>VLOOKUP(A126,'[1]Phân công'!$B$2:$K$259,10,FALSE)</f>
        <v>https://drive.google.com/open?id=1EEugIlYOg-f6zlbA_qI6CGXYr0wxG79G</v>
      </c>
      <c r="E126" t="str">
        <f>VLOOKUP(A126,'[1]Phân công'!$B$2:$K$259,9,FALSE)</f>
        <v>Tiếng Anh</v>
      </c>
    </row>
    <row r="127" spans="1:5" ht="15.75" customHeight="1" x14ac:dyDescent="0.35">
      <c r="A127" s="58" t="s">
        <v>567</v>
      </c>
      <c r="B127" t="str">
        <f>VLOOKUP(A127,'[1]Phân công'!$B$2:$K$259,7,FALSE)</f>
        <v>FINANCIAL DETERMINANTS OF CORPORATE CASH HOLDINGS: EVIDENCE FROM NON-FINANCIAL LISTED COMPANIES IN VIETNAM</v>
      </c>
      <c r="C127" t="str">
        <f>VLOOKUP(A127,'[1]Phân công'!$B$2:$K$259,10,FALSE)</f>
        <v>https://drive.google.com/open?id=1Rwo5UibdDKr23FYYs5uFNi0kccDucLfJ</v>
      </c>
      <c r="D127" t="str">
        <f>VLOOKUP(A127,'[1]Phân công'!$B$2:$K$259,10,FALSE)</f>
        <v>https://drive.google.com/open?id=1Rwo5UibdDKr23FYYs5uFNi0kccDucLfJ</v>
      </c>
      <c r="E127" t="str">
        <f>VLOOKUP(A127,'[1]Phân công'!$B$2:$K$259,9,FALSE)</f>
        <v>Tiếng Anh</v>
      </c>
    </row>
    <row r="128" spans="1:5" ht="15.75" customHeight="1" x14ac:dyDescent="0.35">
      <c r="A128" s="58" t="s">
        <v>568</v>
      </c>
      <c r="B128" t="str">
        <f>VLOOKUP(A128,'[1]Phân công'!$B$2:$K$259,7,FALSE)</f>
        <v>THE IMPACT OF BOARD GENDER DIVERSITY ON THE FIRM VALUE OF LISTED FIRMS IN VIETNAM</v>
      </c>
      <c r="C128" t="str">
        <f>VLOOKUP(A128,'[1]Phân công'!$B$2:$K$259,10,FALSE)</f>
        <v>https://drive.google.com/open?id=1Wv57NATsyfsfOJ3Wqu4_xw5aLiFUfFqQ</v>
      </c>
      <c r="D128" t="str">
        <f>VLOOKUP(A128,'[1]Phân công'!$B$2:$K$259,10,FALSE)</f>
        <v>https://drive.google.com/open?id=1Wv57NATsyfsfOJ3Wqu4_xw5aLiFUfFqQ</v>
      </c>
      <c r="E128" t="str">
        <f>VLOOKUP(A128,'[1]Phân công'!$B$2:$K$259,9,FALSE)</f>
        <v>Tiếng Anh</v>
      </c>
    </row>
    <row r="129" spans="1:5" ht="15.75" customHeight="1" x14ac:dyDescent="0.35">
      <c r="A129" s="58" t="s">
        <v>571</v>
      </c>
      <c r="B129" t="str">
        <f>VLOOKUP(A129,'[1]Phân công'!$B$2:$K$259,7,FALSE)</f>
        <v>INVESTMENT EFFICIENCY AND FIRM-LEVEL DETERMINANTS OF  INVESTMENT DEVIATION: EVIDENCE FROM VIETNAMESE NON-FINANCIAL FIRMS</v>
      </c>
      <c r="C129" t="str">
        <f>VLOOKUP(A129,'[1]Phân công'!$B$2:$K$259,10,FALSE)</f>
        <v>https://drive.google.com/open?id=1MOnapvIgYdr1i72IMc5zK9k5TVMNhl_D</v>
      </c>
      <c r="D129" t="str">
        <f>VLOOKUP(A129,'[1]Phân công'!$B$2:$K$259,10,FALSE)</f>
        <v>https://drive.google.com/open?id=1MOnapvIgYdr1i72IMc5zK9k5TVMNhl_D</v>
      </c>
      <c r="E129" t="str">
        <f>VLOOKUP(A129,'[1]Phân công'!$B$2:$K$259,9,FALSE)</f>
        <v>Tiếng Anh</v>
      </c>
    </row>
    <row r="130" spans="1:5" ht="15.75" customHeight="1" x14ac:dyDescent="0.35">
      <c r="A130" s="58" t="s">
        <v>576</v>
      </c>
      <c r="B130" t="str">
        <f>VLOOKUP(A130,'[1]Phân công'!$B$2:$K$259,7,FALSE)</f>
        <v xml:space="preserve">FACTORS IMPACT ON FINANCIAL SUSTAINABILITY IN  VIETNAMESE JOINT STOCK COMMERCIAL BANKS  DURING THE PERIOD: A QUANTILE-BASED APPROACH </v>
      </c>
      <c r="C130" t="str">
        <f>VLOOKUP(A130,'[1]Phân công'!$B$2:$K$259,10,FALSE)</f>
        <v>https://drive.google.com/open?id=1rE1KUM2gCZLbUrOD1CaHIhcJ24SpDQwL</v>
      </c>
      <c r="D130" t="str">
        <f>VLOOKUP(A130,'[1]Phân công'!$B$2:$K$259,10,FALSE)</f>
        <v>https://drive.google.com/open?id=1rE1KUM2gCZLbUrOD1CaHIhcJ24SpDQwL</v>
      </c>
      <c r="E130" t="str">
        <f>VLOOKUP(A130,'[1]Phân công'!$B$2:$K$259,9,FALSE)</f>
        <v>Tiếng Anh</v>
      </c>
    </row>
    <row r="131" spans="1:5" ht="15.75" customHeight="1" x14ac:dyDescent="0.35">
      <c r="A131" s="58" t="s">
        <v>578</v>
      </c>
      <c r="B131" t="str">
        <f>VLOOKUP(A131,'[1]Phân công'!$B$2:$K$259,7,FALSE)</f>
        <v xml:space="preserve">ANALYSIS OF FINANCIAL MANAGEMENT EFFICIENCY OF HO CHI MINH CITY DEVELOPMENT JOINT STOCK COMMECIAL BANK (HDBANK) USING THE CAMELS FRAMEWORK DURING THE PERIOD 2019 – 2023 </v>
      </c>
      <c r="C131" t="str">
        <f>VLOOKUP(A131,'[1]Phân công'!$B$2:$K$259,10,FALSE)</f>
        <v>https://drive.google.com/open?id=1IZUczFmSsSUx3cFTANtXrp3D_qMwm_9P</v>
      </c>
      <c r="D131" t="str">
        <f>VLOOKUP(A131,'[1]Phân công'!$B$2:$K$259,10,FALSE)</f>
        <v>https://drive.google.com/open?id=1IZUczFmSsSUx3cFTANtXrp3D_qMwm_9P</v>
      </c>
      <c r="E131" t="str">
        <f>VLOOKUP(A131,'[1]Phân công'!$B$2:$K$259,9,FALSE)</f>
        <v>Tiếng Anh</v>
      </c>
    </row>
    <row r="132" spans="1:5" ht="15.75" customHeight="1" x14ac:dyDescent="0.35">
      <c r="A132" s="58" t="s">
        <v>580</v>
      </c>
      <c r="B132" t="str">
        <f>VLOOKUP(A132,'[1]Phân công'!$B$2:$K$259,7,FALSE)</f>
        <v>THE IMPACT OF FINANCIAL LEVERAGE ON FIRM VALUE OF HOSE-LISTED MANUFACTURING COMPANIES (2016–2024)</v>
      </c>
      <c r="C132" t="str">
        <f>VLOOKUP(A132,'[1]Phân công'!$B$2:$K$259,10,FALSE)</f>
        <v>https://drive.google.com/open?id=1Vz5BNY90QzJDn0TAS3F6VG7YZJ-njYP4</v>
      </c>
      <c r="D132" t="str">
        <f>VLOOKUP(A132,'[1]Phân công'!$B$2:$K$259,10,FALSE)</f>
        <v>https://drive.google.com/open?id=1Vz5BNY90QzJDn0TAS3F6VG7YZJ-njYP4</v>
      </c>
      <c r="E132" t="str">
        <f>VLOOKUP(A132,'[1]Phân công'!$B$2:$K$259,9,FALSE)</f>
        <v>Tiếng Anh</v>
      </c>
    </row>
    <row r="133" spans="1:5" ht="15.75" customHeight="1" x14ac:dyDescent="0.35">
      <c r="A133" s="58" t="s">
        <v>582</v>
      </c>
      <c r="B133" t="str">
        <f>VLOOKUP(A133,'[1]Phân công'!$B$2:$K$259,7,FALSE)</f>
        <v>FACTORS AFFECTING THE FINANCIAL PERFORMANCE OF COMMERCIAL BANKS IN VIETNAM</v>
      </c>
      <c r="C133" t="str">
        <f>VLOOKUP(A133,'[1]Phân công'!$B$2:$K$259,10,FALSE)</f>
        <v>https://drive.google.com/open?id=1mbOmRU9UhnMj1e3Ac0UBN7MiyAPrul9H</v>
      </c>
      <c r="D133" t="str">
        <f>VLOOKUP(A133,'[1]Phân công'!$B$2:$K$259,10,FALSE)</f>
        <v>https://drive.google.com/open?id=1mbOmRU9UhnMj1e3Ac0UBN7MiyAPrul9H</v>
      </c>
      <c r="E133" t="str">
        <f>VLOOKUP(A133,'[1]Phân công'!$B$2:$K$259,9,FALSE)</f>
        <v>Tiếng Anh</v>
      </c>
    </row>
    <row r="134" spans="1:5" ht="15.75" customHeight="1" x14ac:dyDescent="0.35">
      <c r="A134" s="58" t="s">
        <v>585</v>
      </c>
      <c r="B134" t="str">
        <f>VLOOKUP(A134,'[1]Phân công'!$B$2:$K$259,7,FALSE)</f>
        <v>THE IMPACT OF ESG AND INSTITUTIONAL QUALITY ON BANK PERFORMANCE AND STABILITY: PANEL EVIDENCE FROM ASEAN COUNTRIES</v>
      </c>
      <c r="C134" t="str">
        <f>VLOOKUP(A134,'[1]Phân công'!$B$2:$K$259,10,FALSE)</f>
        <v>https://drive.google.com/open?id=1HDFZ27W2ti4R7JiNZX60LbPV6QPoNJXW</v>
      </c>
      <c r="D134" t="str">
        <f>VLOOKUP(A134,'[1]Phân công'!$B$2:$K$259,10,FALSE)</f>
        <v>https://drive.google.com/open?id=1HDFZ27W2ti4R7JiNZX60LbPV6QPoNJXW</v>
      </c>
      <c r="E134" t="str">
        <f>VLOOKUP(A134,'[1]Phân công'!$B$2:$K$259,9,FALSE)</f>
        <v>Tiếng Anh</v>
      </c>
    </row>
    <row r="135" spans="1:5" ht="15.75" customHeight="1" x14ac:dyDescent="0.35">
      <c r="A135" s="58" t="s">
        <v>588</v>
      </c>
      <c r="B135" t="str">
        <f>VLOOKUP(A135,'[1]Phân công'!$B$2:$K$259,7,FALSE)</f>
        <v>THE IMPACT OF BANK GUARANTEE ACTIVITIES ON RISK AND PERFORMANCE OF VIETNAMESE COMMERCIAL BANKS</v>
      </c>
      <c r="C135" t="str">
        <f>VLOOKUP(A135,'[1]Phân công'!$B$2:$K$259,10,FALSE)</f>
        <v>https://drive.google.com/open?id=1zV0AxzFWbckwNf0kiz2DTMLGHOlco-wW</v>
      </c>
      <c r="D135" t="str">
        <f>VLOOKUP(A135,'[1]Phân công'!$B$2:$K$259,10,FALSE)</f>
        <v>https://drive.google.com/open?id=1zV0AxzFWbckwNf0kiz2DTMLGHOlco-wW</v>
      </c>
      <c r="E135" t="str">
        <f>VLOOKUP(A135,'[1]Phân công'!$B$2:$K$259,9,FALSE)</f>
        <v>Tiếng Anh</v>
      </c>
    </row>
    <row r="136" spans="1:5" ht="15.75" customHeight="1" x14ac:dyDescent="0.35">
      <c r="A136" s="58" t="s">
        <v>591</v>
      </c>
      <c r="B136" t="str">
        <f>VLOOKUP(A136,'[1]Phân công'!$B$2:$K$259,7,FALSE)</f>
        <v>ECONOMIC POLICY UNCERTAINTY AND CORPORATE CASH HOLDINGS: EVIDENCE FROM VIETNAMESE NON-FINANCIAL LISTED FIRM</v>
      </c>
      <c r="C136" t="str">
        <f>VLOOKUP(A136,'[1]Phân công'!$B$2:$K$259,10,FALSE)</f>
        <v>https://drive.google.com/open?id=1GCzdV9VoSgQuVtz80IXTmJgiOSezGoF0</v>
      </c>
      <c r="D136" t="str">
        <f>VLOOKUP(A136,'[1]Phân công'!$B$2:$K$259,10,FALSE)</f>
        <v>https://drive.google.com/open?id=1GCzdV9VoSgQuVtz80IXTmJgiOSezGoF0</v>
      </c>
      <c r="E136" t="str">
        <f>VLOOKUP(A136,'[1]Phân công'!$B$2:$K$259,9,FALSE)</f>
        <v>Tiếng Anh</v>
      </c>
    </row>
  </sheetData>
  <autoFilter ref="A1:H136"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4296875" defaultRowHeight="15" customHeight="1" x14ac:dyDescent="0.25"/>
  <sheetData>
    <row r="1" spans="1:12" ht="15" customHeight="1" x14ac:dyDescent="0.35">
      <c r="A1" s="3" t="s">
        <v>1</v>
      </c>
      <c r="B1" s="3" t="s">
        <v>598</v>
      </c>
      <c r="C1" s="3" t="s">
        <v>599</v>
      </c>
      <c r="D1" s="3" t="s">
        <v>600</v>
      </c>
      <c r="E1" s="3" t="s">
        <v>601</v>
      </c>
      <c r="F1" s="3" t="s">
        <v>602</v>
      </c>
      <c r="G1" s="3" t="s">
        <v>603</v>
      </c>
      <c r="H1" s="3" t="s">
        <v>604</v>
      </c>
      <c r="I1" s="3" t="s">
        <v>605</v>
      </c>
      <c r="J1" s="3" t="s">
        <v>606</v>
      </c>
      <c r="K1" s="3" t="s">
        <v>607</v>
      </c>
      <c r="L1" s="3" t="s">
        <v>608</v>
      </c>
    </row>
    <row r="2" spans="1:12" ht="15" customHeight="1" x14ac:dyDescent="0.35">
      <c r="A2" s="3" t="s">
        <v>444</v>
      </c>
      <c r="B2" s="3" t="s">
        <v>445</v>
      </c>
      <c r="C2" s="3" t="s">
        <v>609</v>
      </c>
      <c r="D2" s="3">
        <v>767551049</v>
      </c>
      <c r="E2" s="3" t="s">
        <v>610</v>
      </c>
      <c r="F2" s="3" t="s">
        <v>611</v>
      </c>
      <c r="G2" s="3" t="s">
        <v>612</v>
      </c>
      <c r="H2" s="3" t="s">
        <v>613</v>
      </c>
      <c r="I2" s="3" t="s">
        <v>614</v>
      </c>
      <c r="J2" s="3">
        <v>124</v>
      </c>
      <c r="K2" s="3">
        <v>8.6</v>
      </c>
      <c r="L2" s="3" t="s">
        <v>615</v>
      </c>
    </row>
    <row r="3" spans="1:12" ht="15" customHeight="1" x14ac:dyDescent="0.35">
      <c r="A3" s="3" t="s">
        <v>303</v>
      </c>
      <c r="B3" s="3" t="s">
        <v>304</v>
      </c>
      <c r="C3" s="4">
        <v>38175</v>
      </c>
      <c r="D3" s="3">
        <v>858485811</v>
      </c>
      <c r="E3" s="3" t="s">
        <v>616</v>
      </c>
      <c r="F3" s="3">
        <v>412</v>
      </c>
      <c r="G3" s="3" t="s">
        <v>617</v>
      </c>
      <c r="H3" s="3" t="s">
        <v>613</v>
      </c>
      <c r="I3" s="3" t="s">
        <v>614</v>
      </c>
      <c r="J3" s="3">
        <v>124</v>
      </c>
      <c r="K3" s="3">
        <v>8.51</v>
      </c>
      <c r="L3" s="3" t="s">
        <v>615</v>
      </c>
    </row>
    <row r="4" spans="1:12" ht="15" customHeight="1" x14ac:dyDescent="0.35">
      <c r="A4" s="3" t="s">
        <v>446</v>
      </c>
      <c r="B4" s="3" t="s">
        <v>447</v>
      </c>
      <c r="C4" s="3" t="s">
        <v>618</v>
      </c>
      <c r="D4" s="3">
        <v>943865399</v>
      </c>
      <c r="E4" s="3" t="s">
        <v>619</v>
      </c>
      <c r="F4" s="3">
        <v>404</v>
      </c>
      <c r="G4" s="3" t="s">
        <v>620</v>
      </c>
      <c r="H4" s="3" t="s">
        <v>613</v>
      </c>
      <c r="I4" s="3" t="s">
        <v>614</v>
      </c>
      <c r="J4" s="3">
        <v>128</v>
      </c>
      <c r="K4" s="3">
        <v>8.51</v>
      </c>
      <c r="L4" s="3" t="s">
        <v>615</v>
      </c>
    </row>
    <row r="5" spans="1:12" ht="15" customHeight="1" x14ac:dyDescent="0.35">
      <c r="A5" s="3" t="s">
        <v>257</v>
      </c>
      <c r="B5" s="3" t="s">
        <v>258</v>
      </c>
      <c r="C5" s="3" t="s">
        <v>621</v>
      </c>
      <c r="D5" s="3">
        <v>816109429</v>
      </c>
      <c r="E5" s="3" t="s">
        <v>622</v>
      </c>
      <c r="F5" s="3">
        <v>412</v>
      </c>
      <c r="G5" s="3" t="s">
        <v>617</v>
      </c>
      <c r="H5" s="3" t="s">
        <v>613</v>
      </c>
      <c r="I5" s="3" t="s">
        <v>614</v>
      </c>
      <c r="J5" s="3">
        <v>121</v>
      </c>
      <c r="K5" s="3">
        <v>7.4</v>
      </c>
      <c r="L5" s="3" t="s">
        <v>623</v>
      </c>
    </row>
    <row r="6" spans="1:12" ht="15" customHeight="1" x14ac:dyDescent="0.35">
      <c r="A6" s="3" t="s">
        <v>260</v>
      </c>
      <c r="B6" s="3" t="s">
        <v>261</v>
      </c>
      <c r="C6" s="5">
        <v>38332</v>
      </c>
      <c r="D6" s="3">
        <v>911789147</v>
      </c>
      <c r="E6" s="3" t="s">
        <v>624</v>
      </c>
      <c r="F6" s="3">
        <v>412</v>
      </c>
      <c r="G6" s="3" t="s">
        <v>617</v>
      </c>
      <c r="H6" s="3" t="s">
        <v>613</v>
      </c>
      <c r="I6" s="3" t="s">
        <v>614</v>
      </c>
      <c r="J6" s="3">
        <v>124</v>
      </c>
      <c r="K6" s="3">
        <v>7.24</v>
      </c>
      <c r="L6" s="3" t="s">
        <v>623</v>
      </c>
    </row>
    <row r="7" spans="1:12" ht="15" customHeight="1" x14ac:dyDescent="0.35">
      <c r="A7" s="3" t="s">
        <v>262</v>
      </c>
      <c r="B7" s="3" t="s">
        <v>263</v>
      </c>
      <c r="C7" s="4">
        <v>38201</v>
      </c>
      <c r="D7" s="3">
        <v>862209865</v>
      </c>
      <c r="E7" s="3" t="s">
        <v>625</v>
      </c>
      <c r="F7" s="3">
        <v>412</v>
      </c>
      <c r="G7" s="3" t="s">
        <v>617</v>
      </c>
      <c r="H7" s="3" t="s">
        <v>613</v>
      </c>
      <c r="I7" s="3" t="s">
        <v>614</v>
      </c>
      <c r="J7" s="3">
        <v>124</v>
      </c>
      <c r="K7" s="3">
        <v>7.36</v>
      </c>
      <c r="L7" s="3" t="s">
        <v>623</v>
      </c>
    </row>
    <row r="8" spans="1:12" ht="15" customHeight="1" x14ac:dyDescent="0.35">
      <c r="A8" s="3" t="s">
        <v>306</v>
      </c>
      <c r="B8" s="3" t="s">
        <v>307</v>
      </c>
      <c r="C8" s="3" t="s">
        <v>626</v>
      </c>
      <c r="D8" s="3">
        <v>949271804</v>
      </c>
      <c r="E8" s="3" t="s">
        <v>627</v>
      </c>
      <c r="F8" s="3">
        <v>412</v>
      </c>
      <c r="G8" s="3" t="s">
        <v>617</v>
      </c>
      <c r="H8" s="3" t="s">
        <v>613</v>
      </c>
      <c r="I8" s="3" t="s">
        <v>614</v>
      </c>
      <c r="J8" s="3">
        <v>124</v>
      </c>
      <c r="K8" s="3">
        <v>7.99</v>
      </c>
      <c r="L8" s="3" t="s">
        <v>623</v>
      </c>
    </row>
    <row r="9" spans="1:12" ht="15" customHeight="1" x14ac:dyDescent="0.35">
      <c r="A9" s="3" t="s">
        <v>481</v>
      </c>
      <c r="B9" s="3" t="s">
        <v>482</v>
      </c>
      <c r="C9" s="4">
        <v>38027</v>
      </c>
      <c r="D9" s="6"/>
      <c r="E9" s="3" t="s">
        <v>628</v>
      </c>
      <c r="F9" s="3">
        <v>404</v>
      </c>
      <c r="G9" s="3" t="s">
        <v>620</v>
      </c>
      <c r="H9" s="3" t="s">
        <v>613</v>
      </c>
      <c r="I9" s="3" t="s">
        <v>614</v>
      </c>
      <c r="J9" s="3">
        <v>122</v>
      </c>
      <c r="K9" s="3">
        <v>8.25</v>
      </c>
      <c r="L9" s="3" t="s">
        <v>615</v>
      </c>
    </row>
    <row r="10" spans="1:12" ht="15" customHeight="1" x14ac:dyDescent="0.35">
      <c r="A10" s="3" t="s">
        <v>448</v>
      </c>
      <c r="B10" s="3" t="s">
        <v>449</v>
      </c>
      <c r="C10" s="3" t="s">
        <v>629</v>
      </c>
      <c r="D10" s="3">
        <v>835484304</v>
      </c>
      <c r="E10" s="3" t="s">
        <v>630</v>
      </c>
      <c r="F10" s="3">
        <v>404</v>
      </c>
      <c r="G10" s="3" t="s">
        <v>620</v>
      </c>
      <c r="H10" s="3" t="s">
        <v>613</v>
      </c>
      <c r="I10" s="3" t="s">
        <v>614</v>
      </c>
      <c r="J10" s="3">
        <v>126</v>
      </c>
      <c r="K10" s="3">
        <v>8.4600000000000009</v>
      </c>
      <c r="L10" s="3" t="s">
        <v>615</v>
      </c>
    </row>
    <row r="11" spans="1:12" ht="15" customHeight="1" x14ac:dyDescent="0.35">
      <c r="A11" s="3" t="s">
        <v>450</v>
      </c>
      <c r="B11" s="3" t="s">
        <v>451</v>
      </c>
      <c r="C11" s="3" t="s">
        <v>631</v>
      </c>
      <c r="D11" s="3">
        <v>794563867</v>
      </c>
      <c r="E11" s="3" t="s">
        <v>632</v>
      </c>
      <c r="F11" s="3">
        <v>404</v>
      </c>
      <c r="G11" s="3" t="s">
        <v>620</v>
      </c>
      <c r="H11" s="3" t="s">
        <v>613</v>
      </c>
      <c r="I11" s="3" t="s">
        <v>614</v>
      </c>
      <c r="J11" s="3">
        <v>126</v>
      </c>
      <c r="K11" s="3">
        <v>8.09</v>
      </c>
      <c r="L11" s="3" t="s">
        <v>615</v>
      </c>
    </row>
    <row r="12" spans="1:12" ht="15" customHeight="1" x14ac:dyDescent="0.35">
      <c r="A12" s="3" t="s">
        <v>452</v>
      </c>
      <c r="B12" s="3" t="s">
        <v>453</v>
      </c>
      <c r="C12" s="4">
        <v>37842</v>
      </c>
      <c r="D12" s="3">
        <v>363954822</v>
      </c>
      <c r="E12" s="3" t="s">
        <v>633</v>
      </c>
      <c r="F12" s="3">
        <v>404</v>
      </c>
      <c r="G12" s="3" t="s">
        <v>620</v>
      </c>
      <c r="H12" s="3" t="s">
        <v>613</v>
      </c>
      <c r="I12" s="3" t="s">
        <v>614</v>
      </c>
      <c r="J12" s="3">
        <v>126</v>
      </c>
      <c r="K12" s="3">
        <v>8.0500000000000007</v>
      </c>
      <c r="L12" s="3" t="s">
        <v>615</v>
      </c>
    </row>
    <row r="13" spans="1:12" ht="15" customHeight="1" x14ac:dyDescent="0.35">
      <c r="A13" s="3" t="s">
        <v>454</v>
      </c>
      <c r="B13" s="3" t="s">
        <v>455</v>
      </c>
      <c r="C13" s="4">
        <v>38328</v>
      </c>
      <c r="D13" s="6"/>
      <c r="E13" s="3" t="s">
        <v>634</v>
      </c>
      <c r="F13" s="3">
        <v>404</v>
      </c>
      <c r="G13" s="3" t="s">
        <v>620</v>
      </c>
      <c r="H13" s="3" t="s">
        <v>613</v>
      </c>
      <c r="I13" s="3" t="s">
        <v>614</v>
      </c>
      <c r="J13" s="3">
        <v>126</v>
      </c>
      <c r="K13" s="3">
        <v>7.96</v>
      </c>
      <c r="L13" s="3" t="s">
        <v>623</v>
      </c>
    </row>
    <row r="14" spans="1:12" ht="15" customHeight="1" x14ac:dyDescent="0.35">
      <c r="A14" s="3" t="s">
        <v>456</v>
      </c>
      <c r="B14" s="3" t="s">
        <v>457</v>
      </c>
      <c r="C14" s="4">
        <v>36861</v>
      </c>
      <c r="D14" s="6"/>
      <c r="E14" s="3" t="s">
        <v>635</v>
      </c>
      <c r="F14" s="3">
        <v>404</v>
      </c>
      <c r="G14" s="3" t="s">
        <v>620</v>
      </c>
      <c r="H14" s="3" t="s">
        <v>613</v>
      </c>
      <c r="I14" s="3" t="s">
        <v>614</v>
      </c>
      <c r="J14" s="3">
        <v>126</v>
      </c>
      <c r="K14" s="3">
        <v>7.69</v>
      </c>
      <c r="L14" s="3" t="s">
        <v>623</v>
      </c>
    </row>
    <row r="15" spans="1:12" ht="15" customHeight="1" x14ac:dyDescent="0.35">
      <c r="A15" s="3" t="s">
        <v>458</v>
      </c>
      <c r="B15" s="3" t="s">
        <v>459</v>
      </c>
      <c r="C15" s="3" t="s">
        <v>636</v>
      </c>
      <c r="D15" s="3">
        <v>901669495</v>
      </c>
      <c r="E15" s="3" t="s">
        <v>637</v>
      </c>
      <c r="F15" s="3">
        <v>404</v>
      </c>
      <c r="G15" s="3" t="s">
        <v>620</v>
      </c>
      <c r="H15" s="3" t="s">
        <v>613</v>
      </c>
      <c r="I15" s="3" t="s">
        <v>614</v>
      </c>
      <c r="J15" s="3">
        <v>126</v>
      </c>
      <c r="K15" s="3">
        <v>8.2899999999999991</v>
      </c>
      <c r="L15" s="3" t="s">
        <v>615</v>
      </c>
    </row>
    <row r="16" spans="1:12" ht="15" customHeight="1" x14ac:dyDescent="0.35">
      <c r="A16" s="3" t="s">
        <v>494</v>
      </c>
      <c r="B16" s="3" t="s">
        <v>495</v>
      </c>
      <c r="C16" s="3" t="s">
        <v>638</v>
      </c>
      <c r="D16" s="3">
        <v>867050070</v>
      </c>
      <c r="E16" s="3" t="s">
        <v>639</v>
      </c>
      <c r="F16" s="3">
        <v>404</v>
      </c>
      <c r="G16" s="3" t="s">
        <v>620</v>
      </c>
      <c r="H16" s="3" t="s">
        <v>613</v>
      </c>
      <c r="I16" s="3" t="s">
        <v>614</v>
      </c>
      <c r="J16" s="3">
        <v>126</v>
      </c>
      <c r="K16" s="3">
        <v>8.49</v>
      </c>
      <c r="L16" s="3" t="s">
        <v>615</v>
      </c>
    </row>
    <row r="17" spans="1:12" ht="15" customHeight="1" x14ac:dyDescent="0.35">
      <c r="A17" s="3" t="s">
        <v>264</v>
      </c>
      <c r="B17" s="3" t="s">
        <v>265</v>
      </c>
      <c r="C17" s="4">
        <v>38267</v>
      </c>
      <c r="D17" s="3">
        <v>394377963</v>
      </c>
      <c r="E17" s="3" t="s">
        <v>640</v>
      </c>
      <c r="F17" s="3">
        <v>412</v>
      </c>
      <c r="G17" s="3" t="s">
        <v>617</v>
      </c>
      <c r="H17" s="3" t="s">
        <v>613</v>
      </c>
      <c r="I17" s="3" t="s">
        <v>614</v>
      </c>
      <c r="J17" s="3">
        <v>124</v>
      </c>
      <c r="K17" s="3">
        <v>7.06</v>
      </c>
      <c r="L17" s="3" t="s">
        <v>623</v>
      </c>
    </row>
    <row r="18" spans="1:12" ht="15" customHeight="1" x14ac:dyDescent="0.35">
      <c r="A18" s="3" t="s">
        <v>496</v>
      </c>
      <c r="B18" s="3" t="s">
        <v>497</v>
      </c>
      <c r="C18" s="3" t="s">
        <v>641</v>
      </c>
      <c r="D18" s="3">
        <v>787300568</v>
      </c>
      <c r="E18" s="3" t="s">
        <v>642</v>
      </c>
      <c r="F18" s="3">
        <v>404</v>
      </c>
      <c r="G18" s="3" t="s">
        <v>620</v>
      </c>
      <c r="H18" s="3" t="s">
        <v>613</v>
      </c>
      <c r="I18" s="3" t="s">
        <v>614</v>
      </c>
      <c r="J18" s="3">
        <v>126</v>
      </c>
      <c r="K18" s="3">
        <v>8.1199999999999992</v>
      </c>
      <c r="L18" s="3" t="s">
        <v>615</v>
      </c>
    </row>
    <row r="19" spans="1:12" ht="15" customHeight="1" x14ac:dyDescent="0.35">
      <c r="A19" s="3" t="s">
        <v>514</v>
      </c>
      <c r="B19" s="3" t="s">
        <v>515</v>
      </c>
      <c r="C19" s="3" t="s">
        <v>643</v>
      </c>
      <c r="D19" s="6"/>
      <c r="E19" s="3" t="s">
        <v>644</v>
      </c>
      <c r="F19" s="3">
        <v>404</v>
      </c>
      <c r="G19" s="3" t="s">
        <v>620</v>
      </c>
      <c r="H19" s="3" t="s">
        <v>613</v>
      </c>
      <c r="I19" s="3" t="s">
        <v>614</v>
      </c>
      <c r="J19" s="3">
        <v>124</v>
      </c>
      <c r="K19" s="3">
        <v>8.41</v>
      </c>
      <c r="L19" s="3" t="s">
        <v>615</v>
      </c>
    </row>
    <row r="20" spans="1:12" ht="15" customHeight="1" x14ac:dyDescent="0.35">
      <c r="A20" s="3" t="s">
        <v>401</v>
      </c>
      <c r="B20" s="3" t="s">
        <v>402</v>
      </c>
      <c r="C20" s="4">
        <v>38087</v>
      </c>
      <c r="D20" s="3">
        <v>768658405</v>
      </c>
      <c r="E20" s="3" t="s">
        <v>645</v>
      </c>
      <c r="F20" s="3">
        <v>404</v>
      </c>
      <c r="G20" s="3" t="s">
        <v>620</v>
      </c>
      <c r="H20" s="3" t="s">
        <v>613</v>
      </c>
      <c r="I20" s="3" t="s">
        <v>614</v>
      </c>
      <c r="J20" s="3">
        <v>122</v>
      </c>
      <c r="K20" s="3">
        <v>8.98</v>
      </c>
      <c r="L20" s="3" t="s">
        <v>615</v>
      </c>
    </row>
    <row r="21" spans="1:12" ht="15" customHeight="1" x14ac:dyDescent="0.35">
      <c r="A21" s="3" t="s">
        <v>308</v>
      </c>
      <c r="B21" s="3" t="s">
        <v>309</v>
      </c>
      <c r="C21" s="3" t="s">
        <v>646</v>
      </c>
      <c r="D21" s="3">
        <v>931969308</v>
      </c>
      <c r="E21" s="3" t="s">
        <v>647</v>
      </c>
      <c r="F21" s="3">
        <v>412</v>
      </c>
      <c r="G21" s="3" t="s">
        <v>617</v>
      </c>
      <c r="H21" s="3" t="s">
        <v>613</v>
      </c>
      <c r="I21" s="3" t="s">
        <v>614</v>
      </c>
      <c r="J21" s="3">
        <v>124</v>
      </c>
      <c r="K21" s="3">
        <v>7.41</v>
      </c>
      <c r="L21" s="3" t="s">
        <v>623</v>
      </c>
    </row>
    <row r="22" spans="1:12" ht="15" customHeight="1" x14ac:dyDescent="0.35">
      <c r="A22" s="3" t="s">
        <v>169</v>
      </c>
      <c r="B22" s="3" t="s">
        <v>170</v>
      </c>
      <c r="C22" s="4">
        <v>38111</v>
      </c>
      <c r="D22" s="3">
        <v>839257952</v>
      </c>
      <c r="E22" s="3" t="s">
        <v>648</v>
      </c>
      <c r="F22" s="3">
        <v>404</v>
      </c>
      <c r="G22" s="3" t="s">
        <v>620</v>
      </c>
      <c r="H22" s="3" t="s">
        <v>613</v>
      </c>
      <c r="I22" s="3" t="s">
        <v>614</v>
      </c>
      <c r="J22" s="3">
        <v>126</v>
      </c>
      <c r="K22" s="3">
        <v>8.39</v>
      </c>
      <c r="L22" s="3" t="s">
        <v>615</v>
      </c>
    </row>
    <row r="23" spans="1:12" ht="15" customHeight="1" x14ac:dyDescent="0.35">
      <c r="A23" s="3" t="s">
        <v>172</v>
      </c>
      <c r="B23" s="3" t="s">
        <v>173</v>
      </c>
      <c r="C23" s="3" t="s">
        <v>649</v>
      </c>
      <c r="D23" s="3">
        <v>918276265</v>
      </c>
      <c r="E23" s="3" t="s">
        <v>650</v>
      </c>
      <c r="F23" s="3">
        <v>404</v>
      </c>
      <c r="G23" s="3" t="s">
        <v>620</v>
      </c>
      <c r="H23" s="3" t="s">
        <v>613</v>
      </c>
      <c r="I23" s="3" t="s">
        <v>614</v>
      </c>
      <c r="J23" s="3">
        <v>126</v>
      </c>
      <c r="K23" s="3">
        <v>8.61</v>
      </c>
      <c r="L23" s="3" t="s">
        <v>615</v>
      </c>
    </row>
    <row r="24" spans="1:12" ht="15" customHeight="1" x14ac:dyDescent="0.35">
      <c r="A24" s="3" t="s">
        <v>310</v>
      </c>
      <c r="B24" s="3" t="s">
        <v>311</v>
      </c>
      <c r="C24" s="3" t="s">
        <v>651</v>
      </c>
      <c r="D24" s="3">
        <v>589103713</v>
      </c>
      <c r="E24" s="3" t="s">
        <v>652</v>
      </c>
      <c r="F24" s="3">
        <v>412</v>
      </c>
      <c r="G24" s="3" t="s">
        <v>617</v>
      </c>
      <c r="H24" s="3" t="s">
        <v>613</v>
      </c>
      <c r="I24" s="3" t="s">
        <v>653</v>
      </c>
      <c r="J24" s="3">
        <v>124</v>
      </c>
      <c r="K24" s="3">
        <v>7.51</v>
      </c>
      <c r="L24" s="3" t="s">
        <v>623</v>
      </c>
    </row>
    <row r="25" spans="1:12" ht="15" customHeight="1" x14ac:dyDescent="0.35">
      <c r="A25" s="3" t="s">
        <v>174</v>
      </c>
      <c r="B25" s="3" t="s">
        <v>175</v>
      </c>
      <c r="C25" s="3" t="s">
        <v>631</v>
      </c>
      <c r="D25" s="3">
        <v>852955447</v>
      </c>
      <c r="E25" s="3" t="s">
        <v>654</v>
      </c>
      <c r="F25" s="3">
        <v>404</v>
      </c>
      <c r="G25" s="3" t="s">
        <v>620</v>
      </c>
      <c r="H25" s="3" t="s">
        <v>613</v>
      </c>
      <c r="I25" s="3" t="s">
        <v>614</v>
      </c>
      <c r="J25" s="3">
        <v>130</v>
      </c>
      <c r="K25" s="3">
        <v>7.72</v>
      </c>
      <c r="L25" s="3" t="s">
        <v>623</v>
      </c>
    </row>
    <row r="26" spans="1:12" ht="15" customHeight="1" x14ac:dyDescent="0.35">
      <c r="A26" s="3" t="s">
        <v>266</v>
      </c>
      <c r="B26" s="3" t="s">
        <v>267</v>
      </c>
      <c r="C26" s="3" t="s">
        <v>655</v>
      </c>
      <c r="D26" s="3">
        <v>867573703</v>
      </c>
      <c r="E26" s="3" t="s">
        <v>656</v>
      </c>
      <c r="F26" s="3">
        <v>412</v>
      </c>
      <c r="G26" s="3" t="s">
        <v>617</v>
      </c>
      <c r="H26" s="3" t="s">
        <v>613</v>
      </c>
      <c r="I26" s="3" t="s">
        <v>614</v>
      </c>
      <c r="J26" s="3">
        <v>124</v>
      </c>
      <c r="K26" s="3">
        <v>7.62</v>
      </c>
      <c r="L26" s="3" t="s">
        <v>623</v>
      </c>
    </row>
    <row r="27" spans="1:12" ht="15" customHeight="1" x14ac:dyDescent="0.35">
      <c r="A27" s="3" t="s">
        <v>176</v>
      </c>
      <c r="B27" s="3" t="s">
        <v>177</v>
      </c>
      <c r="C27" s="3" t="s">
        <v>657</v>
      </c>
      <c r="D27" s="6"/>
      <c r="E27" s="3" t="s">
        <v>658</v>
      </c>
      <c r="F27" s="3">
        <v>404</v>
      </c>
      <c r="G27" s="3" t="s">
        <v>620</v>
      </c>
      <c r="H27" s="3" t="s">
        <v>613</v>
      </c>
      <c r="I27" s="3" t="s">
        <v>614</v>
      </c>
      <c r="J27" s="3">
        <v>126</v>
      </c>
      <c r="K27" s="3">
        <v>8.64</v>
      </c>
      <c r="L27" s="3" t="s">
        <v>615</v>
      </c>
    </row>
    <row r="28" spans="1:12" ht="15" customHeight="1" x14ac:dyDescent="0.35">
      <c r="A28" s="3" t="s">
        <v>268</v>
      </c>
      <c r="B28" s="3" t="s">
        <v>269</v>
      </c>
      <c r="C28" s="3" t="s">
        <v>659</v>
      </c>
      <c r="D28" s="3">
        <v>933979864</v>
      </c>
      <c r="E28" s="3" t="s">
        <v>660</v>
      </c>
      <c r="F28" s="3">
        <v>412</v>
      </c>
      <c r="G28" s="3" t="s">
        <v>617</v>
      </c>
      <c r="H28" s="3" t="s">
        <v>613</v>
      </c>
      <c r="I28" s="3" t="s">
        <v>614</v>
      </c>
      <c r="J28" s="3">
        <v>124</v>
      </c>
      <c r="K28" s="3">
        <v>8.18</v>
      </c>
      <c r="L28" s="3" t="s">
        <v>615</v>
      </c>
    </row>
    <row r="29" spans="1:12" ht="15" customHeight="1" x14ac:dyDescent="0.35">
      <c r="A29" s="3" t="s">
        <v>270</v>
      </c>
      <c r="B29" s="3" t="s">
        <v>661</v>
      </c>
      <c r="C29" s="4">
        <v>38085</v>
      </c>
      <c r="D29" s="6"/>
      <c r="E29" s="3" t="s">
        <v>662</v>
      </c>
      <c r="F29" s="3">
        <v>412</v>
      </c>
      <c r="G29" s="3" t="s">
        <v>617</v>
      </c>
      <c r="H29" s="3" t="s">
        <v>613</v>
      </c>
      <c r="I29" s="3" t="s">
        <v>614</v>
      </c>
      <c r="J29" s="3">
        <v>124</v>
      </c>
      <c r="K29" s="3">
        <v>7.86</v>
      </c>
      <c r="L29" s="3" t="s">
        <v>623</v>
      </c>
    </row>
    <row r="30" spans="1:12" ht="15" customHeight="1" x14ac:dyDescent="0.35">
      <c r="A30" s="3" t="s">
        <v>272</v>
      </c>
      <c r="B30" s="3" t="s">
        <v>273</v>
      </c>
      <c r="C30" s="5">
        <v>38271</v>
      </c>
      <c r="D30" s="6"/>
      <c r="E30" s="3" t="s">
        <v>663</v>
      </c>
      <c r="F30" s="3">
        <v>412</v>
      </c>
      <c r="G30" s="3" t="s">
        <v>617</v>
      </c>
      <c r="H30" s="3" t="s">
        <v>613</v>
      </c>
      <c r="I30" s="3" t="s">
        <v>614</v>
      </c>
      <c r="J30" s="3">
        <v>124</v>
      </c>
      <c r="K30" s="3">
        <v>8.09</v>
      </c>
      <c r="L30" s="3" t="s">
        <v>615</v>
      </c>
    </row>
    <row r="31" spans="1:12" ht="15" customHeight="1" x14ac:dyDescent="0.35">
      <c r="A31" s="3" t="s">
        <v>178</v>
      </c>
      <c r="B31" s="3" t="s">
        <v>179</v>
      </c>
      <c r="C31" s="3" t="s">
        <v>664</v>
      </c>
      <c r="D31" s="3">
        <v>397569520</v>
      </c>
      <c r="E31" s="3" t="s">
        <v>665</v>
      </c>
      <c r="F31" s="3">
        <v>404</v>
      </c>
      <c r="G31" s="3" t="s">
        <v>620</v>
      </c>
      <c r="H31" s="3" t="s">
        <v>613</v>
      </c>
      <c r="I31" s="3" t="s">
        <v>614</v>
      </c>
      <c r="J31" s="3">
        <v>126</v>
      </c>
      <c r="K31" s="3">
        <v>8.3000000000000007</v>
      </c>
      <c r="L31" s="3" t="s">
        <v>615</v>
      </c>
    </row>
    <row r="32" spans="1:12" ht="15" customHeight="1" x14ac:dyDescent="0.35">
      <c r="A32" s="3" t="s">
        <v>404</v>
      </c>
      <c r="B32" s="3" t="s">
        <v>405</v>
      </c>
      <c r="C32" s="3" t="s">
        <v>666</v>
      </c>
      <c r="D32" s="3">
        <v>949866704</v>
      </c>
      <c r="E32" s="3" t="s">
        <v>667</v>
      </c>
      <c r="F32" s="3">
        <v>404</v>
      </c>
      <c r="G32" s="3" t="s">
        <v>620</v>
      </c>
      <c r="H32" s="3" t="s">
        <v>613</v>
      </c>
      <c r="I32" s="3" t="s">
        <v>614</v>
      </c>
      <c r="J32" s="3">
        <v>122</v>
      </c>
      <c r="K32" s="3">
        <v>7.84</v>
      </c>
      <c r="L32" s="3" t="s">
        <v>623</v>
      </c>
    </row>
    <row r="33" spans="1:12" ht="15" customHeight="1" x14ac:dyDescent="0.35">
      <c r="A33" s="3" t="s">
        <v>312</v>
      </c>
      <c r="B33" s="3" t="s">
        <v>313</v>
      </c>
      <c r="C33" s="3" t="s">
        <v>668</v>
      </c>
      <c r="D33" s="3">
        <v>345998367</v>
      </c>
      <c r="E33" s="3" t="s">
        <v>669</v>
      </c>
      <c r="F33" s="3">
        <v>412</v>
      </c>
      <c r="G33" s="3" t="s">
        <v>617</v>
      </c>
      <c r="H33" s="3" t="s">
        <v>613</v>
      </c>
      <c r="I33" s="3" t="s">
        <v>614</v>
      </c>
      <c r="J33" s="3">
        <v>124</v>
      </c>
      <c r="K33" s="3">
        <v>7.51</v>
      </c>
      <c r="L33" s="3" t="s">
        <v>623</v>
      </c>
    </row>
    <row r="34" spans="1:12" ht="15" customHeight="1" x14ac:dyDescent="0.35">
      <c r="A34" s="3" t="s">
        <v>274</v>
      </c>
      <c r="B34" s="3" t="s">
        <v>275</v>
      </c>
      <c r="C34" s="3" t="s">
        <v>670</v>
      </c>
      <c r="D34" s="3">
        <v>902156726</v>
      </c>
      <c r="E34" s="3" t="s">
        <v>671</v>
      </c>
      <c r="F34" s="3">
        <v>412</v>
      </c>
      <c r="G34" s="3" t="s">
        <v>617</v>
      </c>
      <c r="H34" s="3" t="s">
        <v>613</v>
      </c>
      <c r="I34" s="3" t="s">
        <v>614</v>
      </c>
      <c r="J34" s="3">
        <v>124</v>
      </c>
      <c r="K34" s="3">
        <v>7.45</v>
      </c>
      <c r="L34" s="3" t="s">
        <v>623</v>
      </c>
    </row>
    <row r="35" spans="1:12" ht="15" customHeight="1" x14ac:dyDescent="0.35">
      <c r="A35" s="3" t="s">
        <v>516</v>
      </c>
      <c r="B35" s="3" t="s">
        <v>517</v>
      </c>
      <c r="C35" s="4">
        <v>38295</v>
      </c>
      <c r="D35" s="3">
        <v>372539123</v>
      </c>
      <c r="E35" s="3" t="s">
        <v>672</v>
      </c>
      <c r="F35" s="3">
        <v>404</v>
      </c>
      <c r="G35" s="3" t="s">
        <v>620</v>
      </c>
      <c r="H35" s="3" t="s">
        <v>613</v>
      </c>
      <c r="I35" s="3" t="s">
        <v>614</v>
      </c>
      <c r="J35" s="3">
        <v>122</v>
      </c>
      <c r="K35" s="3">
        <v>8.2100000000000009</v>
      </c>
      <c r="L35" s="3" t="s">
        <v>615</v>
      </c>
    </row>
    <row r="36" spans="1:12" ht="15" customHeight="1" x14ac:dyDescent="0.35">
      <c r="A36" s="3" t="s">
        <v>516</v>
      </c>
      <c r="B36" s="3" t="s">
        <v>517</v>
      </c>
      <c r="C36" s="4">
        <v>38295</v>
      </c>
      <c r="D36" s="3">
        <v>372539123</v>
      </c>
      <c r="E36" s="3" t="s">
        <v>672</v>
      </c>
      <c r="F36" s="3">
        <v>406</v>
      </c>
      <c r="G36" s="3" t="s">
        <v>673</v>
      </c>
      <c r="H36" s="3" t="s">
        <v>613</v>
      </c>
      <c r="I36" s="3" t="s">
        <v>614</v>
      </c>
      <c r="J36" s="3">
        <v>120</v>
      </c>
      <c r="K36" s="3">
        <v>8.27</v>
      </c>
      <c r="L36" s="3" t="s">
        <v>615</v>
      </c>
    </row>
    <row r="37" spans="1:12" ht="14.5" x14ac:dyDescent="0.35">
      <c r="A37" s="3" t="s">
        <v>314</v>
      </c>
      <c r="B37" s="3" t="s">
        <v>315</v>
      </c>
      <c r="C37" s="3" t="s">
        <v>674</v>
      </c>
      <c r="D37" s="6"/>
      <c r="E37" s="3" t="s">
        <v>675</v>
      </c>
      <c r="F37" s="3">
        <v>412</v>
      </c>
      <c r="G37" s="3" t="s">
        <v>617</v>
      </c>
      <c r="H37" s="3" t="s">
        <v>613</v>
      </c>
      <c r="I37" s="3" t="s">
        <v>653</v>
      </c>
      <c r="J37" s="3">
        <v>121</v>
      </c>
      <c r="K37" s="3">
        <v>6.92</v>
      </c>
      <c r="L37" s="3" t="s">
        <v>676</v>
      </c>
    </row>
    <row r="38" spans="1:12" ht="14.5" x14ac:dyDescent="0.35">
      <c r="A38" s="3" t="s">
        <v>316</v>
      </c>
      <c r="B38" s="3" t="s">
        <v>317</v>
      </c>
      <c r="C38" s="4">
        <v>38265</v>
      </c>
      <c r="D38" s="3">
        <v>912161571</v>
      </c>
      <c r="E38" s="3" t="s">
        <v>677</v>
      </c>
      <c r="F38" s="3">
        <v>404</v>
      </c>
      <c r="G38" s="3" t="s">
        <v>620</v>
      </c>
      <c r="H38" s="3" t="s">
        <v>613</v>
      </c>
      <c r="I38" s="3" t="s">
        <v>614</v>
      </c>
      <c r="J38" s="3">
        <v>126</v>
      </c>
      <c r="K38" s="3">
        <v>7.77</v>
      </c>
      <c r="L38" s="3" t="s">
        <v>623</v>
      </c>
    </row>
    <row r="39" spans="1:12" ht="14.5" x14ac:dyDescent="0.35">
      <c r="A39" s="3" t="s">
        <v>318</v>
      </c>
      <c r="B39" s="3" t="s">
        <v>319</v>
      </c>
      <c r="C39" s="3" t="s">
        <v>666</v>
      </c>
      <c r="D39" s="6"/>
      <c r="E39" s="3" t="s">
        <v>678</v>
      </c>
      <c r="F39" s="3">
        <v>404</v>
      </c>
      <c r="G39" s="3" t="s">
        <v>620</v>
      </c>
      <c r="H39" s="3" t="s">
        <v>613</v>
      </c>
      <c r="I39" s="3" t="s">
        <v>614</v>
      </c>
      <c r="J39" s="3">
        <v>126</v>
      </c>
      <c r="K39" s="3">
        <v>7.93</v>
      </c>
      <c r="L39" s="3" t="s">
        <v>623</v>
      </c>
    </row>
    <row r="40" spans="1:12" ht="14.5" x14ac:dyDescent="0.35">
      <c r="A40" s="3" t="s">
        <v>320</v>
      </c>
      <c r="B40" s="3" t="s">
        <v>321</v>
      </c>
      <c r="C40" s="4">
        <v>38058</v>
      </c>
      <c r="D40" s="3">
        <v>357501455</v>
      </c>
      <c r="E40" s="3" t="s">
        <v>679</v>
      </c>
      <c r="F40" s="3">
        <v>404</v>
      </c>
      <c r="G40" s="3" t="s">
        <v>620</v>
      </c>
      <c r="H40" s="3" t="s">
        <v>613</v>
      </c>
      <c r="I40" s="3" t="s">
        <v>614</v>
      </c>
      <c r="J40" s="3">
        <v>126</v>
      </c>
      <c r="K40" s="3">
        <v>7.81</v>
      </c>
      <c r="L40" s="3" t="s">
        <v>623</v>
      </c>
    </row>
    <row r="41" spans="1:12" ht="14.5" x14ac:dyDescent="0.35">
      <c r="A41" s="3" t="s">
        <v>276</v>
      </c>
      <c r="B41" s="3" t="s">
        <v>277</v>
      </c>
      <c r="C41" s="3" t="s">
        <v>643</v>
      </c>
      <c r="D41" s="3">
        <v>971341872</v>
      </c>
      <c r="E41" s="3" t="s">
        <v>680</v>
      </c>
      <c r="F41" s="3">
        <v>412</v>
      </c>
      <c r="G41" s="3" t="s">
        <v>617</v>
      </c>
      <c r="H41" s="3" t="s">
        <v>613</v>
      </c>
      <c r="I41" s="3" t="s">
        <v>614</v>
      </c>
      <c r="J41" s="3">
        <v>124</v>
      </c>
      <c r="K41" s="3">
        <v>7.52</v>
      </c>
      <c r="L41" s="3" t="s">
        <v>623</v>
      </c>
    </row>
    <row r="42" spans="1:12" ht="14.5" x14ac:dyDescent="0.35">
      <c r="A42" s="3" t="s">
        <v>278</v>
      </c>
      <c r="B42" s="3" t="s">
        <v>279</v>
      </c>
      <c r="C42" s="4">
        <v>38242</v>
      </c>
      <c r="D42" s="6"/>
      <c r="E42" s="3" t="s">
        <v>681</v>
      </c>
      <c r="F42" s="3">
        <v>404</v>
      </c>
      <c r="G42" s="3" t="s">
        <v>620</v>
      </c>
      <c r="H42" s="3" t="s">
        <v>613</v>
      </c>
      <c r="I42" s="3" t="s">
        <v>614</v>
      </c>
      <c r="J42" s="3">
        <v>126</v>
      </c>
      <c r="K42" s="3">
        <v>7.76</v>
      </c>
      <c r="L42" s="3" t="s">
        <v>623</v>
      </c>
    </row>
    <row r="43" spans="1:12" ht="14.5" x14ac:dyDescent="0.35">
      <c r="A43" s="3" t="s">
        <v>519</v>
      </c>
      <c r="B43" s="3" t="s">
        <v>520</v>
      </c>
      <c r="C43" s="3" t="s">
        <v>682</v>
      </c>
      <c r="D43" s="3">
        <v>869130247</v>
      </c>
      <c r="E43" s="3" t="s">
        <v>683</v>
      </c>
      <c r="F43" s="3">
        <v>404</v>
      </c>
      <c r="G43" s="3" t="s">
        <v>620</v>
      </c>
      <c r="H43" s="3" t="s">
        <v>613</v>
      </c>
      <c r="I43" s="3" t="s">
        <v>614</v>
      </c>
      <c r="J43" s="3">
        <v>122</v>
      </c>
      <c r="K43" s="3">
        <v>8.32</v>
      </c>
      <c r="L43" s="3" t="s">
        <v>615</v>
      </c>
    </row>
    <row r="44" spans="1:12" ht="14.5" x14ac:dyDescent="0.35">
      <c r="A44" s="3" t="s">
        <v>280</v>
      </c>
      <c r="B44" s="3" t="s">
        <v>281</v>
      </c>
      <c r="C44" s="3" t="s">
        <v>684</v>
      </c>
      <c r="D44" s="3">
        <v>363234680</v>
      </c>
      <c r="E44" s="3" t="s">
        <v>685</v>
      </c>
      <c r="F44" s="3">
        <v>404</v>
      </c>
      <c r="G44" s="3" t="s">
        <v>620</v>
      </c>
      <c r="H44" s="3" t="s">
        <v>613</v>
      </c>
      <c r="I44" s="3" t="s">
        <v>614</v>
      </c>
      <c r="J44" s="3">
        <v>126</v>
      </c>
      <c r="K44" s="3">
        <v>8.17</v>
      </c>
      <c r="L44" s="3" t="s">
        <v>615</v>
      </c>
    </row>
    <row r="45" spans="1:12" ht="14.5" x14ac:dyDescent="0.35">
      <c r="A45" s="3" t="s">
        <v>322</v>
      </c>
      <c r="B45" s="3" t="s">
        <v>323</v>
      </c>
      <c r="C45" s="4">
        <v>37987</v>
      </c>
      <c r="D45" s="3">
        <v>388654010</v>
      </c>
      <c r="E45" s="3" t="s">
        <v>686</v>
      </c>
      <c r="F45" s="3">
        <v>412</v>
      </c>
      <c r="G45" s="3" t="s">
        <v>617</v>
      </c>
      <c r="H45" s="3" t="s">
        <v>613</v>
      </c>
      <c r="I45" s="3" t="s">
        <v>614</v>
      </c>
      <c r="J45" s="3">
        <v>124</v>
      </c>
      <c r="K45" s="3">
        <v>7.79</v>
      </c>
      <c r="L45" s="3" t="s">
        <v>623</v>
      </c>
    </row>
    <row r="46" spans="1:12" ht="14.5" x14ac:dyDescent="0.35">
      <c r="A46" s="3" t="s">
        <v>282</v>
      </c>
      <c r="B46" s="3" t="s">
        <v>283</v>
      </c>
      <c r="C46" s="3" t="s">
        <v>687</v>
      </c>
      <c r="D46" s="3">
        <v>392192023</v>
      </c>
      <c r="E46" s="3" t="s">
        <v>688</v>
      </c>
      <c r="F46" s="3">
        <v>404</v>
      </c>
      <c r="G46" s="3" t="s">
        <v>620</v>
      </c>
      <c r="H46" s="3" t="s">
        <v>613</v>
      </c>
      <c r="I46" s="3" t="s">
        <v>614</v>
      </c>
      <c r="J46" s="3">
        <v>126</v>
      </c>
      <c r="K46" s="3">
        <v>8.2200000000000006</v>
      </c>
      <c r="L46" s="3" t="s">
        <v>615</v>
      </c>
    </row>
    <row r="47" spans="1:12" ht="14.5" x14ac:dyDescent="0.35">
      <c r="A47" s="3" t="s">
        <v>460</v>
      </c>
      <c r="B47" s="3" t="s">
        <v>461</v>
      </c>
      <c r="C47" s="3" t="s">
        <v>689</v>
      </c>
      <c r="D47" s="3">
        <v>945802361</v>
      </c>
      <c r="E47" s="3" t="s">
        <v>690</v>
      </c>
      <c r="F47" s="3">
        <v>404</v>
      </c>
      <c r="G47" s="3" t="s">
        <v>620</v>
      </c>
      <c r="H47" s="3" t="s">
        <v>613</v>
      </c>
      <c r="I47" s="3" t="s">
        <v>614</v>
      </c>
      <c r="J47" s="3">
        <v>126</v>
      </c>
      <c r="K47" s="3">
        <v>8.4600000000000009</v>
      </c>
      <c r="L47" s="3" t="s">
        <v>615</v>
      </c>
    </row>
    <row r="48" spans="1:12" ht="14.5" x14ac:dyDescent="0.35">
      <c r="A48" s="3" t="s">
        <v>691</v>
      </c>
      <c r="B48" s="3" t="s">
        <v>692</v>
      </c>
      <c r="C48" s="4">
        <v>38111</v>
      </c>
      <c r="D48" s="3">
        <v>984244204</v>
      </c>
      <c r="E48" s="3" t="s">
        <v>693</v>
      </c>
      <c r="F48" s="3">
        <v>412</v>
      </c>
      <c r="G48" s="3" t="s">
        <v>617</v>
      </c>
      <c r="H48" s="3" t="s">
        <v>613</v>
      </c>
      <c r="I48" s="3" t="s">
        <v>653</v>
      </c>
      <c r="J48" s="3">
        <v>71</v>
      </c>
      <c r="K48" s="3">
        <v>6.75</v>
      </c>
      <c r="L48" s="3" t="s">
        <v>676</v>
      </c>
    </row>
    <row r="49" spans="1:12" ht="14.5" x14ac:dyDescent="0.35">
      <c r="A49" s="3" t="s">
        <v>324</v>
      </c>
      <c r="B49" s="3" t="s">
        <v>325</v>
      </c>
      <c r="C49" s="4">
        <v>38147</v>
      </c>
      <c r="D49" s="3">
        <v>944387099</v>
      </c>
      <c r="E49" s="3" t="s">
        <v>694</v>
      </c>
      <c r="F49" s="3">
        <v>412</v>
      </c>
      <c r="G49" s="3" t="s">
        <v>617</v>
      </c>
      <c r="H49" s="3" t="s">
        <v>613</v>
      </c>
      <c r="I49" s="3" t="s">
        <v>614</v>
      </c>
      <c r="J49" s="3">
        <v>124</v>
      </c>
      <c r="K49" s="3">
        <v>6.76</v>
      </c>
      <c r="L49" s="3" t="s">
        <v>676</v>
      </c>
    </row>
    <row r="50" spans="1:12" ht="14.5" x14ac:dyDescent="0.35">
      <c r="A50" s="3" t="s">
        <v>326</v>
      </c>
      <c r="B50" s="3" t="s">
        <v>327</v>
      </c>
      <c r="C50" s="3" t="s">
        <v>695</v>
      </c>
      <c r="D50" s="3">
        <v>702727079</v>
      </c>
      <c r="E50" s="3" t="s">
        <v>696</v>
      </c>
      <c r="F50" s="3">
        <v>412</v>
      </c>
      <c r="G50" s="3" t="s">
        <v>617</v>
      </c>
      <c r="H50" s="3" t="s">
        <v>613</v>
      </c>
      <c r="I50" s="3" t="s">
        <v>614</v>
      </c>
      <c r="J50" s="3">
        <v>124</v>
      </c>
      <c r="K50" s="3">
        <v>7.13</v>
      </c>
      <c r="L50" s="3" t="s">
        <v>623</v>
      </c>
    </row>
    <row r="51" spans="1:12" ht="14.5" x14ac:dyDescent="0.35">
      <c r="A51" s="3" t="s">
        <v>462</v>
      </c>
      <c r="B51" s="3" t="s">
        <v>463</v>
      </c>
      <c r="C51" s="3" t="s">
        <v>697</v>
      </c>
      <c r="D51" s="3">
        <v>386144087</v>
      </c>
      <c r="E51" s="3" t="s">
        <v>698</v>
      </c>
      <c r="F51" s="3">
        <v>404</v>
      </c>
      <c r="G51" s="3" t="s">
        <v>620</v>
      </c>
      <c r="H51" s="3" t="s">
        <v>613</v>
      </c>
      <c r="I51" s="3" t="s">
        <v>614</v>
      </c>
      <c r="J51" s="3">
        <v>132</v>
      </c>
      <c r="K51" s="3">
        <v>8.39</v>
      </c>
      <c r="L51" s="3" t="s">
        <v>615</v>
      </c>
    </row>
    <row r="52" spans="1:12" ht="14.5" x14ac:dyDescent="0.35">
      <c r="A52" s="3" t="s">
        <v>328</v>
      </c>
      <c r="B52" s="3" t="s">
        <v>329</v>
      </c>
      <c r="C52" s="3" t="s">
        <v>699</v>
      </c>
      <c r="D52" s="3">
        <v>384987847</v>
      </c>
      <c r="E52" s="3" t="s">
        <v>700</v>
      </c>
      <c r="F52" s="3">
        <v>412</v>
      </c>
      <c r="G52" s="3" t="s">
        <v>617</v>
      </c>
      <c r="H52" s="3" t="s">
        <v>613</v>
      </c>
      <c r="I52" s="3" t="s">
        <v>614</v>
      </c>
      <c r="J52" s="3">
        <v>124</v>
      </c>
      <c r="K52" s="3">
        <v>8.1</v>
      </c>
      <c r="L52" s="3" t="s">
        <v>615</v>
      </c>
    </row>
    <row r="53" spans="1:12" ht="14.5" x14ac:dyDescent="0.35">
      <c r="A53" s="3" t="s">
        <v>464</v>
      </c>
      <c r="B53" s="3" t="s">
        <v>465</v>
      </c>
      <c r="C53" s="3" t="s">
        <v>701</v>
      </c>
      <c r="D53" s="3">
        <v>886210240</v>
      </c>
      <c r="E53" s="3" t="s">
        <v>702</v>
      </c>
      <c r="F53" s="3">
        <v>404</v>
      </c>
      <c r="G53" s="3" t="s">
        <v>620</v>
      </c>
      <c r="H53" s="3" t="s">
        <v>613</v>
      </c>
      <c r="I53" s="3" t="s">
        <v>614</v>
      </c>
      <c r="J53" s="3">
        <v>126</v>
      </c>
      <c r="K53" s="3">
        <v>8.8699999999999992</v>
      </c>
      <c r="L53" s="3" t="s">
        <v>615</v>
      </c>
    </row>
    <row r="54" spans="1:12" ht="14.5" x14ac:dyDescent="0.35">
      <c r="A54" s="3" t="s">
        <v>466</v>
      </c>
      <c r="B54" s="3" t="s">
        <v>467</v>
      </c>
      <c r="C54" s="4">
        <v>38300</v>
      </c>
      <c r="D54" s="6"/>
      <c r="E54" s="3" t="s">
        <v>703</v>
      </c>
      <c r="F54" s="3">
        <v>404</v>
      </c>
      <c r="G54" s="3" t="s">
        <v>620</v>
      </c>
      <c r="H54" s="3" t="s">
        <v>613</v>
      </c>
      <c r="I54" s="3" t="s">
        <v>614</v>
      </c>
      <c r="J54" s="3">
        <v>123</v>
      </c>
      <c r="K54" s="3">
        <v>8.19</v>
      </c>
      <c r="L54" s="3" t="s">
        <v>615</v>
      </c>
    </row>
    <row r="55" spans="1:12" ht="14.5" x14ac:dyDescent="0.35">
      <c r="A55" s="3" t="s">
        <v>468</v>
      </c>
      <c r="B55" s="3" t="s">
        <v>469</v>
      </c>
      <c r="C55" s="4">
        <v>38297</v>
      </c>
      <c r="D55" s="3">
        <v>764872956</v>
      </c>
      <c r="E55" s="3" t="s">
        <v>704</v>
      </c>
      <c r="F55" s="3">
        <v>404</v>
      </c>
      <c r="G55" s="3" t="s">
        <v>620</v>
      </c>
      <c r="H55" s="3" t="s">
        <v>613</v>
      </c>
      <c r="I55" s="3" t="s">
        <v>614</v>
      </c>
      <c r="J55" s="3">
        <v>130</v>
      </c>
      <c r="K55" s="3">
        <v>8.66</v>
      </c>
      <c r="L55" s="3" t="s">
        <v>615</v>
      </c>
    </row>
    <row r="56" spans="1:12" ht="14.5" x14ac:dyDescent="0.35">
      <c r="A56" s="3" t="s">
        <v>330</v>
      </c>
      <c r="B56" s="3" t="s">
        <v>331</v>
      </c>
      <c r="C56" s="3" t="s">
        <v>668</v>
      </c>
      <c r="D56" s="3">
        <v>969224240</v>
      </c>
      <c r="E56" s="3" t="s">
        <v>705</v>
      </c>
      <c r="F56" s="3">
        <v>404</v>
      </c>
      <c r="G56" s="3" t="s">
        <v>620</v>
      </c>
      <c r="H56" s="3" t="s">
        <v>613</v>
      </c>
      <c r="I56" s="3" t="s">
        <v>614</v>
      </c>
      <c r="J56" s="3">
        <v>126</v>
      </c>
      <c r="K56" s="3">
        <v>7.53</v>
      </c>
      <c r="L56" s="3" t="s">
        <v>623</v>
      </c>
    </row>
    <row r="57" spans="1:12" ht="14.5" x14ac:dyDescent="0.35">
      <c r="A57" s="3" t="s">
        <v>284</v>
      </c>
      <c r="B57" s="3" t="s">
        <v>285</v>
      </c>
      <c r="C57" s="3" t="s">
        <v>706</v>
      </c>
      <c r="D57" s="6"/>
      <c r="E57" s="3" t="s">
        <v>707</v>
      </c>
      <c r="F57" s="3">
        <v>412</v>
      </c>
      <c r="G57" s="3" t="s">
        <v>617</v>
      </c>
      <c r="H57" s="3" t="s">
        <v>613</v>
      </c>
      <c r="I57" s="3" t="s">
        <v>614</v>
      </c>
      <c r="J57" s="3">
        <v>124</v>
      </c>
      <c r="K57" s="3">
        <v>7.35</v>
      </c>
      <c r="L57" s="3" t="s">
        <v>623</v>
      </c>
    </row>
    <row r="58" spans="1:12" ht="14.5" x14ac:dyDescent="0.35">
      <c r="A58" s="3" t="s">
        <v>470</v>
      </c>
      <c r="B58" s="3" t="s">
        <v>471</v>
      </c>
      <c r="C58" s="3" t="s">
        <v>708</v>
      </c>
      <c r="D58" s="3">
        <v>943760557</v>
      </c>
      <c r="E58" s="3" t="s">
        <v>709</v>
      </c>
      <c r="F58" s="3">
        <v>404</v>
      </c>
      <c r="G58" s="3" t="s">
        <v>620</v>
      </c>
      <c r="H58" s="3" t="s">
        <v>613</v>
      </c>
      <c r="I58" s="3" t="s">
        <v>614</v>
      </c>
      <c r="J58" s="3">
        <v>126</v>
      </c>
      <c r="K58" s="3">
        <v>7.92</v>
      </c>
      <c r="L58" s="3" t="s">
        <v>623</v>
      </c>
    </row>
    <row r="59" spans="1:12" ht="14.5" x14ac:dyDescent="0.35">
      <c r="A59" s="3" t="s">
        <v>332</v>
      </c>
      <c r="B59" s="3" t="s">
        <v>333</v>
      </c>
      <c r="C59" s="3" t="s">
        <v>710</v>
      </c>
      <c r="D59" s="3">
        <v>833867216</v>
      </c>
      <c r="E59" s="3" t="s">
        <v>711</v>
      </c>
      <c r="F59" s="3">
        <v>404</v>
      </c>
      <c r="G59" s="3" t="s">
        <v>620</v>
      </c>
      <c r="H59" s="3" t="s">
        <v>613</v>
      </c>
      <c r="I59" s="3" t="s">
        <v>614</v>
      </c>
      <c r="J59" s="3">
        <v>126</v>
      </c>
      <c r="K59" s="3">
        <v>7.74</v>
      </c>
      <c r="L59" s="3" t="s">
        <v>623</v>
      </c>
    </row>
    <row r="60" spans="1:12" ht="14.5" x14ac:dyDescent="0.35">
      <c r="A60" s="3" t="s">
        <v>334</v>
      </c>
      <c r="B60" s="3" t="s">
        <v>335</v>
      </c>
      <c r="C60" s="3" t="s">
        <v>712</v>
      </c>
      <c r="D60" s="6"/>
      <c r="E60" s="3" t="s">
        <v>713</v>
      </c>
      <c r="F60" s="3">
        <v>412</v>
      </c>
      <c r="G60" s="3" t="s">
        <v>617</v>
      </c>
      <c r="H60" s="3" t="s">
        <v>613</v>
      </c>
      <c r="I60" s="3" t="s">
        <v>614</v>
      </c>
      <c r="J60" s="3">
        <v>124</v>
      </c>
      <c r="K60" s="3">
        <v>7.36</v>
      </c>
      <c r="L60" s="3" t="s">
        <v>623</v>
      </c>
    </row>
    <row r="61" spans="1:12" ht="14.5" x14ac:dyDescent="0.35">
      <c r="A61" s="3" t="s">
        <v>286</v>
      </c>
      <c r="B61" s="3" t="s">
        <v>287</v>
      </c>
      <c r="C61" s="3" t="s">
        <v>626</v>
      </c>
      <c r="D61" s="3">
        <v>866484704</v>
      </c>
      <c r="E61" s="3" t="s">
        <v>714</v>
      </c>
      <c r="F61" s="3">
        <v>412</v>
      </c>
      <c r="G61" s="3" t="s">
        <v>617</v>
      </c>
      <c r="H61" s="3" t="s">
        <v>613</v>
      </c>
      <c r="I61" s="3" t="s">
        <v>614</v>
      </c>
      <c r="J61" s="3">
        <v>126</v>
      </c>
      <c r="K61" s="3">
        <v>8</v>
      </c>
      <c r="L61" s="3" t="s">
        <v>615</v>
      </c>
    </row>
    <row r="62" spans="1:12" ht="14.5" x14ac:dyDescent="0.35">
      <c r="A62" s="3" t="s">
        <v>439</v>
      </c>
      <c r="B62" s="3" t="s">
        <v>440</v>
      </c>
      <c r="C62" s="3" t="s">
        <v>715</v>
      </c>
      <c r="D62" s="3">
        <v>339632366</v>
      </c>
      <c r="E62" s="3" t="s">
        <v>716</v>
      </c>
      <c r="F62" s="3">
        <v>404</v>
      </c>
      <c r="G62" s="3" t="s">
        <v>620</v>
      </c>
      <c r="H62" s="3" t="s">
        <v>613</v>
      </c>
      <c r="I62" s="3" t="s">
        <v>614</v>
      </c>
      <c r="J62" s="3">
        <v>122</v>
      </c>
      <c r="K62" s="3">
        <v>8.4</v>
      </c>
      <c r="L62" s="3" t="s">
        <v>615</v>
      </c>
    </row>
    <row r="63" spans="1:12" ht="14.5" x14ac:dyDescent="0.35">
      <c r="A63" s="3" t="s">
        <v>336</v>
      </c>
      <c r="B63" s="3" t="s">
        <v>337</v>
      </c>
      <c r="C63" s="4">
        <v>37987</v>
      </c>
      <c r="D63" s="6"/>
      <c r="E63" s="3" t="s">
        <v>717</v>
      </c>
      <c r="F63" s="3">
        <v>412</v>
      </c>
      <c r="G63" s="3" t="s">
        <v>617</v>
      </c>
      <c r="H63" s="3" t="s">
        <v>613</v>
      </c>
      <c r="I63" s="3" t="s">
        <v>614</v>
      </c>
      <c r="J63" s="3">
        <v>124</v>
      </c>
      <c r="K63" s="3">
        <v>8.19</v>
      </c>
      <c r="L63" s="3" t="s">
        <v>615</v>
      </c>
    </row>
    <row r="64" spans="1:12" ht="14.5" x14ac:dyDescent="0.35">
      <c r="A64" s="3" t="s">
        <v>472</v>
      </c>
      <c r="B64" s="3" t="s">
        <v>473</v>
      </c>
      <c r="C64" s="3" t="s">
        <v>718</v>
      </c>
      <c r="D64" s="3">
        <v>365906961</v>
      </c>
      <c r="E64" s="3" t="s">
        <v>719</v>
      </c>
      <c r="F64" s="3">
        <v>404</v>
      </c>
      <c r="G64" s="3" t="s">
        <v>620</v>
      </c>
      <c r="H64" s="3" t="s">
        <v>613</v>
      </c>
      <c r="I64" s="3" t="s">
        <v>614</v>
      </c>
      <c r="J64" s="3">
        <v>126</v>
      </c>
      <c r="K64" s="3">
        <v>8.19</v>
      </c>
      <c r="L64" s="3" t="s">
        <v>615</v>
      </c>
    </row>
    <row r="65" spans="1:12" ht="14.5" x14ac:dyDescent="0.35">
      <c r="A65" s="3" t="s">
        <v>338</v>
      </c>
      <c r="B65" s="3" t="s">
        <v>339</v>
      </c>
      <c r="C65" s="3" t="s">
        <v>720</v>
      </c>
      <c r="D65" s="3">
        <v>349196118</v>
      </c>
      <c r="E65" s="3" t="s">
        <v>721</v>
      </c>
      <c r="F65" s="3">
        <v>412</v>
      </c>
      <c r="G65" s="3" t="s">
        <v>617</v>
      </c>
      <c r="H65" s="3" t="s">
        <v>613</v>
      </c>
      <c r="I65" s="3" t="s">
        <v>614</v>
      </c>
      <c r="J65" s="3">
        <v>116</v>
      </c>
      <c r="K65" s="3">
        <v>6.94</v>
      </c>
      <c r="L65" s="3" t="s">
        <v>676</v>
      </c>
    </row>
    <row r="66" spans="1:12" ht="14.5" x14ac:dyDescent="0.35">
      <c r="A66" s="3" t="s">
        <v>288</v>
      </c>
      <c r="B66" s="3" t="s">
        <v>289</v>
      </c>
      <c r="C66" s="4">
        <v>38299</v>
      </c>
      <c r="D66" s="3">
        <v>975913654</v>
      </c>
      <c r="E66" s="3" t="s">
        <v>722</v>
      </c>
      <c r="F66" s="3">
        <v>412</v>
      </c>
      <c r="G66" s="3" t="s">
        <v>617</v>
      </c>
      <c r="H66" s="3" t="s">
        <v>613</v>
      </c>
      <c r="I66" s="3" t="s">
        <v>653</v>
      </c>
      <c r="J66" s="3">
        <v>112</v>
      </c>
      <c r="K66" s="3">
        <v>7.49</v>
      </c>
      <c r="L66" s="3" t="s">
        <v>623</v>
      </c>
    </row>
    <row r="67" spans="1:12" ht="14.5" x14ac:dyDescent="0.35">
      <c r="A67" s="3" t="s">
        <v>474</v>
      </c>
      <c r="B67" s="3" t="s">
        <v>475</v>
      </c>
      <c r="C67" s="4">
        <v>38118</v>
      </c>
      <c r="D67" s="3">
        <v>799173732</v>
      </c>
      <c r="E67" s="3" t="s">
        <v>723</v>
      </c>
      <c r="F67" s="3">
        <v>404</v>
      </c>
      <c r="G67" s="3" t="s">
        <v>620</v>
      </c>
      <c r="H67" s="3" t="s">
        <v>613</v>
      </c>
      <c r="I67" s="3" t="s">
        <v>614</v>
      </c>
      <c r="J67" s="3">
        <v>126</v>
      </c>
      <c r="K67" s="3">
        <v>8.5299999999999994</v>
      </c>
      <c r="L67" s="3" t="s">
        <v>615</v>
      </c>
    </row>
    <row r="68" spans="1:12" ht="14.5" x14ac:dyDescent="0.35">
      <c r="A68" s="3" t="s">
        <v>340</v>
      </c>
      <c r="B68" s="3" t="s">
        <v>341</v>
      </c>
      <c r="C68" s="4">
        <v>38082</v>
      </c>
      <c r="D68" s="3">
        <v>915932451</v>
      </c>
      <c r="E68" s="3" t="s">
        <v>724</v>
      </c>
      <c r="F68" s="3">
        <v>412</v>
      </c>
      <c r="G68" s="3" t="s">
        <v>617</v>
      </c>
      <c r="H68" s="3" t="s">
        <v>613</v>
      </c>
      <c r="I68" s="3" t="s">
        <v>653</v>
      </c>
      <c r="J68" s="3">
        <v>126</v>
      </c>
      <c r="K68" s="3">
        <v>7.81</v>
      </c>
      <c r="L68" s="3" t="s">
        <v>623</v>
      </c>
    </row>
    <row r="69" spans="1:12" ht="14.5" x14ac:dyDescent="0.35">
      <c r="A69" s="3" t="s">
        <v>484</v>
      </c>
      <c r="B69" s="3" t="s">
        <v>485</v>
      </c>
      <c r="C69" s="3" t="s">
        <v>725</v>
      </c>
      <c r="D69" s="3">
        <v>964781138</v>
      </c>
      <c r="E69" s="3" t="s">
        <v>726</v>
      </c>
      <c r="F69" s="3">
        <v>412</v>
      </c>
      <c r="G69" s="3" t="s">
        <v>617</v>
      </c>
      <c r="H69" s="3" t="s">
        <v>613</v>
      </c>
      <c r="I69" s="3" t="s">
        <v>614</v>
      </c>
      <c r="J69" s="3">
        <v>120</v>
      </c>
      <c r="K69" s="3">
        <v>8.34</v>
      </c>
      <c r="L69" s="3" t="s">
        <v>615</v>
      </c>
    </row>
    <row r="70" spans="1:12" ht="14.5" x14ac:dyDescent="0.35">
      <c r="A70" s="3" t="s">
        <v>342</v>
      </c>
      <c r="B70" s="3" t="s">
        <v>343</v>
      </c>
      <c r="C70" s="4">
        <v>37994</v>
      </c>
      <c r="D70" s="3">
        <v>349570679</v>
      </c>
      <c r="E70" s="3" t="s">
        <v>727</v>
      </c>
      <c r="F70" s="3">
        <v>412</v>
      </c>
      <c r="G70" s="3" t="s">
        <v>617</v>
      </c>
      <c r="H70" s="3" t="s">
        <v>613</v>
      </c>
      <c r="I70" s="3" t="s">
        <v>614</v>
      </c>
      <c r="J70" s="3">
        <v>122</v>
      </c>
      <c r="K70" s="3">
        <v>6.78</v>
      </c>
      <c r="L70" s="3" t="s">
        <v>676</v>
      </c>
    </row>
    <row r="71" spans="1:12" ht="14.5" x14ac:dyDescent="0.35">
      <c r="A71" s="3" t="s">
        <v>344</v>
      </c>
      <c r="B71" s="3" t="s">
        <v>345</v>
      </c>
      <c r="C71" s="3" t="s">
        <v>609</v>
      </c>
      <c r="D71" s="6"/>
      <c r="E71" s="3" t="s">
        <v>728</v>
      </c>
      <c r="F71" s="3">
        <v>404</v>
      </c>
      <c r="G71" s="3" t="s">
        <v>620</v>
      </c>
      <c r="H71" s="3" t="s">
        <v>613</v>
      </c>
      <c r="I71" s="3" t="s">
        <v>614</v>
      </c>
      <c r="J71" s="3">
        <v>126</v>
      </c>
      <c r="K71" s="3">
        <v>8.6199999999999992</v>
      </c>
      <c r="L71" s="3" t="s">
        <v>615</v>
      </c>
    </row>
    <row r="72" spans="1:12" ht="14.5" x14ac:dyDescent="0.35">
      <c r="A72" s="3" t="s">
        <v>346</v>
      </c>
      <c r="B72" s="3" t="s">
        <v>347</v>
      </c>
      <c r="C72" s="3" t="s">
        <v>729</v>
      </c>
      <c r="D72" s="3">
        <v>869340316</v>
      </c>
      <c r="E72" s="3" t="s">
        <v>730</v>
      </c>
      <c r="F72" s="3">
        <v>404</v>
      </c>
      <c r="G72" s="3" t="s">
        <v>620</v>
      </c>
      <c r="H72" s="3" t="s">
        <v>613</v>
      </c>
      <c r="I72" s="3" t="s">
        <v>614</v>
      </c>
      <c r="J72" s="3">
        <v>126</v>
      </c>
      <c r="K72" s="3">
        <v>7.77</v>
      </c>
      <c r="L72" s="3" t="s">
        <v>623</v>
      </c>
    </row>
    <row r="73" spans="1:12" ht="14.5" x14ac:dyDescent="0.35">
      <c r="A73" s="3" t="s">
        <v>487</v>
      </c>
      <c r="B73" s="3" t="s">
        <v>488</v>
      </c>
      <c r="C73" s="5">
        <v>38301</v>
      </c>
      <c r="D73" s="3">
        <v>396574906</v>
      </c>
      <c r="E73" s="3" t="s">
        <v>731</v>
      </c>
      <c r="F73" s="3">
        <v>404</v>
      </c>
      <c r="G73" s="3" t="s">
        <v>620</v>
      </c>
      <c r="H73" s="3" t="s">
        <v>613</v>
      </c>
      <c r="I73" s="3" t="s">
        <v>614</v>
      </c>
      <c r="J73" s="3">
        <v>122</v>
      </c>
      <c r="K73" s="3">
        <v>9.1199999999999992</v>
      </c>
      <c r="L73" s="3" t="s">
        <v>732</v>
      </c>
    </row>
    <row r="74" spans="1:12" ht="14.5" x14ac:dyDescent="0.35">
      <c r="A74" s="3" t="s">
        <v>348</v>
      </c>
      <c r="B74" s="3" t="s">
        <v>349</v>
      </c>
      <c r="C74" s="4">
        <v>38148</v>
      </c>
      <c r="D74" s="3">
        <v>972904610</v>
      </c>
      <c r="E74" s="3" t="s">
        <v>733</v>
      </c>
      <c r="F74" s="3">
        <v>404</v>
      </c>
      <c r="G74" s="3" t="s">
        <v>620</v>
      </c>
      <c r="H74" s="3" t="s">
        <v>613</v>
      </c>
      <c r="I74" s="3" t="s">
        <v>614</v>
      </c>
      <c r="J74" s="3">
        <v>126</v>
      </c>
      <c r="K74" s="3">
        <v>8.61</v>
      </c>
      <c r="L74" s="3" t="s">
        <v>615</v>
      </c>
    </row>
    <row r="75" spans="1:12" ht="14.5" x14ac:dyDescent="0.35">
      <c r="A75" s="3" t="s">
        <v>476</v>
      </c>
      <c r="B75" s="3" t="s">
        <v>477</v>
      </c>
      <c r="C75" s="3" t="s">
        <v>734</v>
      </c>
      <c r="D75" s="3">
        <v>968463550</v>
      </c>
      <c r="E75" s="3" t="s">
        <v>735</v>
      </c>
      <c r="F75" s="3">
        <v>404</v>
      </c>
      <c r="G75" s="3" t="s">
        <v>620</v>
      </c>
      <c r="H75" s="3" t="s">
        <v>613</v>
      </c>
      <c r="I75" s="3" t="s">
        <v>614</v>
      </c>
      <c r="J75" s="3">
        <v>127</v>
      </c>
      <c r="K75" s="3">
        <v>7.61</v>
      </c>
      <c r="L75" s="3" t="s">
        <v>623</v>
      </c>
    </row>
    <row r="76" spans="1:12" ht="14.5" x14ac:dyDescent="0.35">
      <c r="A76" s="3" t="s">
        <v>490</v>
      </c>
      <c r="B76" s="3" t="s">
        <v>491</v>
      </c>
      <c r="C76" s="4">
        <v>38083</v>
      </c>
      <c r="D76" s="3">
        <v>394247075</v>
      </c>
      <c r="E76" s="3" t="s">
        <v>736</v>
      </c>
      <c r="F76" s="3">
        <v>404</v>
      </c>
      <c r="G76" s="3" t="s">
        <v>620</v>
      </c>
      <c r="H76" s="3" t="s">
        <v>613</v>
      </c>
      <c r="I76" s="3" t="s">
        <v>614</v>
      </c>
      <c r="J76" s="3">
        <v>122</v>
      </c>
      <c r="K76" s="3">
        <v>8.17</v>
      </c>
      <c r="L76" s="3" t="s">
        <v>615</v>
      </c>
    </row>
    <row r="77" spans="1:12" ht="14.5" x14ac:dyDescent="0.35">
      <c r="A77" s="3" t="s">
        <v>407</v>
      </c>
      <c r="B77" s="3" t="s">
        <v>408</v>
      </c>
      <c r="C77" s="3" t="s">
        <v>737</v>
      </c>
      <c r="D77" s="3">
        <v>931314605</v>
      </c>
      <c r="E77" s="3" t="s">
        <v>738</v>
      </c>
      <c r="F77" s="3">
        <v>404</v>
      </c>
      <c r="G77" s="3" t="s">
        <v>620</v>
      </c>
      <c r="H77" s="3" t="s">
        <v>613</v>
      </c>
      <c r="I77" s="3" t="s">
        <v>653</v>
      </c>
      <c r="J77" s="3">
        <v>107</v>
      </c>
      <c r="K77" s="3">
        <v>8.2200000000000006</v>
      </c>
      <c r="L77" s="3" t="s">
        <v>615</v>
      </c>
    </row>
    <row r="78" spans="1:12" ht="14.5" x14ac:dyDescent="0.35">
      <c r="A78" s="3" t="s">
        <v>512</v>
      </c>
      <c r="B78" s="3" t="s">
        <v>513</v>
      </c>
      <c r="C78" s="4">
        <v>38231</v>
      </c>
      <c r="D78" s="3">
        <v>376618542</v>
      </c>
      <c r="E78" s="3" t="s">
        <v>739</v>
      </c>
      <c r="F78" s="3">
        <v>404</v>
      </c>
      <c r="G78" s="3" t="s">
        <v>620</v>
      </c>
      <c r="H78" s="3" t="s">
        <v>613</v>
      </c>
      <c r="I78" s="3" t="s">
        <v>614</v>
      </c>
      <c r="J78" s="3">
        <v>122</v>
      </c>
      <c r="K78" s="3">
        <v>8.01</v>
      </c>
      <c r="L78" s="3" t="s">
        <v>615</v>
      </c>
    </row>
    <row r="79" spans="1:12" ht="14.5" x14ac:dyDescent="0.35">
      <c r="A79" s="3" t="s">
        <v>498</v>
      </c>
      <c r="B79" s="3" t="s">
        <v>499</v>
      </c>
      <c r="C79" s="3" t="s">
        <v>740</v>
      </c>
      <c r="D79" s="3">
        <v>386280904</v>
      </c>
      <c r="E79" s="3" t="s">
        <v>741</v>
      </c>
      <c r="F79" s="3">
        <v>404</v>
      </c>
      <c r="G79" s="3" t="s">
        <v>620</v>
      </c>
      <c r="H79" s="3" t="s">
        <v>613</v>
      </c>
      <c r="I79" s="3" t="s">
        <v>614</v>
      </c>
      <c r="J79" s="3">
        <v>130</v>
      </c>
      <c r="K79" s="3">
        <v>8.59</v>
      </c>
      <c r="L79" s="3" t="s">
        <v>615</v>
      </c>
    </row>
    <row r="80" spans="1:12" ht="14.5" x14ac:dyDescent="0.35">
      <c r="A80" s="3" t="s">
        <v>500</v>
      </c>
      <c r="B80" s="3" t="s">
        <v>501</v>
      </c>
      <c r="C80" s="4">
        <v>38298</v>
      </c>
      <c r="D80" s="6"/>
      <c r="E80" s="3" t="s">
        <v>742</v>
      </c>
      <c r="F80" s="3">
        <v>404</v>
      </c>
      <c r="G80" s="3" t="s">
        <v>620</v>
      </c>
      <c r="H80" s="3" t="s">
        <v>613</v>
      </c>
      <c r="I80" s="3" t="s">
        <v>614</v>
      </c>
      <c r="J80" s="3">
        <v>128</v>
      </c>
      <c r="K80" s="3">
        <v>7.99</v>
      </c>
      <c r="L80" s="3" t="s">
        <v>623</v>
      </c>
    </row>
    <row r="81" spans="1:12" ht="14.5" x14ac:dyDescent="0.35">
      <c r="A81" s="3" t="s">
        <v>522</v>
      </c>
      <c r="B81" s="3" t="s">
        <v>523</v>
      </c>
      <c r="C81" s="3" t="s">
        <v>743</v>
      </c>
      <c r="D81" s="3">
        <v>931537156</v>
      </c>
      <c r="E81" s="3" t="s">
        <v>744</v>
      </c>
      <c r="F81" s="3">
        <v>404</v>
      </c>
      <c r="G81" s="3" t="s">
        <v>620</v>
      </c>
      <c r="H81" s="3" t="s">
        <v>613</v>
      </c>
      <c r="I81" s="3" t="s">
        <v>614</v>
      </c>
      <c r="J81" s="3">
        <v>122</v>
      </c>
      <c r="K81" s="3">
        <v>8.86</v>
      </c>
      <c r="L81" s="3" t="s">
        <v>615</v>
      </c>
    </row>
    <row r="82" spans="1:12" ht="14.5" x14ac:dyDescent="0.35">
      <c r="A82" s="3" t="s">
        <v>502</v>
      </c>
      <c r="B82" s="3" t="s">
        <v>503</v>
      </c>
      <c r="C82" s="3" t="s">
        <v>697</v>
      </c>
      <c r="D82" s="6"/>
      <c r="E82" s="3" t="s">
        <v>745</v>
      </c>
      <c r="F82" s="3">
        <v>404</v>
      </c>
      <c r="G82" s="3" t="s">
        <v>620</v>
      </c>
      <c r="H82" s="3" t="s">
        <v>613</v>
      </c>
      <c r="I82" s="3" t="s">
        <v>653</v>
      </c>
      <c r="J82" s="3">
        <v>126</v>
      </c>
      <c r="K82" s="3">
        <v>7.92</v>
      </c>
      <c r="L82" s="3" t="s">
        <v>623</v>
      </c>
    </row>
    <row r="83" spans="1:12" ht="14.5" x14ac:dyDescent="0.35">
      <c r="A83" s="3" t="s">
        <v>504</v>
      </c>
      <c r="B83" s="3" t="s">
        <v>505</v>
      </c>
      <c r="C83" s="3" t="s">
        <v>746</v>
      </c>
      <c r="D83" s="3">
        <v>794918989</v>
      </c>
      <c r="E83" s="3" t="s">
        <v>747</v>
      </c>
      <c r="F83" s="3">
        <v>404</v>
      </c>
      <c r="G83" s="3" t="s">
        <v>620</v>
      </c>
      <c r="H83" s="3" t="s">
        <v>613</v>
      </c>
      <c r="I83" s="3" t="s">
        <v>614</v>
      </c>
      <c r="J83" s="3">
        <v>126</v>
      </c>
      <c r="K83" s="3">
        <v>8.59</v>
      </c>
      <c r="L83" s="3" t="s">
        <v>615</v>
      </c>
    </row>
    <row r="84" spans="1:12" ht="14.5" x14ac:dyDescent="0.35">
      <c r="A84" s="3" t="s">
        <v>506</v>
      </c>
      <c r="B84" s="3" t="s">
        <v>748</v>
      </c>
      <c r="C84" s="4">
        <v>38240</v>
      </c>
      <c r="D84" s="3">
        <v>913665611</v>
      </c>
      <c r="E84" s="3" t="s">
        <v>749</v>
      </c>
      <c r="F84" s="3">
        <v>404</v>
      </c>
      <c r="G84" s="3" t="s">
        <v>620</v>
      </c>
      <c r="H84" s="3" t="s">
        <v>613</v>
      </c>
      <c r="I84" s="3" t="s">
        <v>614</v>
      </c>
      <c r="J84" s="3">
        <v>126</v>
      </c>
      <c r="K84" s="3">
        <v>8.48</v>
      </c>
      <c r="L84" s="3" t="s">
        <v>615</v>
      </c>
    </row>
    <row r="85" spans="1:12" ht="14.5" x14ac:dyDescent="0.35">
      <c r="A85" s="3" t="s">
        <v>508</v>
      </c>
      <c r="B85" s="3" t="s">
        <v>509</v>
      </c>
      <c r="C85" s="4">
        <v>38150</v>
      </c>
      <c r="D85" s="6"/>
      <c r="E85" s="3" t="s">
        <v>750</v>
      </c>
      <c r="F85" s="3">
        <v>404</v>
      </c>
      <c r="G85" s="3" t="s">
        <v>620</v>
      </c>
      <c r="H85" s="3" t="s">
        <v>613</v>
      </c>
      <c r="I85" s="3" t="s">
        <v>614</v>
      </c>
      <c r="J85" s="3">
        <v>126</v>
      </c>
      <c r="K85" s="3">
        <v>8.3800000000000008</v>
      </c>
      <c r="L85" s="3" t="s">
        <v>615</v>
      </c>
    </row>
    <row r="86" spans="1:12" ht="14.5" x14ac:dyDescent="0.35">
      <c r="A86" s="3" t="s">
        <v>125</v>
      </c>
      <c r="B86" s="3" t="s">
        <v>126</v>
      </c>
      <c r="C86" s="3" t="s">
        <v>751</v>
      </c>
      <c r="D86" s="3">
        <v>375838772</v>
      </c>
      <c r="E86" s="3" t="s">
        <v>752</v>
      </c>
      <c r="F86" s="3">
        <v>404</v>
      </c>
      <c r="G86" s="3" t="s">
        <v>620</v>
      </c>
      <c r="H86" s="3" t="s">
        <v>613</v>
      </c>
      <c r="I86" s="3" t="s">
        <v>614</v>
      </c>
      <c r="J86" s="3">
        <v>126</v>
      </c>
      <c r="K86" s="3">
        <v>8.73</v>
      </c>
      <c r="L86" s="3" t="s">
        <v>615</v>
      </c>
    </row>
    <row r="87" spans="1:12" ht="14.5" x14ac:dyDescent="0.35">
      <c r="A87" s="3" t="s">
        <v>431</v>
      </c>
      <c r="B87" s="3" t="s">
        <v>432</v>
      </c>
      <c r="C87" s="3" t="s">
        <v>753</v>
      </c>
      <c r="D87" s="3">
        <v>397803341</v>
      </c>
      <c r="E87" s="3" t="s">
        <v>754</v>
      </c>
      <c r="F87" s="3">
        <v>404</v>
      </c>
      <c r="G87" s="3" t="s">
        <v>620</v>
      </c>
      <c r="H87" s="3" t="s">
        <v>613</v>
      </c>
      <c r="I87" s="3" t="s">
        <v>614</v>
      </c>
      <c r="J87" s="3">
        <v>124</v>
      </c>
      <c r="K87" s="3">
        <v>8.76</v>
      </c>
      <c r="L87" s="3" t="s">
        <v>615</v>
      </c>
    </row>
    <row r="88" spans="1:12" ht="14.5" x14ac:dyDescent="0.35">
      <c r="A88" s="3" t="s">
        <v>350</v>
      </c>
      <c r="B88" s="3" t="s">
        <v>755</v>
      </c>
      <c r="C88" s="3" t="s">
        <v>756</v>
      </c>
      <c r="D88" s="3">
        <v>974159819</v>
      </c>
      <c r="E88" s="3" t="s">
        <v>757</v>
      </c>
      <c r="F88" s="3">
        <v>412</v>
      </c>
      <c r="G88" s="3" t="s">
        <v>617</v>
      </c>
      <c r="H88" s="3" t="s">
        <v>613</v>
      </c>
      <c r="I88" s="3" t="s">
        <v>614</v>
      </c>
      <c r="J88" s="3">
        <v>124</v>
      </c>
      <c r="K88" s="3">
        <v>7.71</v>
      </c>
      <c r="L88" s="3" t="s">
        <v>623</v>
      </c>
    </row>
    <row r="89" spans="1:12" ht="14.5" x14ac:dyDescent="0.35">
      <c r="A89" s="3" t="s">
        <v>128</v>
      </c>
      <c r="B89" s="3" t="s">
        <v>129</v>
      </c>
      <c r="C89" s="3" t="s">
        <v>758</v>
      </c>
      <c r="D89" s="3">
        <v>977938908</v>
      </c>
      <c r="E89" s="3" t="s">
        <v>759</v>
      </c>
      <c r="F89" s="3">
        <v>404</v>
      </c>
      <c r="G89" s="3" t="s">
        <v>620</v>
      </c>
      <c r="H89" s="3" t="s">
        <v>613</v>
      </c>
      <c r="I89" s="3" t="s">
        <v>614</v>
      </c>
      <c r="J89" s="3">
        <v>125</v>
      </c>
      <c r="K89" s="3">
        <v>8.6</v>
      </c>
      <c r="L89" s="3" t="s">
        <v>615</v>
      </c>
    </row>
    <row r="90" spans="1:12" ht="14.5" x14ac:dyDescent="0.35">
      <c r="A90" s="3" t="s">
        <v>352</v>
      </c>
      <c r="B90" s="3" t="s">
        <v>353</v>
      </c>
      <c r="C90" s="3" t="s">
        <v>760</v>
      </c>
      <c r="D90" s="3">
        <v>396788267</v>
      </c>
      <c r="E90" s="3" t="s">
        <v>761</v>
      </c>
      <c r="F90" s="3">
        <v>412</v>
      </c>
      <c r="G90" s="3" t="s">
        <v>617</v>
      </c>
      <c r="H90" s="3" t="s">
        <v>613</v>
      </c>
      <c r="I90" s="3" t="s">
        <v>653</v>
      </c>
      <c r="J90" s="3">
        <v>124</v>
      </c>
      <c r="K90" s="3">
        <v>7.08</v>
      </c>
      <c r="L90" s="3" t="s">
        <v>623</v>
      </c>
    </row>
    <row r="91" spans="1:12" ht="14.5" x14ac:dyDescent="0.35">
      <c r="A91" s="3" t="s">
        <v>130</v>
      </c>
      <c r="B91" s="3" t="s">
        <v>131</v>
      </c>
      <c r="C91" s="3" t="s">
        <v>762</v>
      </c>
      <c r="D91" s="3">
        <v>335358287</v>
      </c>
      <c r="E91" s="3" t="s">
        <v>763</v>
      </c>
      <c r="F91" s="3">
        <v>404</v>
      </c>
      <c r="G91" s="3" t="s">
        <v>620</v>
      </c>
      <c r="H91" s="3" t="s">
        <v>613</v>
      </c>
      <c r="I91" s="3" t="s">
        <v>614</v>
      </c>
      <c r="J91" s="3">
        <v>126</v>
      </c>
      <c r="K91" s="3">
        <v>8.0299999999999994</v>
      </c>
      <c r="L91" s="3" t="s">
        <v>615</v>
      </c>
    </row>
    <row r="92" spans="1:12" ht="14.5" x14ac:dyDescent="0.35">
      <c r="A92" s="3" t="s">
        <v>149</v>
      </c>
      <c r="B92" s="3" t="s">
        <v>150</v>
      </c>
      <c r="C92" s="3" t="s">
        <v>764</v>
      </c>
      <c r="D92" s="3">
        <v>332366956</v>
      </c>
      <c r="E92" s="3" t="s">
        <v>765</v>
      </c>
      <c r="F92" s="3">
        <v>404</v>
      </c>
      <c r="G92" s="3" t="s">
        <v>620</v>
      </c>
      <c r="H92" s="3" t="s">
        <v>613</v>
      </c>
      <c r="I92" s="3" t="s">
        <v>614</v>
      </c>
      <c r="J92" s="3">
        <v>126</v>
      </c>
      <c r="K92" s="3">
        <v>8.43</v>
      </c>
      <c r="L92" s="3" t="s">
        <v>615</v>
      </c>
    </row>
    <row r="93" spans="1:12" ht="14.5" x14ac:dyDescent="0.35">
      <c r="A93" s="3" t="s">
        <v>354</v>
      </c>
      <c r="B93" s="3" t="s">
        <v>355</v>
      </c>
      <c r="C93" s="3" t="s">
        <v>746</v>
      </c>
      <c r="D93" s="6"/>
      <c r="E93" s="3" t="s">
        <v>766</v>
      </c>
      <c r="F93" s="3">
        <v>412</v>
      </c>
      <c r="G93" s="3" t="s">
        <v>617</v>
      </c>
      <c r="H93" s="3" t="s">
        <v>613</v>
      </c>
      <c r="I93" s="3" t="s">
        <v>614</v>
      </c>
      <c r="J93" s="3">
        <v>126</v>
      </c>
      <c r="K93" s="3">
        <v>7.96</v>
      </c>
      <c r="L93" s="3" t="s">
        <v>623</v>
      </c>
    </row>
    <row r="94" spans="1:12" ht="14.5" x14ac:dyDescent="0.35">
      <c r="A94" s="3" t="s">
        <v>152</v>
      </c>
      <c r="B94" s="3" t="s">
        <v>153</v>
      </c>
      <c r="C94" s="3" t="s">
        <v>767</v>
      </c>
      <c r="D94" s="3">
        <v>908740992</v>
      </c>
      <c r="E94" s="3" t="s">
        <v>768</v>
      </c>
      <c r="F94" s="3">
        <v>404</v>
      </c>
      <c r="G94" s="3" t="s">
        <v>620</v>
      </c>
      <c r="H94" s="3" t="s">
        <v>613</v>
      </c>
      <c r="I94" s="3" t="s">
        <v>653</v>
      </c>
      <c r="J94" s="3">
        <v>126</v>
      </c>
      <c r="K94" s="3">
        <v>7.6</v>
      </c>
      <c r="L94" s="3" t="s">
        <v>623</v>
      </c>
    </row>
    <row r="95" spans="1:12" ht="14.5" x14ac:dyDescent="0.35">
      <c r="A95" s="3" t="s">
        <v>356</v>
      </c>
      <c r="B95" s="3" t="s">
        <v>357</v>
      </c>
      <c r="C95" s="4">
        <v>38173</v>
      </c>
      <c r="D95" s="3">
        <v>925479681</v>
      </c>
      <c r="E95" s="3" t="s">
        <v>769</v>
      </c>
      <c r="F95" s="3">
        <v>412</v>
      </c>
      <c r="G95" s="3" t="s">
        <v>617</v>
      </c>
      <c r="H95" s="3" t="s">
        <v>613</v>
      </c>
      <c r="I95" s="3" t="s">
        <v>614</v>
      </c>
      <c r="J95" s="3">
        <v>124</v>
      </c>
      <c r="K95" s="3">
        <v>7.6</v>
      </c>
      <c r="L95" s="3" t="s">
        <v>623</v>
      </c>
    </row>
    <row r="96" spans="1:12" ht="14.5" x14ac:dyDescent="0.35">
      <c r="A96" s="3" t="s">
        <v>154</v>
      </c>
      <c r="B96" s="3" t="s">
        <v>155</v>
      </c>
      <c r="C96" s="4">
        <v>38025</v>
      </c>
      <c r="D96" s="3">
        <v>867129325</v>
      </c>
      <c r="E96" s="3" t="s">
        <v>770</v>
      </c>
      <c r="F96" s="3">
        <v>404</v>
      </c>
      <c r="G96" s="3" t="s">
        <v>620</v>
      </c>
      <c r="H96" s="3" t="s">
        <v>613</v>
      </c>
      <c r="I96" s="3" t="s">
        <v>614</v>
      </c>
      <c r="J96" s="3">
        <v>123</v>
      </c>
      <c r="K96" s="3">
        <v>7.22</v>
      </c>
      <c r="L96" s="3" t="s">
        <v>623</v>
      </c>
    </row>
    <row r="97" spans="1:12" ht="14.5" x14ac:dyDescent="0.35">
      <c r="A97" s="3" t="s">
        <v>180</v>
      </c>
      <c r="B97" s="3" t="s">
        <v>181</v>
      </c>
      <c r="C97" s="3" t="s">
        <v>771</v>
      </c>
      <c r="D97" s="3">
        <v>899386831</v>
      </c>
      <c r="E97" s="3" t="s">
        <v>772</v>
      </c>
      <c r="F97" s="3" t="s">
        <v>611</v>
      </c>
      <c r="G97" s="3" t="s">
        <v>612</v>
      </c>
      <c r="H97" s="3" t="s">
        <v>613</v>
      </c>
      <c r="I97" s="3" t="s">
        <v>614</v>
      </c>
      <c r="J97" s="3">
        <v>124</v>
      </c>
      <c r="K97" s="3">
        <v>7.94</v>
      </c>
      <c r="L97" s="3" t="s">
        <v>623</v>
      </c>
    </row>
    <row r="98" spans="1:12" ht="14.5" x14ac:dyDescent="0.35">
      <c r="A98" s="3" t="s">
        <v>399</v>
      </c>
      <c r="B98" s="3" t="s">
        <v>400</v>
      </c>
      <c r="C98" s="3" t="s">
        <v>720</v>
      </c>
      <c r="D98" s="3">
        <v>937328308</v>
      </c>
      <c r="E98" s="3" t="s">
        <v>773</v>
      </c>
      <c r="F98" s="3" t="s">
        <v>611</v>
      </c>
      <c r="G98" s="3" t="s">
        <v>612</v>
      </c>
      <c r="H98" s="3" t="s">
        <v>613</v>
      </c>
      <c r="I98" s="3" t="s">
        <v>614</v>
      </c>
      <c r="J98" s="3">
        <v>122</v>
      </c>
      <c r="K98" s="3">
        <v>8.42</v>
      </c>
      <c r="L98" s="3" t="s">
        <v>615</v>
      </c>
    </row>
    <row r="99" spans="1:12" ht="14.5" x14ac:dyDescent="0.35">
      <c r="A99" s="3" t="s">
        <v>182</v>
      </c>
      <c r="B99" s="3" t="s">
        <v>183</v>
      </c>
      <c r="C99" s="3" t="s">
        <v>774</v>
      </c>
      <c r="D99" s="3">
        <v>962173620</v>
      </c>
      <c r="E99" s="3" t="s">
        <v>775</v>
      </c>
      <c r="F99" s="3" t="s">
        <v>611</v>
      </c>
      <c r="G99" s="3" t="s">
        <v>612</v>
      </c>
      <c r="H99" s="3" t="s">
        <v>613</v>
      </c>
      <c r="I99" s="3" t="s">
        <v>614</v>
      </c>
      <c r="J99" s="3">
        <v>124</v>
      </c>
      <c r="K99" s="3">
        <v>8.1</v>
      </c>
      <c r="L99" s="3" t="s">
        <v>615</v>
      </c>
    </row>
    <row r="100" spans="1:12" ht="14.5" x14ac:dyDescent="0.35">
      <c r="A100" s="3" t="s">
        <v>409</v>
      </c>
      <c r="B100" s="3" t="s">
        <v>410</v>
      </c>
      <c r="C100" s="3" t="s">
        <v>776</v>
      </c>
      <c r="D100" s="3">
        <v>373746180</v>
      </c>
      <c r="E100" s="3" t="s">
        <v>777</v>
      </c>
      <c r="F100" s="3" t="s">
        <v>611</v>
      </c>
      <c r="G100" s="3" t="s">
        <v>612</v>
      </c>
      <c r="H100" s="3" t="s">
        <v>613</v>
      </c>
      <c r="I100" s="3" t="s">
        <v>614</v>
      </c>
      <c r="J100" s="3">
        <v>122</v>
      </c>
      <c r="K100" s="3">
        <v>8.33</v>
      </c>
      <c r="L100" s="3" t="s">
        <v>615</v>
      </c>
    </row>
    <row r="101" spans="1:12" ht="14.5" x14ac:dyDescent="0.35">
      <c r="A101" s="3" t="s">
        <v>392</v>
      </c>
      <c r="B101" s="3" t="s">
        <v>393</v>
      </c>
      <c r="C101" s="3" t="s">
        <v>778</v>
      </c>
      <c r="D101" s="3">
        <v>394897277</v>
      </c>
      <c r="E101" s="3" t="s">
        <v>779</v>
      </c>
      <c r="F101" s="3" t="s">
        <v>611</v>
      </c>
      <c r="G101" s="3" t="s">
        <v>612</v>
      </c>
      <c r="H101" s="3" t="s">
        <v>613</v>
      </c>
      <c r="I101" s="3" t="s">
        <v>614</v>
      </c>
      <c r="J101" s="3">
        <v>122</v>
      </c>
      <c r="K101" s="3">
        <v>7.35</v>
      </c>
      <c r="L101" s="3" t="s">
        <v>623</v>
      </c>
    </row>
    <row r="102" spans="1:12" ht="14.5" x14ac:dyDescent="0.35">
      <c r="A102" s="3" t="s">
        <v>492</v>
      </c>
      <c r="B102" s="3" t="s">
        <v>493</v>
      </c>
      <c r="C102" s="3" t="s">
        <v>666</v>
      </c>
      <c r="D102" s="3">
        <v>916565166</v>
      </c>
      <c r="E102" s="3" t="s">
        <v>780</v>
      </c>
      <c r="F102" s="3" t="s">
        <v>611</v>
      </c>
      <c r="G102" s="3" t="s">
        <v>612</v>
      </c>
      <c r="H102" s="3" t="s">
        <v>613</v>
      </c>
      <c r="I102" s="3" t="s">
        <v>614</v>
      </c>
      <c r="J102" s="3">
        <v>124</v>
      </c>
      <c r="K102" s="3">
        <v>7.38</v>
      </c>
      <c r="L102" s="3" t="s">
        <v>623</v>
      </c>
    </row>
    <row r="103" spans="1:12" ht="14.5" x14ac:dyDescent="0.35">
      <c r="A103" s="3" t="s">
        <v>411</v>
      </c>
      <c r="B103" s="3" t="s">
        <v>412</v>
      </c>
      <c r="C103" s="3" t="s">
        <v>781</v>
      </c>
      <c r="D103" s="3">
        <v>908854852</v>
      </c>
      <c r="E103" s="3" t="s">
        <v>782</v>
      </c>
      <c r="F103" s="3" t="s">
        <v>611</v>
      </c>
      <c r="G103" s="3" t="s">
        <v>612</v>
      </c>
      <c r="H103" s="3" t="s">
        <v>613</v>
      </c>
      <c r="I103" s="3" t="s">
        <v>614</v>
      </c>
      <c r="J103" s="3">
        <v>122</v>
      </c>
      <c r="K103" s="3">
        <v>8.06</v>
      </c>
      <c r="L103" s="3" t="s">
        <v>615</v>
      </c>
    </row>
    <row r="104" spans="1:12" ht="14.5" x14ac:dyDescent="0.35">
      <c r="A104" s="3" t="s">
        <v>417</v>
      </c>
      <c r="B104" s="3" t="s">
        <v>418</v>
      </c>
      <c r="C104" s="3" t="s">
        <v>783</v>
      </c>
      <c r="D104" s="3">
        <v>966805610</v>
      </c>
      <c r="E104" s="3" t="s">
        <v>784</v>
      </c>
      <c r="F104" s="3">
        <v>406</v>
      </c>
      <c r="G104" s="3" t="s">
        <v>673</v>
      </c>
      <c r="H104" s="3" t="s">
        <v>613</v>
      </c>
      <c r="I104" s="3" t="s">
        <v>614</v>
      </c>
      <c r="J104" s="3">
        <v>59</v>
      </c>
      <c r="K104" s="3">
        <v>7.42</v>
      </c>
      <c r="L104" s="3" t="s">
        <v>623</v>
      </c>
    </row>
    <row r="105" spans="1:12" ht="14.5" x14ac:dyDescent="0.35">
      <c r="A105" s="3" t="s">
        <v>417</v>
      </c>
      <c r="B105" s="3" t="s">
        <v>418</v>
      </c>
      <c r="C105" s="3" t="s">
        <v>783</v>
      </c>
      <c r="D105" s="3">
        <v>966805610</v>
      </c>
      <c r="E105" s="3" t="s">
        <v>784</v>
      </c>
      <c r="F105" s="3" t="s">
        <v>611</v>
      </c>
      <c r="G105" s="3" t="s">
        <v>612</v>
      </c>
      <c r="H105" s="3" t="s">
        <v>613</v>
      </c>
      <c r="I105" s="3" t="s">
        <v>614</v>
      </c>
      <c r="J105" s="3">
        <v>122</v>
      </c>
      <c r="K105" s="3">
        <v>7.4</v>
      </c>
      <c r="L105" s="3" t="s">
        <v>623</v>
      </c>
    </row>
    <row r="106" spans="1:12" ht="14.5" x14ac:dyDescent="0.35">
      <c r="A106" s="3" t="s">
        <v>156</v>
      </c>
      <c r="B106" s="3" t="s">
        <v>157</v>
      </c>
      <c r="C106" s="4">
        <v>38053</v>
      </c>
      <c r="D106" s="3">
        <v>394191370</v>
      </c>
      <c r="E106" s="3" t="s">
        <v>785</v>
      </c>
      <c r="F106" s="3" t="s">
        <v>611</v>
      </c>
      <c r="G106" s="3" t="s">
        <v>612</v>
      </c>
      <c r="H106" s="3" t="s">
        <v>613</v>
      </c>
      <c r="I106" s="3" t="s">
        <v>653</v>
      </c>
      <c r="J106" s="3">
        <v>106</v>
      </c>
      <c r="K106" s="3">
        <v>8.1</v>
      </c>
      <c r="L106" s="3" t="s">
        <v>615</v>
      </c>
    </row>
    <row r="107" spans="1:12" ht="14.5" x14ac:dyDescent="0.35">
      <c r="A107" s="3" t="s">
        <v>26</v>
      </c>
      <c r="B107" s="3" t="s">
        <v>27</v>
      </c>
      <c r="C107" s="4">
        <v>38238</v>
      </c>
      <c r="D107" s="3">
        <v>988422246</v>
      </c>
      <c r="E107" s="3" t="s">
        <v>786</v>
      </c>
      <c r="F107" s="3" t="s">
        <v>611</v>
      </c>
      <c r="G107" s="3" t="s">
        <v>612</v>
      </c>
      <c r="H107" s="3" t="s">
        <v>613</v>
      </c>
      <c r="I107" s="3" t="s">
        <v>614</v>
      </c>
      <c r="J107" s="3">
        <v>124</v>
      </c>
      <c r="K107" s="3">
        <v>7.86</v>
      </c>
      <c r="L107" s="3" t="s">
        <v>623</v>
      </c>
    </row>
    <row r="108" spans="1:12" ht="14.5" x14ac:dyDescent="0.35">
      <c r="A108" s="3" t="s">
        <v>595</v>
      </c>
      <c r="B108" s="3" t="s">
        <v>596</v>
      </c>
      <c r="C108" s="3" t="s">
        <v>729</v>
      </c>
      <c r="D108" s="3">
        <v>782979208</v>
      </c>
      <c r="E108" s="3" t="s">
        <v>787</v>
      </c>
      <c r="F108" s="3" t="s">
        <v>611</v>
      </c>
      <c r="G108" s="3" t="s">
        <v>612</v>
      </c>
      <c r="H108" s="3" t="s">
        <v>613</v>
      </c>
      <c r="I108" s="3" t="s">
        <v>614</v>
      </c>
      <c r="J108" s="3">
        <v>124</v>
      </c>
      <c r="K108" s="3">
        <v>7.95</v>
      </c>
      <c r="L108" s="3" t="s">
        <v>623</v>
      </c>
    </row>
    <row r="109" spans="1:12" ht="14.5" x14ac:dyDescent="0.35">
      <c r="A109" s="3" t="s">
        <v>435</v>
      </c>
      <c r="B109" s="3" t="s">
        <v>436</v>
      </c>
      <c r="C109" s="3" t="s">
        <v>788</v>
      </c>
      <c r="D109" s="3">
        <v>937144363</v>
      </c>
      <c r="E109" s="3" t="s">
        <v>789</v>
      </c>
      <c r="F109" s="3" t="s">
        <v>611</v>
      </c>
      <c r="G109" s="3" t="s">
        <v>612</v>
      </c>
      <c r="H109" s="3" t="s">
        <v>613</v>
      </c>
      <c r="I109" s="3" t="s">
        <v>614</v>
      </c>
      <c r="J109" s="3">
        <v>122</v>
      </c>
      <c r="K109" s="3">
        <v>8.2799999999999994</v>
      </c>
      <c r="L109" s="3" t="s">
        <v>615</v>
      </c>
    </row>
    <row r="110" spans="1:12" ht="14.5" x14ac:dyDescent="0.35">
      <c r="A110" s="3" t="s">
        <v>437</v>
      </c>
      <c r="B110" s="3" t="s">
        <v>438</v>
      </c>
      <c r="C110" s="4">
        <v>38296</v>
      </c>
      <c r="D110" s="3">
        <v>392695611</v>
      </c>
      <c r="E110" s="3" t="s">
        <v>790</v>
      </c>
      <c r="F110" s="3" t="s">
        <v>611</v>
      </c>
      <c r="G110" s="3" t="s">
        <v>612</v>
      </c>
      <c r="H110" s="3" t="s">
        <v>613</v>
      </c>
      <c r="I110" s="3" t="s">
        <v>614</v>
      </c>
      <c r="J110" s="3">
        <v>122</v>
      </c>
      <c r="K110" s="3">
        <v>7.76</v>
      </c>
      <c r="L110" s="3" t="s">
        <v>623</v>
      </c>
    </row>
    <row r="111" spans="1:12" ht="14.5" x14ac:dyDescent="0.35">
      <c r="A111" s="3" t="s">
        <v>374</v>
      </c>
      <c r="B111" s="3" t="s">
        <v>375</v>
      </c>
      <c r="C111" s="3" t="s">
        <v>791</v>
      </c>
      <c r="D111" s="3">
        <v>916419466</v>
      </c>
      <c r="E111" s="3" t="s">
        <v>792</v>
      </c>
      <c r="F111" s="3" t="s">
        <v>611</v>
      </c>
      <c r="G111" s="3" t="s">
        <v>612</v>
      </c>
      <c r="H111" s="3" t="s">
        <v>613</v>
      </c>
      <c r="I111" s="3" t="s">
        <v>653</v>
      </c>
      <c r="J111" s="3">
        <v>110</v>
      </c>
      <c r="K111" s="3">
        <v>6.97</v>
      </c>
      <c r="L111" s="3" t="s">
        <v>676</v>
      </c>
    </row>
    <row r="112" spans="1:12" ht="14.5" x14ac:dyDescent="0.35">
      <c r="A112" s="3" t="s">
        <v>98</v>
      </c>
      <c r="B112" s="3" t="s">
        <v>99</v>
      </c>
      <c r="C112" s="4">
        <v>38292</v>
      </c>
      <c r="D112" s="3">
        <v>374316538</v>
      </c>
      <c r="E112" s="3" t="s">
        <v>793</v>
      </c>
      <c r="F112" s="3" t="s">
        <v>611</v>
      </c>
      <c r="G112" s="3" t="s">
        <v>612</v>
      </c>
      <c r="H112" s="3" t="s">
        <v>613</v>
      </c>
      <c r="I112" s="3" t="s">
        <v>614</v>
      </c>
      <c r="J112" s="3">
        <v>128</v>
      </c>
      <c r="K112" s="3">
        <v>7.55</v>
      </c>
      <c r="L112" s="3" t="s">
        <v>623</v>
      </c>
    </row>
    <row r="113" spans="1:12" ht="14.5" x14ac:dyDescent="0.35">
      <c r="A113" s="3" t="s">
        <v>421</v>
      </c>
      <c r="B113" s="3" t="s">
        <v>422</v>
      </c>
      <c r="C113" s="4">
        <v>38204</v>
      </c>
      <c r="D113" s="3">
        <v>398080083</v>
      </c>
      <c r="E113" s="3" t="s">
        <v>794</v>
      </c>
      <c r="F113" s="3" t="s">
        <v>611</v>
      </c>
      <c r="G113" s="3" t="s">
        <v>612</v>
      </c>
      <c r="H113" s="3" t="s">
        <v>613</v>
      </c>
      <c r="I113" s="3" t="s">
        <v>614</v>
      </c>
      <c r="J113" s="3">
        <v>122</v>
      </c>
      <c r="K113" s="3">
        <v>8.77</v>
      </c>
      <c r="L113" s="3" t="s">
        <v>615</v>
      </c>
    </row>
    <row r="114" spans="1:12" ht="14.5" x14ac:dyDescent="0.35">
      <c r="A114" s="3" t="s">
        <v>510</v>
      </c>
      <c r="B114" s="3" t="s">
        <v>511</v>
      </c>
      <c r="C114" s="4">
        <v>37776</v>
      </c>
      <c r="D114" s="6"/>
      <c r="E114" s="3" t="s">
        <v>795</v>
      </c>
      <c r="F114" s="3" t="s">
        <v>611</v>
      </c>
      <c r="G114" s="3" t="s">
        <v>612</v>
      </c>
      <c r="H114" s="3" t="s">
        <v>613</v>
      </c>
      <c r="I114" s="3" t="s">
        <v>614</v>
      </c>
      <c r="J114" s="3">
        <v>124</v>
      </c>
      <c r="K114" s="3">
        <v>8.49</v>
      </c>
      <c r="L114" s="3" t="s">
        <v>615</v>
      </c>
    </row>
    <row r="115" spans="1:12" ht="14.5" x14ac:dyDescent="0.35">
      <c r="A115" s="3" t="s">
        <v>414</v>
      </c>
      <c r="B115" s="3" t="s">
        <v>415</v>
      </c>
      <c r="C115" s="4">
        <v>38293</v>
      </c>
      <c r="D115" s="3">
        <v>963267026</v>
      </c>
      <c r="E115" s="3" t="s">
        <v>796</v>
      </c>
      <c r="F115" s="3" t="s">
        <v>611</v>
      </c>
      <c r="G115" s="3" t="s">
        <v>612</v>
      </c>
      <c r="H115" s="3" t="s">
        <v>613</v>
      </c>
      <c r="I115" s="3" t="s">
        <v>614</v>
      </c>
      <c r="J115" s="3">
        <v>122</v>
      </c>
      <c r="K115" s="3">
        <v>7.87</v>
      </c>
      <c r="L115" s="3" t="s">
        <v>623</v>
      </c>
    </row>
    <row r="116" spans="1:12" ht="14.5" x14ac:dyDescent="0.35">
      <c r="A116" s="3" t="s">
        <v>396</v>
      </c>
      <c r="B116" s="3" t="s">
        <v>397</v>
      </c>
      <c r="C116" s="4">
        <v>38266</v>
      </c>
      <c r="D116" s="3">
        <v>907743339</v>
      </c>
      <c r="E116" s="3" t="s">
        <v>797</v>
      </c>
      <c r="F116" s="3" t="s">
        <v>611</v>
      </c>
      <c r="G116" s="3" t="s">
        <v>612</v>
      </c>
      <c r="H116" s="3" t="s">
        <v>613</v>
      </c>
      <c r="I116" s="3" t="s">
        <v>614</v>
      </c>
      <c r="J116" s="3">
        <v>122</v>
      </c>
      <c r="K116" s="3">
        <v>7.6</v>
      </c>
      <c r="L116" s="3" t="s">
        <v>623</v>
      </c>
    </row>
    <row r="117" spans="1:12" ht="14.5" x14ac:dyDescent="0.35">
      <c r="A117" s="3" t="s">
        <v>132</v>
      </c>
      <c r="B117" s="3" t="s">
        <v>133</v>
      </c>
      <c r="C117" s="3" t="s">
        <v>798</v>
      </c>
      <c r="D117" s="3">
        <v>2838111947</v>
      </c>
      <c r="E117" s="3" t="s">
        <v>799</v>
      </c>
      <c r="F117" s="3" t="s">
        <v>611</v>
      </c>
      <c r="G117" s="3" t="s">
        <v>612</v>
      </c>
      <c r="H117" s="3" t="s">
        <v>613</v>
      </c>
      <c r="I117" s="3" t="s">
        <v>614</v>
      </c>
      <c r="J117" s="3">
        <v>124</v>
      </c>
      <c r="K117" s="3">
        <v>8.3699999999999992</v>
      </c>
      <c r="L117" s="3" t="s">
        <v>615</v>
      </c>
    </row>
    <row r="118" spans="1:12" ht="14.5" x14ac:dyDescent="0.35">
      <c r="A118" s="3" t="s">
        <v>134</v>
      </c>
      <c r="B118" s="3" t="s">
        <v>135</v>
      </c>
      <c r="C118" s="3" t="s">
        <v>800</v>
      </c>
      <c r="D118" s="3">
        <v>912617467</v>
      </c>
      <c r="E118" s="3" t="s">
        <v>801</v>
      </c>
      <c r="F118" s="3" t="s">
        <v>611</v>
      </c>
      <c r="G118" s="3" t="s">
        <v>612</v>
      </c>
      <c r="H118" s="3" t="s">
        <v>613</v>
      </c>
      <c r="I118" s="3" t="s">
        <v>614</v>
      </c>
      <c r="J118" s="3">
        <v>124</v>
      </c>
      <c r="K118" s="3">
        <v>8.19</v>
      </c>
      <c r="L118" s="3" t="s">
        <v>615</v>
      </c>
    </row>
    <row r="119" spans="1:12" ht="14.5" x14ac:dyDescent="0.35">
      <c r="A119" s="3" t="s">
        <v>184</v>
      </c>
      <c r="B119" s="3" t="s">
        <v>185</v>
      </c>
      <c r="C119" s="4">
        <v>38203</v>
      </c>
      <c r="D119" s="3">
        <v>376095514</v>
      </c>
      <c r="E119" s="3" t="s">
        <v>802</v>
      </c>
      <c r="F119" s="3" t="s">
        <v>611</v>
      </c>
      <c r="G119" s="3" t="s">
        <v>612</v>
      </c>
      <c r="H119" s="3" t="s">
        <v>613</v>
      </c>
      <c r="I119" s="3" t="s">
        <v>653</v>
      </c>
      <c r="J119" s="3">
        <v>124</v>
      </c>
      <c r="K119" s="3">
        <v>7.58</v>
      </c>
      <c r="L119" s="3" t="s">
        <v>623</v>
      </c>
    </row>
    <row r="120" spans="1:12" ht="14.5" x14ac:dyDescent="0.35">
      <c r="A120" s="3" t="s">
        <v>29</v>
      </c>
      <c r="B120" s="3" t="s">
        <v>30</v>
      </c>
      <c r="C120" s="3" t="s">
        <v>803</v>
      </c>
      <c r="D120" s="6"/>
      <c r="E120" s="3" t="s">
        <v>804</v>
      </c>
      <c r="F120" s="3" t="s">
        <v>611</v>
      </c>
      <c r="G120" s="3" t="s">
        <v>612</v>
      </c>
      <c r="H120" s="3" t="s">
        <v>613</v>
      </c>
      <c r="I120" s="3" t="s">
        <v>614</v>
      </c>
      <c r="J120" s="3">
        <v>124</v>
      </c>
      <c r="K120" s="3">
        <v>8.07</v>
      </c>
      <c r="L120" s="3" t="s">
        <v>615</v>
      </c>
    </row>
    <row r="121" spans="1:12" ht="14.5" x14ac:dyDescent="0.35">
      <c r="A121" s="3" t="s">
        <v>31</v>
      </c>
      <c r="B121" s="3" t="s">
        <v>32</v>
      </c>
      <c r="C121" s="4">
        <v>38325</v>
      </c>
      <c r="D121" s="3">
        <v>392855979</v>
      </c>
      <c r="E121" s="3" t="s">
        <v>805</v>
      </c>
      <c r="F121" s="3" t="s">
        <v>611</v>
      </c>
      <c r="G121" s="3" t="s">
        <v>612</v>
      </c>
      <c r="H121" s="3" t="s">
        <v>613</v>
      </c>
      <c r="I121" s="3" t="s">
        <v>614</v>
      </c>
      <c r="J121" s="3">
        <v>124</v>
      </c>
      <c r="K121" s="3">
        <v>8.18</v>
      </c>
      <c r="L121" s="3" t="s">
        <v>615</v>
      </c>
    </row>
    <row r="122" spans="1:12" ht="14.5" x14ac:dyDescent="0.35">
      <c r="A122" s="3" t="s">
        <v>33</v>
      </c>
      <c r="B122" s="3" t="s">
        <v>34</v>
      </c>
      <c r="C122" s="3" t="s">
        <v>806</v>
      </c>
      <c r="D122" s="3">
        <v>339955080</v>
      </c>
      <c r="E122" s="3" t="s">
        <v>807</v>
      </c>
      <c r="F122" s="3" t="s">
        <v>611</v>
      </c>
      <c r="G122" s="3" t="s">
        <v>612</v>
      </c>
      <c r="H122" s="3" t="s">
        <v>613</v>
      </c>
      <c r="I122" s="3" t="s">
        <v>614</v>
      </c>
      <c r="J122" s="3">
        <v>124</v>
      </c>
      <c r="K122" s="3">
        <v>8.0299999999999994</v>
      </c>
      <c r="L122" s="3" t="s">
        <v>615</v>
      </c>
    </row>
    <row r="123" spans="1:12" ht="14.5" x14ac:dyDescent="0.35">
      <c r="A123" s="3" t="s">
        <v>101</v>
      </c>
      <c r="B123" s="3" t="s">
        <v>102</v>
      </c>
      <c r="C123" s="3" t="s">
        <v>808</v>
      </c>
      <c r="D123" s="3">
        <v>797081709</v>
      </c>
      <c r="E123" s="3" t="s">
        <v>809</v>
      </c>
      <c r="F123" s="3" t="s">
        <v>611</v>
      </c>
      <c r="G123" s="3" t="s">
        <v>612</v>
      </c>
      <c r="H123" s="3" t="s">
        <v>613</v>
      </c>
      <c r="I123" s="3" t="s">
        <v>614</v>
      </c>
      <c r="J123" s="3">
        <v>124</v>
      </c>
      <c r="K123" s="3">
        <v>8.17</v>
      </c>
      <c r="L123" s="3" t="s">
        <v>615</v>
      </c>
    </row>
    <row r="124" spans="1:12" ht="14.5" x14ac:dyDescent="0.35">
      <c r="A124" s="3" t="s">
        <v>158</v>
      </c>
      <c r="B124" s="3" t="s">
        <v>159</v>
      </c>
      <c r="C124" s="3" t="s">
        <v>664</v>
      </c>
      <c r="D124" s="3">
        <v>766996499</v>
      </c>
      <c r="E124" s="3" t="s">
        <v>810</v>
      </c>
      <c r="F124" s="3" t="s">
        <v>611</v>
      </c>
      <c r="G124" s="3" t="s">
        <v>612</v>
      </c>
      <c r="H124" s="3" t="s">
        <v>613</v>
      </c>
      <c r="I124" s="3" t="s">
        <v>614</v>
      </c>
      <c r="J124" s="3">
        <v>124</v>
      </c>
      <c r="K124" s="3">
        <v>7.75</v>
      </c>
      <c r="L124" s="3" t="s">
        <v>623</v>
      </c>
    </row>
    <row r="125" spans="1:12" ht="14.5" x14ac:dyDescent="0.35">
      <c r="A125" s="3" t="s">
        <v>478</v>
      </c>
      <c r="B125" s="3" t="s">
        <v>479</v>
      </c>
      <c r="C125" s="4">
        <v>38028</v>
      </c>
      <c r="D125" s="3">
        <v>933790771</v>
      </c>
      <c r="E125" s="3" t="s">
        <v>811</v>
      </c>
      <c r="F125" s="3" t="s">
        <v>611</v>
      </c>
      <c r="G125" s="3" t="s">
        <v>612</v>
      </c>
      <c r="H125" s="3" t="s">
        <v>613</v>
      </c>
      <c r="I125" s="3" t="s">
        <v>614</v>
      </c>
      <c r="J125" s="3">
        <v>122</v>
      </c>
      <c r="K125" s="3">
        <v>7.86</v>
      </c>
      <c r="L125" s="3" t="s">
        <v>623</v>
      </c>
    </row>
    <row r="126" spans="1:12" ht="14.5" x14ac:dyDescent="0.35">
      <c r="A126" s="3" t="s">
        <v>160</v>
      </c>
      <c r="B126" s="3" t="s">
        <v>161</v>
      </c>
      <c r="C126" s="4">
        <v>38179</v>
      </c>
      <c r="D126" s="3">
        <v>978914971</v>
      </c>
      <c r="E126" s="3" t="s">
        <v>812</v>
      </c>
      <c r="F126" s="3" t="s">
        <v>611</v>
      </c>
      <c r="G126" s="3" t="s">
        <v>612</v>
      </c>
      <c r="H126" s="3" t="s">
        <v>613</v>
      </c>
      <c r="I126" s="3" t="s">
        <v>614</v>
      </c>
      <c r="J126" s="3">
        <v>124</v>
      </c>
      <c r="K126" s="3">
        <v>8.56</v>
      </c>
      <c r="L126" s="3" t="s">
        <v>615</v>
      </c>
    </row>
    <row r="127" spans="1:12" ht="14.5" x14ac:dyDescent="0.35">
      <c r="A127" s="3" t="s">
        <v>186</v>
      </c>
      <c r="B127" s="3" t="s">
        <v>187</v>
      </c>
      <c r="C127" s="3" t="s">
        <v>781</v>
      </c>
      <c r="D127" s="3">
        <v>334332285</v>
      </c>
      <c r="E127" s="3" t="s">
        <v>813</v>
      </c>
      <c r="F127" s="3" t="s">
        <v>611</v>
      </c>
      <c r="G127" s="3" t="s">
        <v>612</v>
      </c>
      <c r="H127" s="3" t="s">
        <v>613</v>
      </c>
      <c r="I127" s="3" t="s">
        <v>614</v>
      </c>
      <c r="J127" s="3">
        <v>124</v>
      </c>
      <c r="K127" s="3">
        <v>8.43</v>
      </c>
      <c r="L127" s="3" t="s">
        <v>615</v>
      </c>
    </row>
    <row r="128" spans="1:12" ht="14.5" x14ac:dyDescent="0.35">
      <c r="A128" s="3" t="s">
        <v>103</v>
      </c>
      <c r="B128" s="3" t="s">
        <v>104</v>
      </c>
      <c r="C128" s="4">
        <v>38176</v>
      </c>
      <c r="D128" s="3">
        <v>379917445</v>
      </c>
      <c r="E128" s="3" t="s">
        <v>814</v>
      </c>
      <c r="F128" s="3" t="s">
        <v>611</v>
      </c>
      <c r="G128" s="3" t="s">
        <v>612</v>
      </c>
      <c r="H128" s="3" t="s">
        <v>613</v>
      </c>
      <c r="I128" s="3" t="s">
        <v>614</v>
      </c>
      <c r="J128" s="3">
        <v>124</v>
      </c>
      <c r="K128" s="3">
        <v>7.6</v>
      </c>
      <c r="L128" s="3" t="s">
        <v>623</v>
      </c>
    </row>
    <row r="129" spans="1:12" ht="14.5" x14ac:dyDescent="0.35">
      <c r="A129" s="3" t="s">
        <v>188</v>
      </c>
      <c r="B129" s="3" t="s">
        <v>189</v>
      </c>
      <c r="C129" s="3" t="s">
        <v>815</v>
      </c>
      <c r="D129" s="3">
        <v>813500098</v>
      </c>
      <c r="E129" s="3" t="s">
        <v>816</v>
      </c>
      <c r="F129" s="3" t="s">
        <v>611</v>
      </c>
      <c r="G129" s="3" t="s">
        <v>612</v>
      </c>
      <c r="H129" s="3" t="s">
        <v>613</v>
      </c>
      <c r="I129" s="3" t="s">
        <v>614</v>
      </c>
      <c r="J129" s="3">
        <v>124</v>
      </c>
      <c r="K129" s="3">
        <v>7.68</v>
      </c>
      <c r="L129" s="3" t="s">
        <v>623</v>
      </c>
    </row>
    <row r="130" spans="1:12" ht="14.5" x14ac:dyDescent="0.35">
      <c r="A130" s="3" t="s">
        <v>105</v>
      </c>
      <c r="B130" s="3" t="s">
        <v>106</v>
      </c>
      <c r="C130" s="4">
        <v>38262</v>
      </c>
      <c r="D130" s="3">
        <v>868941769</v>
      </c>
      <c r="E130" s="3" t="s">
        <v>817</v>
      </c>
      <c r="F130" s="3" t="s">
        <v>611</v>
      </c>
      <c r="G130" s="3" t="s">
        <v>612</v>
      </c>
      <c r="H130" s="3" t="s">
        <v>613</v>
      </c>
      <c r="I130" s="3" t="s">
        <v>614</v>
      </c>
      <c r="J130" s="3">
        <v>124</v>
      </c>
      <c r="K130" s="3">
        <v>8.59</v>
      </c>
      <c r="L130" s="3" t="s">
        <v>615</v>
      </c>
    </row>
    <row r="131" spans="1:12" ht="14.5" x14ac:dyDescent="0.35">
      <c r="A131" s="3" t="s">
        <v>107</v>
      </c>
      <c r="B131" s="3" t="s">
        <v>108</v>
      </c>
      <c r="C131" s="3" t="s">
        <v>818</v>
      </c>
      <c r="D131" s="3">
        <v>984748673</v>
      </c>
      <c r="E131" s="3" t="s">
        <v>819</v>
      </c>
      <c r="F131" s="3" t="s">
        <v>611</v>
      </c>
      <c r="G131" s="3" t="s">
        <v>612</v>
      </c>
      <c r="H131" s="3" t="s">
        <v>613</v>
      </c>
      <c r="I131" s="3" t="s">
        <v>653</v>
      </c>
      <c r="J131" s="3">
        <v>119</v>
      </c>
      <c r="K131" s="3">
        <v>6.6</v>
      </c>
      <c r="L131" s="3" t="s">
        <v>676</v>
      </c>
    </row>
    <row r="132" spans="1:12" ht="14.5" x14ac:dyDescent="0.35">
      <c r="A132" s="3" t="s">
        <v>109</v>
      </c>
      <c r="B132" s="3" t="s">
        <v>110</v>
      </c>
      <c r="C132" s="4">
        <v>38118</v>
      </c>
      <c r="D132" s="3">
        <v>933905711</v>
      </c>
      <c r="E132" s="3" t="s">
        <v>820</v>
      </c>
      <c r="F132" s="3" t="s">
        <v>611</v>
      </c>
      <c r="G132" s="3" t="s">
        <v>612</v>
      </c>
      <c r="H132" s="3" t="s">
        <v>613</v>
      </c>
      <c r="I132" s="3" t="s">
        <v>614</v>
      </c>
      <c r="J132" s="3">
        <v>124</v>
      </c>
      <c r="K132" s="3">
        <v>8.33</v>
      </c>
      <c r="L132" s="3" t="s">
        <v>615</v>
      </c>
    </row>
    <row r="133" spans="1:12" ht="14.5" x14ac:dyDescent="0.35">
      <c r="A133" s="3" t="s">
        <v>424</v>
      </c>
      <c r="B133" s="3" t="s">
        <v>425</v>
      </c>
      <c r="C133" s="4">
        <v>37780</v>
      </c>
      <c r="D133" s="3">
        <v>818588088</v>
      </c>
      <c r="E133" s="3" t="s">
        <v>821</v>
      </c>
      <c r="F133" s="3" t="s">
        <v>611</v>
      </c>
      <c r="G133" s="3" t="s">
        <v>612</v>
      </c>
      <c r="H133" s="3" t="s">
        <v>613</v>
      </c>
      <c r="I133" s="3" t="s">
        <v>653</v>
      </c>
      <c r="J133" s="3">
        <v>117</v>
      </c>
      <c r="K133" s="3">
        <v>7.31</v>
      </c>
      <c r="L133" s="3" t="s">
        <v>623</v>
      </c>
    </row>
    <row r="134" spans="1:12" ht="14.5" x14ac:dyDescent="0.35">
      <c r="A134" s="3" t="s">
        <v>554</v>
      </c>
      <c r="B134" s="3" t="s">
        <v>555</v>
      </c>
      <c r="C134" s="3" t="s">
        <v>808</v>
      </c>
      <c r="D134" s="3">
        <v>373758112</v>
      </c>
      <c r="E134" s="3" t="s">
        <v>822</v>
      </c>
      <c r="F134" s="3" t="s">
        <v>611</v>
      </c>
      <c r="G134" s="3" t="s">
        <v>612</v>
      </c>
      <c r="H134" s="3" t="s">
        <v>613</v>
      </c>
      <c r="I134" s="3" t="s">
        <v>653</v>
      </c>
      <c r="J134" s="3">
        <v>119</v>
      </c>
      <c r="K134" s="3">
        <v>7.14</v>
      </c>
      <c r="L134" s="3" t="s">
        <v>623</v>
      </c>
    </row>
    <row r="135" spans="1:12" ht="14.5" x14ac:dyDescent="0.35">
      <c r="A135" s="3" t="s">
        <v>524</v>
      </c>
      <c r="B135" s="3" t="s">
        <v>525</v>
      </c>
      <c r="C135" s="4">
        <v>38179</v>
      </c>
      <c r="D135" s="3">
        <v>353789741</v>
      </c>
      <c r="E135" s="3" t="s">
        <v>823</v>
      </c>
      <c r="F135" s="3" t="s">
        <v>824</v>
      </c>
      <c r="G135" s="3" t="s">
        <v>825</v>
      </c>
      <c r="H135" s="3" t="s">
        <v>613</v>
      </c>
      <c r="I135" s="3" t="s">
        <v>614</v>
      </c>
      <c r="J135" s="3">
        <v>112</v>
      </c>
      <c r="K135" s="3">
        <v>7.33</v>
      </c>
      <c r="L135" s="3" t="s">
        <v>623</v>
      </c>
    </row>
    <row r="136" spans="1:12" ht="14.5" x14ac:dyDescent="0.35">
      <c r="A136" s="3" t="s">
        <v>826</v>
      </c>
      <c r="B136" s="3" t="s">
        <v>827</v>
      </c>
      <c r="C136" s="3" t="s">
        <v>828</v>
      </c>
      <c r="D136" s="3">
        <v>905300264</v>
      </c>
      <c r="E136" s="3" t="s">
        <v>829</v>
      </c>
      <c r="F136" s="3" t="s">
        <v>824</v>
      </c>
      <c r="G136" s="3" t="s">
        <v>825</v>
      </c>
      <c r="H136" s="3" t="s">
        <v>613</v>
      </c>
      <c r="I136" s="3" t="s">
        <v>614</v>
      </c>
      <c r="J136" s="3">
        <v>73</v>
      </c>
      <c r="K136" s="3">
        <v>6.96</v>
      </c>
      <c r="L136" s="3" t="s">
        <v>676</v>
      </c>
    </row>
    <row r="137" spans="1:12" ht="14.5" x14ac:dyDescent="0.35">
      <c r="A137" s="3" t="s">
        <v>568</v>
      </c>
      <c r="B137" s="3" t="s">
        <v>569</v>
      </c>
      <c r="C137" s="3" t="s">
        <v>830</v>
      </c>
      <c r="D137" s="3">
        <v>908907899</v>
      </c>
      <c r="E137" s="3" t="s">
        <v>831</v>
      </c>
      <c r="F137" s="3" t="s">
        <v>824</v>
      </c>
      <c r="G137" s="3" t="s">
        <v>825</v>
      </c>
      <c r="H137" s="3" t="s">
        <v>613</v>
      </c>
      <c r="I137" s="3" t="s">
        <v>614</v>
      </c>
      <c r="J137" s="3">
        <v>112</v>
      </c>
      <c r="K137" s="3">
        <v>7.25</v>
      </c>
      <c r="L137" s="3" t="s">
        <v>623</v>
      </c>
    </row>
    <row r="138" spans="1:12" ht="14.5" x14ac:dyDescent="0.35">
      <c r="A138" s="3" t="s">
        <v>556</v>
      </c>
      <c r="B138" s="3" t="s">
        <v>557</v>
      </c>
      <c r="C138" s="4">
        <v>38328</v>
      </c>
      <c r="D138" s="3">
        <v>918659165</v>
      </c>
      <c r="E138" s="3" t="s">
        <v>832</v>
      </c>
      <c r="F138" s="3" t="s">
        <v>824</v>
      </c>
      <c r="G138" s="3" t="s">
        <v>825</v>
      </c>
      <c r="H138" s="3" t="s">
        <v>613</v>
      </c>
      <c r="I138" s="3" t="s">
        <v>653</v>
      </c>
      <c r="J138" s="3">
        <v>103</v>
      </c>
      <c r="K138" s="3">
        <v>6.77</v>
      </c>
      <c r="L138" s="3" t="s">
        <v>676</v>
      </c>
    </row>
    <row r="139" spans="1:12" ht="14.5" x14ac:dyDescent="0.35">
      <c r="A139" s="3" t="s">
        <v>561</v>
      </c>
      <c r="B139" s="3" t="s">
        <v>562</v>
      </c>
      <c r="C139" s="3" t="s">
        <v>833</v>
      </c>
      <c r="D139" s="3">
        <v>773660497</v>
      </c>
      <c r="E139" s="3" t="s">
        <v>834</v>
      </c>
      <c r="F139" s="3" t="s">
        <v>824</v>
      </c>
      <c r="G139" s="3" t="s">
        <v>825</v>
      </c>
      <c r="H139" s="3" t="s">
        <v>613</v>
      </c>
      <c r="I139" s="3" t="s">
        <v>653</v>
      </c>
      <c r="J139" s="3">
        <v>108</v>
      </c>
      <c r="K139" s="3">
        <v>7.12</v>
      </c>
      <c r="L139" s="3" t="s">
        <v>623</v>
      </c>
    </row>
    <row r="140" spans="1:12" ht="14.5" x14ac:dyDescent="0.35">
      <c r="A140" s="3" t="s">
        <v>546</v>
      </c>
      <c r="B140" s="3" t="s">
        <v>547</v>
      </c>
      <c r="C140" s="5">
        <v>38272</v>
      </c>
      <c r="D140" s="3">
        <v>961843031</v>
      </c>
      <c r="E140" s="3" t="s">
        <v>835</v>
      </c>
      <c r="F140" s="3" t="s">
        <v>824</v>
      </c>
      <c r="G140" s="3" t="s">
        <v>825</v>
      </c>
      <c r="H140" s="3" t="s">
        <v>613</v>
      </c>
      <c r="I140" s="3" t="s">
        <v>614</v>
      </c>
      <c r="J140" s="3">
        <v>114</v>
      </c>
      <c r="K140" s="3">
        <v>8.1</v>
      </c>
      <c r="L140" s="3" t="s">
        <v>615</v>
      </c>
    </row>
    <row r="141" spans="1:12" ht="14.5" x14ac:dyDescent="0.35">
      <c r="A141" s="3" t="s">
        <v>836</v>
      </c>
      <c r="B141" s="3" t="s">
        <v>837</v>
      </c>
      <c r="C141" s="4">
        <v>37926</v>
      </c>
      <c r="D141" s="3">
        <v>865696213</v>
      </c>
      <c r="E141" s="3" t="s">
        <v>838</v>
      </c>
      <c r="F141" s="3" t="s">
        <v>824</v>
      </c>
      <c r="G141" s="3" t="s">
        <v>825</v>
      </c>
      <c r="H141" s="3" t="s">
        <v>613</v>
      </c>
      <c r="I141" s="3" t="s">
        <v>653</v>
      </c>
      <c r="J141" s="3">
        <v>59</v>
      </c>
      <c r="K141" s="3">
        <v>6.41</v>
      </c>
      <c r="L141" s="3" t="s">
        <v>676</v>
      </c>
    </row>
    <row r="142" spans="1:12" ht="14.5" x14ac:dyDescent="0.35">
      <c r="A142" s="3" t="s">
        <v>549</v>
      </c>
      <c r="B142" s="3" t="s">
        <v>550</v>
      </c>
      <c r="C142" s="3" t="s">
        <v>839</v>
      </c>
      <c r="D142" s="3">
        <v>392875509</v>
      </c>
      <c r="E142" s="3" t="s">
        <v>840</v>
      </c>
      <c r="F142" s="3" t="s">
        <v>824</v>
      </c>
      <c r="G142" s="3" t="s">
        <v>825</v>
      </c>
      <c r="H142" s="3" t="s">
        <v>613</v>
      </c>
      <c r="I142" s="3" t="s">
        <v>614</v>
      </c>
      <c r="J142" s="3">
        <v>112</v>
      </c>
      <c r="K142" s="3">
        <v>7.88</v>
      </c>
      <c r="L142" s="3" t="s">
        <v>623</v>
      </c>
    </row>
    <row r="143" spans="1:12" ht="14.5" x14ac:dyDescent="0.35">
      <c r="A143" s="3" t="s">
        <v>558</v>
      </c>
      <c r="B143" s="3" t="s">
        <v>559</v>
      </c>
      <c r="C143" s="4">
        <v>38200</v>
      </c>
      <c r="D143" s="3">
        <v>888586256</v>
      </c>
      <c r="E143" s="3" t="s">
        <v>841</v>
      </c>
      <c r="F143" s="3" t="s">
        <v>824</v>
      </c>
      <c r="G143" s="3" t="s">
        <v>825</v>
      </c>
      <c r="H143" s="3" t="s">
        <v>613</v>
      </c>
      <c r="I143" s="3" t="s">
        <v>614</v>
      </c>
      <c r="J143" s="3">
        <v>112</v>
      </c>
      <c r="K143" s="3">
        <v>7.57</v>
      </c>
      <c r="L143" s="3" t="s">
        <v>623</v>
      </c>
    </row>
    <row r="144" spans="1:12" ht="14.5" x14ac:dyDescent="0.35">
      <c r="A144" s="3" t="s">
        <v>528</v>
      </c>
      <c r="B144" s="3" t="s">
        <v>529</v>
      </c>
      <c r="C144" s="3" t="s">
        <v>670</v>
      </c>
      <c r="D144" s="3">
        <v>707040411</v>
      </c>
      <c r="E144" s="3" t="s">
        <v>842</v>
      </c>
      <c r="F144" s="3" t="s">
        <v>824</v>
      </c>
      <c r="G144" s="3" t="s">
        <v>825</v>
      </c>
      <c r="H144" s="3" t="s">
        <v>613</v>
      </c>
      <c r="I144" s="3" t="s">
        <v>614</v>
      </c>
      <c r="J144" s="3">
        <v>114</v>
      </c>
      <c r="K144" s="3">
        <v>8.34</v>
      </c>
      <c r="L144" s="3" t="s">
        <v>615</v>
      </c>
    </row>
    <row r="145" spans="1:12" ht="14.5" x14ac:dyDescent="0.35">
      <c r="A145" s="3" t="s">
        <v>582</v>
      </c>
      <c r="B145" s="3" t="s">
        <v>583</v>
      </c>
      <c r="C145" s="4">
        <v>38327</v>
      </c>
      <c r="D145" s="3">
        <v>935778348</v>
      </c>
      <c r="E145" s="3" t="s">
        <v>843</v>
      </c>
      <c r="F145" s="3" t="s">
        <v>824</v>
      </c>
      <c r="G145" s="3" t="s">
        <v>825</v>
      </c>
      <c r="H145" s="3" t="s">
        <v>613</v>
      </c>
      <c r="I145" s="3" t="s">
        <v>614</v>
      </c>
      <c r="J145" s="3">
        <v>112</v>
      </c>
      <c r="K145" s="3">
        <v>7.6</v>
      </c>
      <c r="L145" s="3" t="s">
        <v>623</v>
      </c>
    </row>
    <row r="146" spans="1:12" ht="14.5" x14ac:dyDescent="0.35">
      <c r="A146" s="3" t="s">
        <v>564</v>
      </c>
      <c r="B146" s="3" t="s">
        <v>565</v>
      </c>
      <c r="C146" s="4">
        <v>36902</v>
      </c>
      <c r="D146" s="3">
        <v>342474336</v>
      </c>
      <c r="E146" s="3" t="s">
        <v>844</v>
      </c>
      <c r="F146" s="3" t="s">
        <v>824</v>
      </c>
      <c r="G146" s="3" t="s">
        <v>825</v>
      </c>
      <c r="H146" s="3" t="s">
        <v>613</v>
      </c>
      <c r="I146" s="3" t="s">
        <v>653</v>
      </c>
      <c r="J146" s="3">
        <v>114</v>
      </c>
      <c r="K146" s="3">
        <v>6.88</v>
      </c>
      <c r="L146" s="3" t="s">
        <v>676</v>
      </c>
    </row>
    <row r="147" spans="1:12" ht="14.5" x14ac:dyDescent="0.35">
      <c r="A147" s="3" t="s">
        <v>538</v>
      </c>
      <c r="B147" s="3" t="s">
        <v>539</v>
      </c>
      <c r="C147" s="4">
        <v>38232</v>
      </c>
      <c r="D147" s="3">
        <v>943749798</v>
      </c>
      <c r="E147" s="3" t="s">
        <v>845</v>
      </c>
      <c r="F147" s="3" t="s">
        <v>824</v>
      </c>
      <c r="G147" s="3" t="s">
        <v>825</v>
      </c>
      <c r="H147" s="3" t="s">
        <v>613</v>
      </c>
      <c r="I147" s="3" t="s">
        <v>653</v>
      </c>
      <c r="J147" s="3">
        <v>97</v>
      </c>
      <c r="K147" s="3">
        <v>6.24</v>
      </c>
      <c r="L147" s="3" t="s">
        <v>676</v>
      </c>
    </row>
    <row r="148" spans="1:12" ht="14.5" x14ac:dyDescent="0.35">
      <c r="A148" s="3" t="s">
        <v>585</v>
      </c>
      <c r="B148" s="3" t="s">
        <v>586</v>
      </c>
      <c r="C148" s="3" t="s">
        <v>846</v>
      </c>
      <c r="D148" s="3">
        <v>901460543</v>
      </c>
      <c r="E148" s="3" t="s">
        <v>847</v>
      </c>
      <c r="F148" s="3" t="s">
        <v>824</v>
      </c>
      <c r="G148" s="3" t="s">
        <v>825</v>
      </c>
      <c r="H148" s="3" t="s">
        <v>613</v>
      </c>
      <c r="I148" s="3" t="s">
        <v>653</v>
      </c>
      <c r="J148" s="3">
        <v>112</v>
      </c>
      <c r="K148" s="3">
        <v>7.9</v>
      </c>
      <c r="L148" s="3" t="s">
        <v>623</v>
      </c>
    </row>
    <row r="149" spans="1:12" ht="14.5" x14ac:dyDescent="0.35">
      <c r="A149" s="3" t="s">
        <v>567</v>
      </c>
      <c r="B149" s="3" t="s">
        <v>488</v>
      </c>
      <c r="C149" s="4">
        <v>37987</v>
      </c>
      <c r="D149" s="3">
        <v>846392223</v>
      </c>
      <c r="E149" s="3" t="s">
        <v>848</v>
      </c>
      <c r="F149" s="3" t="s">
        <v>824</v>
      </c>
      <c r="G149" s="3" t="s">
        <v>825</v>
      </c>
      <c r="H149" s="3" t="s">
        <v>613</v>
      </c>
      <c r="I149" s="3" t="s">
        <v>614</v>
      </c>
      <c r="J149" s="3">
        <v>112</v>
      </c>
      <c r="K149" s="3">
        <v>7.89</v>
      </c>
      <c r="L149" s="3" t="s">
        <v>623</v>
      </c>
    </row>
    <row r="150" spans="1:12" ht="14.5" x14ac:dyDescent="0.35">
      <c r="A150" s="3" t="s">
        <v>531</v>
      </c>
      <c r="B150" s="3" t="s">
        <v>532</v>
      </c>
      <c r="C150" s="4">
        <v>38145</v>
      </c>
      <c r="D150" s="6"/>
      <c r="E150" s="3" t="s">
        <v>849</v>
      </c>
      <c r="F150" s="3" t="s">
        <v>824</v>
      </c>
      <c r="G150" s="3" t="s">
        <v>825</v>
      </c>
      <c r="H150" s="3" t="s">
        <v>613</v>
      </c>
      <c r="I150" s="3" t="s">
        <v>614</v>
      </c>
      <c r="J150" s="3">
        <v>112</v>
      </c>
      <c r="K150" s="3">
        <v>9.07</v>
      </c>
      <c r="L150" s="3" t="s">
        <v>732</v>
      </c>
    </row>
    <row r="151" spans="1:12" ht="14.5" x14ac:dyDescent="0.35">
      <c r="A151" s="3" t="s">
        <v>534</v>
      </c>
      <c r="B151" s="3" t="s">
        <v>535</v>
      </c>
      <c r="C151" s="3" t="s">
        <v>850</v>
      </c>
      <c r="D151" s="3">
        <v>902620412</v>
      </c>
      <c r="E151" s="3" t="s">
        <v>851</v>
      </c>
      <c r="F151" s="3" t="s">
        <v>824</v>
      </c>
      <c r="G151" s="3" t="s">
        <v>825</v>
      </c>
      <c r="H151" s="3" t="s">
        <v>613</v>
      </c>
      <c r="I151" s="3" t="s">
        <v>614</v>
      </c>
      <c r="J151" s="3">
        <v>112</v>
      </c>
      <c r="K151" s="3">
        <v>8.1300000000000008</v>
      </c>
      <c r="L151" s="3" t="s">
        <v>615</v>
      </c>
    </row>
    <row r="152" spans="1:12" ht="14.5" x14ac:dyDescent="0.35">
      <c r="A152" s="3" t="s">
        <v>571</v>
      </c>
      <c r="B152" s="3" t="s">
        <v>572</v>
      </c>
      <c r="C152" s="4">
        <v>37987</v>
      </c>
      <c r="D152" s="3">
        <v>786290137</v>
      </c>
      <c r="E152" s="3" t="s">
        <v>852</v>
      </c>
      <c r="F152" s="3" t="s">
        <v>824</v>
      </c>
      <c r="G152" s="3" t="s">
        <v>825</v>
      </c>
      <c r="H152" s="3" t="s">
        <v>613</v>
      </c>
      <c r="I152" s="3" t="s">
        <v>614</v>
      </c>
      <c r="J152" s="3">
        <v>109</v>
      </c>
      <c r="K152" s="3">
        <v>7.55</v>
      </c>
      <c r="L152" s="3" t="s">
        <v>623</v>
      </c>
    </row>
    <row r="153" spans="1:12" ht="14.5" x14ac:dyDescent="0.35">
      <c r="A153" s="3" t="s">
        <v>588</v>
      </c>
      <c r="B153" s="3" t="s">
        <v>589</v>
      </c>
      <c r="C153" s="4">
        <v>38082</v>
      </c>
      <c r="D153" s="3">
        <v>913647763</v>
      </c>
      <c r="E153" s="3" t="s">
        <v>853</v>
      </c>
      <c r="F153" s="3" t="s">
        <v>824</v>
      </c>
      <c r="G153" s="3" t="s">
        <v>825</v>
      </c>
      <c r="H153" s="3" t="s">
        <v>613</v>
      </c>
      <c r="I153" s="3" t="s">
        <v>614</v>
      </c>
      <c r="J153" s="3">
        <v>114</v>
      </c>
      <c r="K153" s="3">
        <v>7.3</v>
      </c>
      <c r="L153" s="3" t="s">
        <v>623</v>
      </c>
    </row>
    <row r="154" spans="1:12" ht="14.5" x14ac:dyDescent="0.35">
      <c r="A154" s="3" t="s">
        <v>576</v>
      </c>
      <c r="B154" s="3" t="s">
        <v>577</v>
      </c>
      <c r="C154" s="4">
        <v>38328</v>
      </c>
      <c r="D154" s="3">
        <v>773583348</v>
      </c>
      <c r="E154" s="3" t="s">
        <v>854</v>
      </c>
      <c r="F154" s="3" t="s">
        <v>824</v>
      </c>
      <c r="G154" s="3" t="s">
        <v>825</v>
      </c>
      <c r="H154" s="3" t="s">
        <v>613</v>
      </c>
      <c r="I154" s="3" t="s">
        <v>614</v>
      </c>
      <c r="J154" s="3">
        <v>112</v>
      </c>
      <c r="K154" s="3">
        <v>8.11</v>
      </c>
      <c r="L154" s="3" t="s">
        <v>615</v>
      </c>
    </row>
    <row r="155" spans="1:12" ht="14.5" x14ac:dyDescent="0.35">
      <c r="A155" s="3" t="s">
        <v>591</v>
      </c>
      <c r="B155" s="3" t="s">
        <v>523</v>
      </c>
      <c r="C155" s="3" t="s">
        <v>760</v>
      </c>
      <c r="D155" s="3">
        <v>354927938</v>
      </c>
      <c r="E155" s="3" t="s">
        <v>855</v>
      </c>
      <c r="F155" s="3" t="s">
        <v>824</v>
      </c>
      <c r="G155" s="3" t="s">
        <v>825</v>
      </c>
      <c r="H155" s="3" t="s">
        <v>613</v>
      </c>
      <c r="I155" s="3" t="s">
        <v>614</v>
      </c>
      <c r="J155" s="3">
        <v>112</v>
      </c>
      <c r="K155" s="3">
        <v>8.16</v>
      </c>
      <c r="L155" s="3" t="s">
        <v>615</v>
      </c>
    </row>
    <row r="156" spans="1:12" ht="14.5" x14ac:dyDescent="0.35">
      <c r="A156" s="3" t="s">
        <v>578</v>
      </c>
      <c r="B156" s="3" t="s">
        <v>579</v>
      </c>
      <c r="C156" s="4">
        <v>38085</v>
      </c>
      <c r="D156" s="3">
        <v>779490369</v>
      </c>
      <c r="E156" s="3" t="s">
        <v>856</v>
      </c>
      <c r="F156" s="3" t="s">
        <v>824</v>
      </c>
      <c r="G156" s="3" t="s">
        <v>825</v>
      </c>
      <c r="H156" s="3" t="s">
        <v>613</v>
      </c>
      <c r="I156" s="3" t="s">
        <v>653</v>
      </c>
      <c r="J156" s="3">
        <v>114</v>
      </c>
      <c r="K156" s="3">
        <v>7.02</v>
      </c>
      <c r="L156" s="3" t="s">
        <v>623</v>
      </c>
    </row>
    <row r="157" spans="1:12" ht="14.5" x14ac:dyDescent="0.35">
      <c r="A157" s="3" t="s">
        <v>580</v>
      </c>
      <c r="B157" s="3" t="s">
        <v>581</v>
      </c>
      <c r="C157" s="3" t="s">
        <v>684</v>
      </c>
      <c r="D157" s="3">
        <v>933417386</v>
      </c>
      <c r="E157" s="3" t="s">
        <v>857</v>
      </c>
      <c r="F157" s="3" t="s">
        <v>824</v>
      </c>
      <c r="G157" s="3" t="s">
        <v>825</v>
      </c>
      <c r="H157" s="3" t="s">
        <v>613</v>
      </c>
      <c r="I157" s="3" t="s">
        <v>614</v>
      </c>
      <c r="J157" s="3">
        <v>112</v>
      </c>
      <c r="K157" s="3">
        <v>7.26</v>
      </c>
      <c r="L157" s="3" t="s">
        <v>623</v>
      </c>
    </row>
    <row r="158" spans="1:12" ht="14.5" x14ac:dyDescent="0.35">
      <c r="A158" s="3" t="s">
        <v>540</v>
      </c>
      <c r="B158" s="3" t="s">
        <v>541</v>
      </c>
      <c r="C158" s="4">
        <v>38324</v>
      </c>
      <c r="D158" s="6"/>
      <c r="E158" s="3" t="s">
        <v>858</v>
      </c>
      <c r="F158" s="3" t="s">
        <v>824</v>
      </c>
      <c r="G158" s="3" t="s">
        <v>825</v>
      </c>
      <c r="H158" s="3" t="s">
        <v>613</v>
      </c>
      <c r="I158" s="3" t="s">
        <v>614</v>
      </c>
      <c r="J158" s="3">
        <v>114</v>
      </c>
      <c r="K158" s="3">
        <v>8.33</v>
      </c>
      <c r="L158" s="3" t="s">
        <v>615</v>
      </c>
    </row>
    <row r="159" spans="1:12" ht="14.5" x14ac:dyDescent="0.35">
      <c r="A159" s="3" t="s">
        <v>543</v>
      </c>
      <c r="B159" s="3" t="s">
        <v>544</v>
      </c>
      <c r="C159" s="4">
        <v>37987</v>
      </c>
      <c r="D159" s="3">
        <v>829066064</v>
      </c>
      <c r="E159" s="3" t="s">
        <v>859</v>
      </c>
      <c r="F159" s="3" t="s">
        <v>824</v>
      </c>
      <c r="G159" s="3" t="s">
        <v>825</v>
      </c>
      <c r="H159" s="3" t="s">
        <v>613</v>
      </c>
      <c r="I159" s="3" t="s">
        <v>653</v>
      </c>
      <c r="J159" s="3">
        <v>114</v>
      </c>
      <c r="K159" s="3">
        <v>7.88</v>
      </c>
      <c r="L159" s="3" t="s">
        <v>623</v>
      </c>
    </row>
    <row r="160" spans="1:12" ht="14.5" x14ac:dyDescent="0.35">
      <c r="A160" s="3" t="s">
        <v>551</v>
      </c>
      <c r="B160" s="3" t="s">
        <v>552</v>
      </c>
      <c r="C160" s="3" t="s">
        <v>670</v>
      </c>
      <c r="D160" s="6"/>
      <c r="E160" s="3" t="s">
        <v>860</v>
      </c>
      <c r="F160" s="3" t="s">
        <v>824</v>
      </c>
      <c r="G160" s="3" t="s">
        <v>825</v>
      </c>
      <c r="H160" s="3" t="s">
        <v>613</v>
      </c>
      <c r="I160" s="3" t="s">
        <v>614</v>
      </c>
      <c r="J160" s="3">
        <v>112</v>
      </c>
      <c r="K160" s="3">
        <v>8.1</v>
      </c>
      <c r="L160" s="3" t="s">
        <v>615</v>
      </c>
    </row>
    <row r="161" spans="1:12" ht="14.5" x14ac:dyDescent="0.35">
      <c r="A161" s="3" t="s">
        <v>290</v>
      </c>
      <c r="B161" s="3" t="s">
        <v>291</v>
      </c>
      <c r="C161" s="3" t="s">
        <v>861</v>
      </c>
      <c r="D161" s="6"/>
      <c r="E161" s="3" t="s">
        <v>862</v>
      </c>
      <c r="F161" s="3">
        <v>412</v>
      </c>
      <c r="G161" s="3" t="s">
        <v>617</v>
      </c>
      <c r="H161" s="3" t="s">
        <v>613</v>
      </c>
      <c r="I161" s="3" t="s">
        <v>614</v>
      </c>
      <c r="J161" s="3">
        <v>124</v>
      </c>
      <c r="K161" s="3">
        <v>7.93</v>
      </c>
      <c r="L161" s="3" t="s">
        <v>623</v>
      </c>
    </row>
    <row r="162" spans="1:12" ht="14.5" x14ac:dyDescent="0.35">
      <c r="A162" s="3" t="s">
        <v>292</v>
      </c>
      <c r="B162" s="3" t="s">
        <v>863</v>
      </c>
      <c r="C162" s="4">
        <v>37447</v>
      </c>
      <c r="D162" s="6"/>
      <c r="E162" s="3" t="s">
        <v>864</v>
      </c>
      <c r="F162" s="3">
        <v>412</v>
      </c>
      <c r="G162" s="3" t="s">
        <v>617</v>
      </c>
      <c r="H162" s="3" t="s">
        <v>613</v>
      </c>
      <c r="I162" s="3" t="s">
        <v>614</v>
      </c>
      <c r="J162" s="3">
        <v>121</v>
      </c>
      <c r="K162" s="3">
        <v>6.2</v>
      </c>
      <c r="L162" s="3" t="s">
        <v>676</v>
      </c>
    </row>
    <row r="163" spans="1:12" ht="14.5" x14ac:dyDescent="0.35">
      <c r="A163" s="3" t="s">
        <v>293</v>
      </c>
      <c r="B163" s="3" t="s">
        <v>865</v>
      </c>
      <c r="C163" s="3" t="s">
        <v>866</v>
      </c>
      <c r="D163" s="6"/>
      <c r="E163" s="3" t="s">
        <v>867</v>
      </c>
      <c r="F163" s="3">
        <v>412</v>
      </c>
      <c r="G163" s="3" t="s">
        <v>617</v>
      </c>
      <c r="H163" s="3" t="s">
        <v>613</v>
      </c>
      <c r="I163" s="3" t="s">
        <v>614</v>
      </c>
      <c r="J163" s="3">
        <v>124</v>
      </c>
      <c r="K163" s="3">
        <v>6.27</v>
      </c>
      <c r="L163" s="3" t="s">
        <v>676</v>
      </c>
    </row>
    <row r="164" spans="1:12" ht="14.5" x14ac:dyDescent="0.35">
      <c r="A164" s="3" t="s">
        <v>295</v>
      </c>
      <c r="B164" s="3" t="s">
        <v>296</v>
      </c>
      <c r="C164" s="3" t="s">
        <v>868</v>
      </c>
      <c r="D164" s="6"/>
      <c r="E164" s="3" t="s">
        <v>869</v>
      </c>
      <c r="F164" s="3">
        <v>412</v>
      </c>
      <c r="G164" s="3" t="s">
        <v>617</v>
      </c>
      <c r="H164" s="3" t="s">
        <v>613</v>
      </c>
      <c r="I164" s="3" t="s">
        <v>614</v>
      </c>
      <c r="J164" s="3">
        <v>128</v>
      </c>
      <c r="K164" s="3">
        <v>6.39</v>
      </c>
      <c r="L164" s="3" t="s">
        <v>676</v>
      </c>
    </row>
    <row r="165" spans="1:12" ht="14.5" x14ac:dyDescent="0.35">
      <c r="A165" s="3" t="s">
        <v>59</v>
      </c>
      <c r="B165" s="3" t="s">
        <v>60</v>
      </c>
      <c r="C165" s="3" t="s">
        <v>870</v>
      </c>
      <c r="D165" s="3">
        <v>703139071</v>
      </c>
      <c r="E165" s="3" t="s">
        <v>871</v>
      </c>
      <c r="F165" s="3">
        <v>414</v>
      </c>
      <c r="G165" s="3" t="s">
        <v>872</v>
      </c>
      <c r="H165" s="3" t="s">
        <v>613</v>
      </c>
      <c r="I165" s="3" t="s">
        <v>614</v>
      </c>
      <c r="J165" s="3">
        <v>123</v>
      </c>
      <c r="K165" s="3">
        <v>8.08</v>
      </c>
      <c r="L165" s="3" t="s">
        <v>615</v>
      </c>
    </row>
    <row r="166" spans="1:12" ht="14.5" x14ac:dyDescent="0.35">
      <c r="A166" s="3" t="s">
        <v>75</v>
      </c>
      <c r="B166" s="3" t="s">
        <v>76</v>
      </c>
      <c r="C166" s="3" t="s">
        <v>873</v>
      </c>
      <c r="D166" s="6"/>
      <c r="E166" s="3" t="s">
        <v>874</v>
      </c>
      <c r="F166" s="3">
        <v>414</v>
      </c>
      <c r="G166" s="3" t="s">
        <v>872</v>
      </c>
      <c r="H166" s="3" t="s">
        <v>613</v>
      </c>
      <c r="I166" s="3" t="s">
        <v>653</v>
      </c>
      <c r="J166" s="3">
        <v>123</v>
      </c>
      <c r="K166" s="3">
        <v>7.8</v>
      </c>
      <c r="L166" s="3" t="s">
        <v>623</v>
      </c>
    </row>
    <row r="167" spans="1:12" ht="14.5" x14ac:dyDescent="0.35">
      <c r="A167" s="3" t="s">
        <v>77</v>
      </c>
      <c r="B167" s="3" t="s">
        <v>78</v>
      </c>
      <c r="C167" s="4">
        <v>38147</v>
      </c>
      <c r="D167" s="3">
        <v>908095781</v>
      </c>
      <c r="E167" s="3" t="s">
        <v>875</v>
      </c>
      <c r="F167" s="3">
        <v>414</v>
      </c>
      <c r="G167" s="3" t="s">
        <v>872</v>
      </c>
      <c r="H167" s="3" t="s">
        <v>613</v>
      </c>
      <c r="I167" s="3" t="s">
        <v>653</v>
      </c>
      <c r="J167" s="3">
        <v>117</v>
      </c>
      <c r="K167" s="3">
        <v>7.36</v>
      </c>
      <c r="L167" s="3" t="s">
        <v>623</v>
      </c>
    </row>
    <row r="168" spans="1:12" ht="14.5" x14ac:dyDescent="0.35">
      <c r="A168" s="3" t="s">
        <v>15</v>
      </c>
      <c r="B168" s="3" t="s">
        <v>16</v>
      </c>
      <c r="C168" s="5">
        <v>38332</v>
      </c>
      <c r="D168" s="3">
        <v>352042409</v>
      </c>
      <c r="E168" s="3" t="s">
        <v>876</v>
      </c>
      <c r="F168" s="3">
        <v>414</v>
      </c>
      <c r="G168" s="3" t="s">
        <v>872</v>
      </c>
      <c r="H168" s="3" t="s">
        <v>613</v>
      </c>
      <c r="I168" s="3" t="s">
        <v>653</v>
      </c>
      <c r="J168" s="3">
        <v>123</v>
      </c>
      <c r="K168" s="3">
        <v>7.3</v>
      </c>
      <c r="L168" s="3" t="s">
        <v>623</v>
      </c>
    </row>
    <row r="169" spans="1:12" ht="14.5" x14ac:dyDescent="0.35">
      <c r="A169" s="3" t="s">
        <v>80</v>
      </c>
      <c r="B169" s="3" t="s">
        <v>81</v>
      </c>
      <c r="C169" s="3" t="s">
        <v>870</v>
      </c>
      <c r="D169" s="6"/>
      <c r="E169" s="3" t="s">
        <v>877</v>
      </c>
      <c r="F169" s="3">
        <v>414</v>
      </c>
      <c r="G169" s="3" t="s">
        <v>872</v>
      </c>
      <c r="H169" s="3" t="s">
        <v>613</v>
      </c>
      <c r="I169" s="3" t="s">
        <v>614</v>
      </c>
      <c r="J169" s="3">
        <v>123</v>
      </c>
      <c r="K169" s="3">
        <v>7.93</v>
      </c>
      <c r="L169" s="3" t="s">
        <v>623</v>
      </c>
    </row>
    <row r="170" spans="1:12" ht="14.5" x14ac:dyDescent="0.35">
      <c r="A170" s="3" t="s">
        <v>20</v>
      </c>
      <c r="B170" s="3" t="s">
        <v>21</v>
      </c>
      <c r="C170" s="3" t="s">
        <v>878</v>
      </c>
      <c r="D170" s="3">
        <v>364734132</v>
      </c>
      <c r="E170" s="3" t="s">
        <v>879</v>
      </c>
      <c r="F170" s="3">
        <v>414</v>
      </c>
      <c r="G170" s="3" t="s">
        <v>872</v>
      </c>
      <c r="H170" s="3" t="s">
        <v>613</v>
      </c>
      <c r="I170" s="3" t="s">
        <v>614</v>
      </c>
      <c r="J170" s="3">
        <v>123</v>
      </c>
      <c r="K170" s="3">
        <v>7.48</v>
      </c>
      <c r="L170" s="3" t="s">
        <v>623</v>
      </c>
    </row>
    <row r="171" spans="1:12" ht="14.5" x14ac:dyDescent="0.35">
      <c r="A171" s="3" t="s">
        <v>51</v>
      </c>
      <c r="B171" s="3" t="s">
        <v>52</v>
      </c>
      <c r="C171" s="3" t="s">
        <v>880</v>
      </c>
      <c r="D171" s="3">
        <v>365068334</v>
      </c>
      <c r="E171" s="3" t="s">
        <v>881</v>
      </c>
      <c r="F171" s="3">
        <v>414</v>
      </c>
      <c r="G171" s="3" t="s">
        <v>872</v>
      </c>
      <c r="H171" s="3" t="s">
        <v>613</v>
      </c>
      <c r="I171" s="3" t="s">
        <v>653</v>
      </c>
      <c r="J171" s="3">
        <v>121</v>
      </c>
      <c r="K171" s="3">
        <v>7.58</v>
      </c>
      <c r="L171" s="3" t="s">
        <v>623</v>
      </c>
    </row>
    <row r="172" spans="1:12" ht="14.5" x14ac:dyDescent="0.35">
      <c r="A172" s="3" t="s">
        <v>82</v>
      </c>
      <c r="B172" s="3" t="s">
        <v>83</v>
      </c>
      <c r="C172" s="3" t="s">
        <v>882</v>
      </c>
      <c r="D172" s="3">
        <v>869374505</v>
      </c>
      <c r="E172" s="3" t="s">
        <v>883</v>
      </c>
      <c r="F172" s="3">
        <v>414</v>
      </c>
      <c r="G172" s="3" t="s">
        <v>872</v>
      </c>
      <c r="H172" s="3" t="s">
        <v>613</v>
      </c>
      <c r="I172" s="3" t="s">
        <v>614</v>
      </c>
      <c r="J172" s="3">
        <v>123</v>
      </c>
      <c r="K172" s="3">
        <v>7.69</v>
      </c>
      <c r="L172" s="3" t="s">
        <v>623</v>
      </c>
    </row>
    <row r="173" spans="1:12" ht="14.5" x14ac:dyDescent="0.35">
      <c r="A173" s="3" t="s">
        <v>61</v>
      </c>
      <c r="B173" s="3" t="s">
        <v>62</v>
      </c>
      <c r="C173" s="3" t="s">
        <v>884</v>
      </c>
      <c r="D173" s="3">
        <v>337933214</v>
      </c>
      <c r="E173" s="3" t="s">
        <v>885</v>
      </c>
      <c r="F173" s="3">
        <v>414</v>
      </c>
      <c r="G173" s="3" t="s">
        <v>872</v>
      </c>
      <c r="H173" s="3" t="s">
        <v>613</v>
      </c>
      <c r="I173" s="3" t="s">
        <v>614</v>
      </c>
      <c r="J173" s="3">
        <v>123</v>
      </c>
      <c r="K173" s="3">
        <v>8.25</v>
      </c>
      <c r="L173" s="3" t="s">
        <v>615</v>
      </c>
    </row>
    <row r="174" spans="1:12" ht="14.5" x14ac:dyDescent="0.35">
      <c r="A174" s="3" t="s">
        <v>23</v>
      </c>
      <c r="B174" s="3" t="s">
        <v>24</v>
      </c>
      <c r="C174" s="4">
        <v>37900</v>
      </c>
      <c r="D174" s="3">
        <v>334672302</v>
      </c>
      <c r="E174" s="3" t="s">
        <v>886</v>
      </c>
      <c r="F174" s="3">
        <v>414</v>
      </c>
      <c r="G174" s="3" t="s">
        <v>872</v>
      </c>
      <c r="H174" s="3" t="s">
        <v>613</v>
      </c>
      <c r="I174" s="3" t="s">
        <v>614</v>
      </c>
      <c r="J174" s="3">
        <v>123</v>
      </c>
      <c r="K174" s="3">
        <v>8.19</v>
      </c>
      <c r="L174" s="3" t="s">
        <v>615</v>
      </c>
    </row>
    <row r="175" spans="1:12" ht="14.5" x14ac:dyDescent="0.35">
      <c r="A175" s="3" t="s">
        <v>35</v>
      </c>
      <c r="B175" s="3" t="s">
        <v>36</v>
      </c>
      <c r="C175" s="5">
        <v>38301</v>
      </c>
      <c r="D175" s="3">
        <v>842600468</v>
      </c>
      <c r="E175" s="3" t="s">
        <v>887</v>
      </c>
      <c r="F175" s="3">
        <v>414</v>
      </c>
      <c r="G175" s="3" t="s">
        <v>872</v>
      </c>
      <c r="H175" s="3" t="s">
        <v>613</v>
      </c>
      <c r="I175" s="3" t="s">
        <v>614</v>
      </c>
      <c r="J175" s="3">
        <v>118</v>
      </c>
      <c r="K175" s="3">
        <v>7.66</v>
      </c>
      <c r="L175" s="3" t="s">
        <v>623</v>
      </c>
    </row>
    <row r="176" spans="1:12" ht="14.5" x14ac:dyDescent="0.35">
      <c r="A176" s="3" t="s">
        <v>204</v>
      </c>
      <c r="B176" s="3" t="s">
        <v>205</v>
      </c>
      <c r="C176" s="4">
        <v>38239</v>
      </c>
      <c r="D176" s="3">
        <v>397008802</v>
      </c>
      <c r="E176" s="3" t="s">
        <v>888</v>
      </c>
      <c r="F176" s="3">
        <v>414</v>
      </c>
      <c r="G176" s="3" t="s">
        <v>872</v>
      </c>
      <c r="H176" s="3" t="s">
        <v>613</v>
      </c>
      <c r="I176" s="3" t="s">
        <v>614</v>
      </c>
      <c r="J176" s="3">
        <v>120</v>
      </c>
      <c r="K176" s="3">
        <v>7.76</v>
      </c>
      <c r="L176" s="3" t="s">
        <v>623</v>
      </c>
    </row>
    <row r="177" spans="1:12" ht="14.5" x14ac:dyDescent="0.35">
      <c r="A177" s="3" t="s">
        <v>190</v>
      </c>
      <c r="B177" s="3" t="s">
        <v>191</v>
      </c>
      <c r="C177" s="4">
        <v>38048</v>
      </c>
      <c r="D177" s="6"/>
      <c r="E177" s="3" t="s">
        <v>889</v>
      </c>
      <c r="F177" s="3">
        <v>414</v>
      </c>
      <c r="G177" s="3" t="s">
        <v>872</v>
      </c>
      <c r="H177" s="3" t="s">
        <v>613</v>
      </c>
      <c r="I177" s="3" t="s">
        <v>614</v>
      </c>
      <c r="J177" s="3">
        <v>125</v>
      </c>
      <c r="K177" s="3">
        <v>8.34</v>
      </c>
      <c r="L177" s="3" t="s">
        <v>615</v>
      </c>
    </row>
    <row r="178" spans="1:12" ht="14.5" x14ac:dyDescent="0.35">
      <c r="A178" s="3" t="s">
        <v>207</v>
      </c>
      <c r="B178" s="3" t="s">
        <v>208</v>
      </c>
      <c r="C178" s="3" t="s">
        <v>890</v>
      </c>
      <c r="D178" s="6"/>
      <c r="E178" s="3" t="s">
        <v>891</v>
      </c>
      <c r="F178" s="3">
        <v>414</v>
      </c>
      <c r="G178" s="3" t="s">
        <v>872</v>
      </c>
      <c r="H178" s="3" t="s">
        <v>613</v>
      </c>
      <c r="I178" s="3" t="s">
        <v>614</v>
      </c>
      <c r="J178" s="3">
        <v>125</v>
      </c>
      <c r="K178" s="3">
        <v>7.96</v>
      </c>
      <c r="L178" s="3" t="s">
        <v>623</v>
      </c>
    </row>
    <row r="179" spans="1:12" ht="14.5" x14ac:dyDescent="0.35">
      <c r="A179" s="3" t="s">
        <v>892</v>
      </c>
      <c r="B179" s="3" t="s">
        <v>893</v>
      </c>
      <c r="C179" s="3" t="s">
        <v>894</v>
      </c>
      <c r="D179" s="3">
        <v>584377779</v>
      </c>
      <c r="E179" s="3" t="s">
        <v>895</v>
      </c>
      <c r="F179" s="3">
        <v>414</v>
      </c>
      <c r="G179" s="3" t="s">
        <v>872</v>
      </c>
      <c r="H179" s="3" t="s">
        <v>613</v>
      </c>
      <c r="I179" s="3" t="s">
        <v>653</v>
      </c>
      <c r="J179" s="3">
        <v>92</v>
      </c>
      <c r="K179" s="3">
        <v>7.73</v>
      </c>
      <c r="L179" s="3" t="s">
        <v>623</v>
      </c>
    </row>
    <row r="180" spans="1:12" ht="14.5" x14ac:dyDescent="0.35">
      <c r="A180" s="3" t="s">
        <v>192</v>
      </c>
      <c r="B180" s="3" t="s">
        <v>193</v>
      </c>
      <c r="C180" s="3" t="s">
        <v>896</v>
      </c>
      <c r="D180" s="3">
        <v>962586124</v>
      </c>
      <c r="E180" s="3" t="s">
        <v>897</v>
      </c>
      <c r="F180" s="3">
        <v>414</v>
      </c>
      <c r="G180" s="3" t="s">
        <v>872</v>
      </c>
      <c r="H180" s="3" t="s">
        <v>613</v>
      </c>
      <c r="I180" s="3" t="s">
        <v>614</v>
      </c>
      <c r="J180" s="3">
        <v>123</v>
      </c>
      <c r="K180" s="3">
        <v>8.2200000000000006</v>
      </c>
      <c r="L180" s="3" t="s">
        <v>615</v>
      </c>
    </row>
    <row r="181" spans="1:12" ht="14.5" x14ac:dyDescent="0.35">
      <c r="A181" s="3" t="s">
        <v>210</v>
      </c>
      <c r="B181" s="3" t="s">
        <v>211</v>
      </c>
      <c r="C181" s="3" t="s">
        <v>882</v>
      </c>
      <c r="D181" s="3">
        <v>839279609</v>
      </c>
      <c r="E181" s="3" t="s">
        <v>898</v>
      </c>
      <c r="F181" s="3">
        <v>414</v>
      </c>
      <c r="G181" s="3" t="s">
        <v>872</v>
      </c>
      <c r="H181" s="3" t="s">
        <v>613</v>
      </c>
      <c r="I181" s="3" t="s">
        <v>614</v>
      </c>
      <c r="J181" s="3">
        <v>123</v>
      </c>
      <c r="K181" s="3">
        <v>7.24</v>
      </c>
      <c r="L181" s="3" t="s">
        <v>623</v>
      </c>
    </row>
    <row r="182" spans="1:12" ht="14.5" x14ac:dyDescent="0.35">
      <c r="A182" s="3" t="s">
        <v>38</v>
      </c>
      <c r="B182" s="3" t="s">
        <v>39</v>
      </c>
      <c r="C182" s="4">
        <v>38050</v>
      </c>
      <c r="D182" s="3">
        <v>338718127</v>
      </c>
      <c r="E182" s="3" t="s">
        <v>899</v>
      </c>
      <c r="F182" s="3">
        <v>414</v>
      </c>
      <c r="G182" s="3" t="s">
        <v>872</v>
      </c>
      <c r="H182" s="3" t="s">
        <v>613</v>
      </c>
      <c r="I182" s="3" t="s">
        <v>614</v>
      </c>
      <c r="J182" s="3">
        <v>123</v>
      </c>
      <c r="K182" s="3">
        <v>8.2799999999999994</v>
      </c>
      <c r="L182" s="3" t="s">
        <v>615</v>
      </c>
    </row>
    <row r="183" spans="1:12" ht="14.5" x14ac:dyDescent="0.35">
      <c r="A183" s="3" t="s">
        <v>54</v>
      </c>
      <c r="B183" s="3" t="s">
        <v>55</v>
      </c>
      <c r="C183" s="3" t="s">
        <v>778</v>
      </c>
      <c r="D183" s="3">
        <v>377260738</v>
      </c>
      <c r="E183" s="3" t="s">
        <v>900</v>
      </c>
      <c r="F183" s="3">
        <v>414</v>
      </c>
      <c r="G183" s="3" t="s">
        <v>872</v>
      </c>
      <c r="H183" s="3" t="s">
        <v>613</v>
      </c>
      <c r="I183" s="3" t="s">
        <v>653</v>
      </c>
      <c r="J183" s="3">
        <v>123</v>
      </c>
      <c r="K183" s="3">
        <v>7.96</v>
      </c>
      <c r="L183" s="3" t="s">
        <v>623</v>
      </c>
    </row>
    <row r="184" spans="1:12" ht="14.5" x14ac:dyDescent="0.35">
      <c r="A184" s="3" t="s">
        <v>212</v>
      </c>
      <c r="B184" s="3" t="s">
        <v>213</v>
      </c>
      <c r="C184" s="4">
        <v>38261</v>
      </c>
      <c r="D184" s="3">
        <v>846333129</v>
      </c>
      <c r="E184" s="3" t="s">
        <v>901</v>
      </c>
      <c r="F184" s="3">
        <v>414</v>
      </c>
      <c r="G184" s="3" t="s">
        <v>872</v>
      </c>
      <c r="H184" s="3" t="s">
        <v>613</v>
      </c>
      <c r="I184" s="3" t="s">
        <v>614</v>
      </c>
      <c r="J184" s="3">
        <v>123</v>
      </c>
      <c r="K184" s="3">
        <v>8.58</v>
      </c>
      <c r="L184" s="3" t="s">
        <v>615</v>
      </c>
    </row>
    <row r="185" spans="1:12" ht="14.5" x14ac:dyDescent="0.35">
      <c r="A185" s="3" t="s">
        <v>214</v>
      </c>
      <c r="B185" s="3" t="s">
        <v>215</v>
      </c>
      <c r="C185" s="4">
        <v>38057</v>
      </c>
      <c r="D185" s="3">
        <v>357093416</v>
      </c>
      <c r="E185" s="3" t="s">
        <v>902</v>
      </c>
      <c r="F185" s="3">
        <v>414</v>
      </c>
      <c r="G185" s="3" t="s">
        <v>872</v>
      </c>
      <c r="H185" s="3" t="s">
        <v>613</v>
      </c>
      <c r="I185" s="3" t="s">
        <v>614</v>
      </c>
      <c r="J185" s="3">
        <v>123</v>
      </c>
      <c r="K185" s="3">
        <v>8.76</v>
      </c>
      <c r="L185" s="3" t="s">
        <v>615</v>
      </c>
    </row>
    <row r="186" spans="1:12" ht="14.5" x14ac:dyDescent="0.35">
      <c r="A186" s="3" t="s">
        <v>194</v>
      </c>
      <c r="B186" s="3" t="s">
        <v>195</v>
      </c>
      <c r="C186" s="3" t="s">
        <v>903</v>
      </c>
      <c r="D186" s="3">
        <v>963008142</v>
      </c>
      <c r="E186" s="3" t="s">
        <v>904</v>
      </c>
      <c r="F186" s="3">
        <v>414</v>
      </c>
      <c r="G186" s="3" t="s">
        <v>872</v>
      </c>
      <c r="H186" s="3" t="s">
        <v>613</v>
      </c>
      <c r="I186" s="3" t="s">
        <v>614</v>
      </c>
      <c r="J186" s="3">
        <v>123</v>
      </c>
      <c r="K186" s="3">
        <v>7.79</v>
      </c>
      <c r="L186" s="3" t="s">
        <v>623</v>
      </c>
    </row>
    <row r="187" spans="1:12" ht="14.5" x14ac:dyDescent="0.35">
      <c r="A187" s="3" t="s">
        <v>301</v>
      </c>
      <c r="B187" s="3" t="s">
        <v>905</v>
      </c>
      <c r="C187" s="3" t="s">
        <v>906</v>
      </c>
      <c r="D187" s="6"/>
      <c r="E187" s="3" t="s">
        <v>907</v>
      </c>
      <c r="F187" s="3">
        <v>414</v>
      </c>
      <c r="G187" s="3" t="s">
        <v>872</v>
      </c>
      <c r="H187" s="3" t="s">
        <v>613</v>
      </c>
      <c r="I187" s="3" t="s">
        <v>614</v>
      </c>
      <c r="J187" s="3">
        <v>123</v>
      </c>
      <c r="K187" s="3">
        <v>7.71</v>
      </c>
      <c r="L187" s="3" t="s">
        <v>623</v>
      </c>
    </row>
    <row r="188" spans="1:12" ht="14.5" x14ac:dyDescent="0.35">
      <c r="A188" s="3" t="s">
        <v>120</v>
      </c>
      <c r="B188" s="3" t="s">
        <v>121</v>
      </c>
      <c r="C188" s="4">
        <v>38267</v>
      </c>
      <c r="D188" s="3">
        <v>373730998</v>
      </c>
      <c r="E188" s="3" t="s">
        <v>908</v>
      </c>
      <c r="F188" s="3">
        <v>414</v>
      </c>
      <c r="G188" s="3" t="s">
        <v>872</v>
      </c>
      <c r="H188" s="3" t="s">
        <v>613</v>
      </c>
      <c r="I188" s="3" t="s">
        <v>614</v>
      </c>
      <c r="J188" s="3">
        <v>123</v>
      </c>
      <c r="K188" s="3">
        <v>8.23</v>
      </c>
      <c r="L188" s="3" t="s">
        <v>615</v>
      </c>
    </row>
    <row r="189" spans="1:12" ht="14.5" x14ac:dyDescent="0.35">
      <c r="A189" s="3" t="s">
        <v>197</v>
      </c>
      <c r="B189" s="3" t="s">
        <v>198</v>
      </c>
      <c r="C189" s="3" t="s">
        <v>909</v>
      </c>
      <c r="D189" s="3">
        <v>394986395</v>
      </c>
      <c r="E189" s="3" t="s">
        <v>910</v>
      </c>
      <c r="F189" s="3">
        <v>414</v>
      </c>
      <c r="G189" s="3" t="s">
        <v>872</v>
      </c>
      <c r="H189" s="3" t="s">
        <v>613</v>
      </c>
      <c r="I189" s="3" t="s">
        <v>653</v>
      </c>
      <c r="J189" s="3">
        <v>123</v>
      </c>
      <c r="K189" s="3">
        <v>8.58</v>
      </c>
      <c r="L189" s="3" t="s">
        <v>615</v>
      </c>
    </row>
    <row r="190" spans="1:12" ht="14.5" x14ac:dyDescent="0.35">
      <c r="A190" s="3" t="s">
        <v>358</v>
      </c>
      <c r="B190" s="3" t="s">
        <v>359</v>
      </c>
      <c r="C190" s="4">
        <v>38055</v>
      </c>
      <c r="D190" s="3">
        <v>969569635</v>
      </c>
      <c r="E190" s="3" t="s">
        <v>911</v>
      </c>
      <c r="F190" s="3">
        <v>414</v>
      </c>
      <c r="G190" s="3" t="s">
        <v>872</v>
      </c>
      <c r="H190" s="3" t="s">
        <v>613</v>
      </c>
      <c r="I190" s="3" t="s">
        <v>614</v>
      </c>
      <c r="J190" s="3">
        <v>123</v>
      </c>
      <c r="K190" s="3">
        <v>8.34</v>
      </c>
      <c r="L190" s="3" t="s">
        <v>615</v>
      </c>
    </row>
    <row r="191" spans="1:12" ht="14.5" x14ac:dyDescent="0.35">
      <c r="A191" s="3" t="s">
        <v>200</v>
      </c>
      <c r="B191" s="3" t="s">
        <v>201</v>
      </c>
      <c r="C191" s="3" t="s">
        <v>629</v>
      </c>
      <c r="D191" s="3">
        <v>762646455</v>
      </c>
      <c r="E191" s="3" t="s">
        <v>912</v>
      </c>
      <c r="F191" s="3">
        <v>414</v>
      </c>
      <c r="G191" s="3" t="s">
        <v>872</v>
      </c>
      <c r="H191" s="3" t="s">
        <v>613</v>
      </c>
      <c r="I191" s="3" t="s">
        <v>614</v>
      </c>
      <c r="J191" s="3">
        <v>123</v>
      </c>
      <c r="K191" s="3">
        <v>7.92</v>
      </c>
      <c r="L191" s="3" t="s">
        <v>623</v>
      </c>
    </row>
    <row r="192" spans="1:12" ht="14.5" x14ac:dyDescent="0.35">
      <c r="A192" s="3" t="s">
        <v>123</v>
      </c>
      <c r="B192" s="3" t="s">
        <v>124</v>
      </c>
      <c r="C192" s="3" t="s">
        <v>609</v>
      </c>
      <c r="D192" s="3">
        <v>903806436</v>
      </c>
      <c r="E192" s="3" t="s">
        <v>913</v>
      </c>
      <c r="F192" s="3">
        <v>414</v>
      </c>
      <c r="G192" s="3" t="s">
        <v>872</v>
      </c>
      <c r="H192" s="3" t="s">
        <v>613</v>
      </c>
      <c r="I192" s="3" t="s">
        <v>614</v>
      </c>
      <c r="J192" s="3">
        <v>123</v>
      </c>
      <c r="K192" s="3">
        <v>8.02</v>
      </c>
      <c r="L192" s="3" t="s">
        <v>615</v>
      </c>
    </row>
    <row r="193" spans="1:12" ht="14.5" x14ac:dyDescent="0.35">
      <c r="A193" s="3" t="s">
        <v>136</v>
      </c>
      <c r="B193" s="3" t="s">
        <v>137</v>
      </c>
      <c r="C193" s="4">
        <v>38297</v>
      </c>
      <c r="D193" s="3">
        <v>378080079</v>
      </c>
      <c r="E193" s="3" t="s">
        <v>914</v>
      </c>
      <c r="F193" s="3">
        <v>414</v>
      </c>
      <c r="G193" s="3" t="s">
        <v>872</v>
      </c>
      <c r="H193" s="3" t="s">
        <v>613</v>
      </c>
      <c r="I193" s="3" t="s">
        <v>614</v>
      </c>
      <c r="J193" s="3">
        <v>123</v>
      </c>
      <c r="K193" s="3">
        <v>7.71</v>
      </c>
      <c r="L193" s="3" t="s">
        <v>623</v>
      </c>
    </row>
    <row r="194" spans="1:12" ht="14.5" x14ac:dyDescent="0.35">
      <c r="A194" s="3" t="s">
        <v>242</v>
      </c>
      <c r="B194" s="3" t="s">
        <v>915</v>
      </c>
      <c r="C194" s="3" t="s">
        <v>916</v>
      </c>
      <c r="D194" s="3">
        <v>896652031</v>
      </c>
      <c r="E194" s="3" t="s">
        <v>917</v>
      </c>
      <c r="F194" s="3">
        <v>414</v>
      </c>
      <c r="G194" s="3" t="s">
        <v>872</v>
      </c>
      <c r="H194" s="3" t="s">
        <v>613</v>
      </c>
      <c r="I194" s="3" t="s">
        <v>614</v>
      </c>
      <c r="J194" s="3">
        <v>123</v>
      </c>
      <c r="K194" s="3">
        <v>8</v>
      </c>
      <c r="L194" s="3" t="s">
        <v>615</v>
      </c>
    </row>
    <row r="195" spans="1:12" ht="14.5" x14ac:dyDescent="0.35">
      <c r="A195" s="3" t="s">
        <v>918</v>
      </c>
      <c r="B195" s="3" t="s">
        <v>919</v>
      </c>
      <c r="C195" s="4">
        <v>37873</v>
      </c>
      <c r="D195" s="3">
        <v>909362003</v>
      </c>
      <c r="E195" s="3" t="s">
        <v>920</v>
      </c>
      <c r="F195" s="3">
        <v>414</v>
      </c>
      <c r="G195" s="3" t="s">
        <v>872</v>
      </c>
      <c r="H195" s="3" t="s">
        <v>921</v>
      </c>
      <c r="I195" s="3" t="s">
        <v>653</v>
      </c>
      <c r="J195" s="3">
        <v>63</v>
      </c>
      <c r="K195" s="3">
        <v>8.27</v>
      </c>
      <c r="L195" s="3" t="s">
        <v>615</v>
      </c>
    </row>
    <row r="196" spans="1:12" ht="14.5" x14ac:dyDescent="0.35">
      <c r="A196" s="3" t="s">
        <v>360</v>
      </c>
      <c r="B196" s="3" t="s">
        <v>922</v>
      </c>
      <c r="C196" s="3" t="s">
        <v>923</v>
      </c>
      <c r="D196" s="3">
        <v>385187748</v>
      </c>
      <c r="E196" s="3" t="s">
        <v>924</v>
      </c>
      <c r="F196" s="3">
        <v>414</v>
      </c>
      <c r="G196" s="3" t="s">
        <v>872</v>
      </c>
      <c r="H196" s="3" t="s">
        <v>613</v>
      </c>
      <c r="I196" s="3" t="s">
        <v>614</v>
      </c>
      <c r="J196" s="3">
        <v>123</v>
      </c>
      <c r="K196" s="3">
        <v>8.6</v>
      </c>
      <c r="L196" s="3" t="s">
        <v>615</v>
      </c>
    </row>
    <row r="197" spans="1:12" ht="14.5" x14ac:dyDescent="0.35">
      <c r="A197" s="3" t="s">
        <v>244</v>
      </c>
      <c r="B197" s="3" t="s">
        <v>245</v>
      </c>
      <c r="C197" s="3" t="s">
        <v>925</v>
      </c>
      <c r="D197" s="3">
        <v>942814341</v>
      </c>
      <c r="E197" s="3" t="s">
        <v>926</v>
      </c>
      <c r="F197" s="3">
        <v>414</v>
      </c>
      <c r="G197" s="3" t="s">
        <v>872</v>
      </c>
      <c r="H197" s="3" t="s">
        <v>613</v>
      </c>
      <c r="I197" s="3" t="s">
        <v>614</v>
      </c>
      <c r="J197" s="3">
        <v>123</v>
      </c>
      <c r="K197" s="3">
        <v>8.42</v>
      </c>
      <c r="L197" s="3" t="s">
        <v>615</v>
      </c>
    </row>
    <row r="198" spans="1:12" ht="14.5" x14ac:dyDescent="0.35">
      <c r="A198" s="3" t="s">
        <v>246</v>
      </c>
      <c r="B198" s="3" t="s">
        <v>247</v>
      </c>
      <c r="C198" s="3" t="s">
        <v>927</v>
      </c>
      <c r="D198" s="3">
        <v>937812385</v>
      </c>
      <c r="E198" s="3" t="s">
        <v>928</v>
      </c>
      <c r="F198" s="3">
        <v>414</v>
      </c>
      <c r="G198" s="3" t="s">
        <v>872</v>
      </c>
      <c r="H198" s="3" t="s">
        <v>613</v>
      </c>
      <c r="I198" s="3" t="s">
        <v>614</v>
      </c>
      <c r="J198" s="3">
        <v>123</v>
      </c>
      <c r="K198" s="3">
        <v>7.85</v>
      </c>
      <c r="L198" s="3" t="s">
        <v>623</v>
      </c>
    </row>
    <row r="199" spans="1:12" ht="14.5" x14ac:dyDescent="0.35">
      <c r="A199" s="3" t="s">
        <v>362</v>
      </c>
      <c r="B199" s="3" t="s">
        <v>363</v>
      </c>
      <c r="C199" s="3" t="s">
        <v>929</v>
      </c>
      <c r="D199" s="3">
        <v>869216298</v>
      </c>
      <c r="E199" s="3" t="s">
        <v>930</v>
      </c>
      <c r="F199" s="3">
        <v>414</v>
      </c>
      <c r="G199" s="3" t="s">
        <v>872</v>
      </c>
      <c r="H199" s="3" t="s">
        <v>613</v>
      </c>
      <c r="I199" s="3" t="s">
        <v>653</v>
      </c>
      <c r="J199" s="3">
        <v>123</v>
      </c>
      <c r="K199" s="3">
        <v>7.71</v>
      </c>
      <c r="L199" s="3" t="s">
        <v>623</v>
      </c>
    </row>
    <row r="200" spans="1:12" ht="14.5" x14ac:dyDescent="0.35">
      <c r="A200" s="3" t="s">
        <v>139</v>
      </c>
      <c r="B200" s="3" t="s">
        <v>140</v>
      </c>
      <c r="C200" s="3" t="s">
        <v>896</v>
      </c>
      <c r="D200" s="6"/>
      <c r="E200" s="3" t="s">
        <v>931</v>
      </c>
      <c r="F200" s="3">
        <v>414</v>
      </c>
      <c r="G200" s="3" t="s">
        <v>872</v>
      </c>
      <c r="H200" s="3" t="s">
        <v>613</v>
      </c>
      <c r="I200" s="3" t="s">
        <v>614</v>
      </c>
      <c r="J200" s="3">
        <v>123</v>
      </c>
      <c r="K200" s="3">
        <v>8.2100000000000009</v>
      </c>
      <c r="L200" s="3" t="s">
        <v>615</v>
      </c>
    </row>
    <row r="201" spans="1:12" ht="14.5" x14ac:dyDescent="0.35">
      <c r="A201" s="3" t="s">
        <v>141</v>
      </c>
      <c r="B201" s="3" t="s">
        <v>142</v>
      </c>
      <c r="C201" s="4">
        <v>38299</v>
      </c>
      <c r="D201" s="3">
        <v>968402362</v>
      </c>
      <c r="E201" s="3" t="s">
        <v>932</v>
      </c>
      <c r="F201" s="3">
        <v>414</v>
      </c>
      <c r="G201" s="3" t="s">
        <v>872</v>
      </c>
      <c r="H201" s="3" t="s">
        <v>613</v>
      </c>
      <c r="I201" s="3" t="s">
        <v>614</v>
      </c>
      <c r="J201" s="3">
        <v>123</v>
      </c>
      <c r="K201" s="3">
        <v>8.09</v>
      </c>
      <c r="L201" s="3" t="s">
        <v>615</v>
      </c>
    </row>
    <row r="202" spans="1:12" ht="14.5" x14ac:dyDescent="0.35">
      <c r="A202" s="3" t="s">
        <v>248</v>
      </c>
      <c r="B202" s="3" t="s">
        <v>249</v>
      </c>
      <c r="C202" s="3" t="s">
        <v>695</v>
      </c>
      <c r="D202" s="3">
        <v>908732800</v>
      </c>
      <c r="E202" s="3" t="s">
        <v>933</v>
      </c>
      <c r="F202" s="3">
        <v>414</v>
      </c>
      <c r="G202" s="3" t="s">
        <v>872</v>
      </c>
      <c r="H202" s="3" t="s">
        <v>613</v>
      </c>
      <c r="I202" s="3" t="s">
        <v>614</v>
      </c>
      <c r="J202" s="3">
        <v>123</v>
      </c>
      <c r="K202" s="3">
        <v>8.25</v>
      </c>
      <c r="L202" s="3" t="s">
        <v>615</v>
      </c>
    </row>
    <row r="203" spans="1:12" ht="14.5" x14ac:dyDescent="0.35">
      <c r="A203" s="3" t="s">
        <v>84</v>
      </c>
      <c r="B203" s="3" t="s">
        <v>85</v>
      </c>
      <c r="C203" s="4">
        <v>38142</v>
      </c>
      <c r="D203" s="3">
        <v>794211591</v>
      </c>
      <c r="E203" s="3" t="s">
        <v>934</v>
      </c>
      <c r="F203" s="3">
        <v>414</v>
      </c>
      <c r="G203" s="3" t="s">
        <v>872</v>
      </c>
      <c r="H203" s="3" t="s">
        <v>613</v>
      </c>
      <c r="I203" s="3" t="s">
        <v>614</v>
      </c>
      <c r="J203" s="3">
        <v>123</v>
      </c>
      <c r="K203" s="3">
        <v>7.48</v>
      </c>
      <c r="L203" s="3" t="s">
        <v>623</v>
      </c>
    </row>
    <row r="204" spans="1:12" ht="14.5" x14ac:dyDescent="0.35">
      <c r="A204" s="3" t="s">
        <v>935</v>
      </c>
      <c r="B204" s="3" t="s">
        <v>936</v>
      </c>
      <c r="C204" s="3" t="s">
        <v>740</v>
      </c>
      <c r="D204" s="3">
        <v>769577101</v>
      </c>
      <c r="E204" s="3" t="s">
        <v>937</v>
      </c>
      <c r="F204" s="3">
        <v>414</v>
      </c>
      <c r="G204" s="3" t="s">
        <v>872</v>
      </c>
      <c r="H204" s="3" t="s">
        <v>921</v>
      </c>
      <c r="I204" s="3" t="s">
        <v>653</v>
      </c>
      <c r="J204" s="3">
        <v>23</v>
      </c>
      <c r="K204" s="3">
        <v>6.74</v>
      </c>
      <c r="L204" s="3" t="s">
        <v>676</v>
      </c>
    </row>
    <row r="205" spans="1:12" ht="14.5" x14ac:dyDescent="0.35">
      <c r="A205" s="3" t="s">
        <v>299</v>
      </c>
      <c r="B205" s="3" t="s">
        <v>300</v>
      </c>
      <c r="C205" s="4">
        <v>38171</v>
      </c>
      <c r="D205" s="3">
        <v>961390152</v>
      </c>
      <c r="E205" s="3" t="s">
        <v>938</v>
      </c>
      <c r="F205" s="3">
        <v>414</v>
      </c>
      <c r="G205" s="3" t="s">
        <v>872</v>
      </c>
      <c r="H205" s="3" t="s">
        <v>613</v>
      </c>
      <c r="I205" s="3" t="s">
        <v>614</v>
      </c>
      <c r="J205" s="3">
        <v>123</v>
      </c>
      <c r="K205" s="3">
        <v>7.86</v>
      </c>
      <c r="L205" s="3" t="s">
        <v>623</v>
      </c>
    </row>
    <row r="206" spans="1:12" ht="14.5" x14ac:dyDescent="0.35">
      <c r="A206" s="3" t="s">
        <v>378</v>
      </c>
      <c r="B206" s="3" t="s">
        <v>379</v>
      </c>
      <c r="C206" s="3" t="s">
        <v>939</v>
      </c>
      <c r="D206" s="3">
        <v>912194736</v>
      </c>
      <c r="E206" s="3" t="s">
        <v>940</v>
      </c>
      <c r="F206" s="3">
        <v>414</v>
      </c>
      <c r="G206" s="3" t="s">
        <v>872</v>
      </c>
      <c r="H206" s="3" t="s">
        <v>613</v>
      </c>
      <c r="I206" s="3" t="s">
        <v>653</v>
      </c>
      <c r="J206" s="3">
        <v>123</v>
      </c>
      <c r="K206" s="3">
        <v>8.5299999999999994</v>
      </c>
      <c r="L206" s="3" t="s">
        <v>615</v>
      </c>
    </row>
    <row r="207" spans="1:12" ht="14.5" x14ac:dyDescent="0.35">
      <c r="A207" s="3" t="s">
        <v>941</v>
      </c>
      <c r="B207" s="3" t="s">
        <v>942</v>
      </c>
      <c r="C207" s="3" t="s">
        <v>943</v>
      </c>
      <c r="D207" s="3">
        <v>902603499</v>
      </c>
      <c r="E207" s="3" t="s">
        <v>944</v>
      </c>
      <c r="F207" s="3">
        <v>414</v>
      </c>
      <c r="G207" s="3" t="s">
        <v>872</v>
      </c>
      <c r="H207" s="3" t="s">
        <v>613</v>
      </c>
      <c r="I207" s="3" t="s">
        <v>614</v>
      </c>
      <c r="J207" s="3">
        <v>101</v>
      </c>
      <c r="K207" s="3">
        <v>7.6</v>
      </c>
      <c r="L207" s="3" t="s">
        <v>623</v>
      </c>
    </row>
    <row r="208" spans="1:12" ht="14.5" x14ac:dyDescent="0.35">
      <c r="A208" s="3" t="s">
        <v>945</v>
      </c>
      <c r="B208" s="3" t="s">
        <v>946</v>
      </c>
      <c r="C208" s="3" t="s">
        <v>947</v>
      </c>
      <c r="D208" s="3">
        <v>941857317</v>
      </c>
      <c r="E208" s="3" t="s">
        <v>948</v>
      </c>
      <c r="F208" s="3">
        <v>414</v>
      </c>
      <c r="G208" s="3" t="s">
        <v>872</v>
      </c>
      <c r="H208" s="3" t="s">
        <v>613</v>
      </c>
      <c r="I208" s="3" t="s">
        <v>614</v>
      </c>
      <c r="J208" s="3">
        <v>94</v>
      </c>
      <c r="K208" s="3">
        <v>6.79</v>
      </c>
      <c r="L208" s="3" t="s">
        <v>676</v>
      </c>
    </row>
    <row r="209" spans="1:12" ht="14.5" x14ac:dyDescent="0.35">
      <c r="A209" s="3" t="s">
        <v>381</v>
      </c>
      <c r="B209" s="3" t="s">
        <v>382</v>
      </c>
      <c r="C209" s="3" t="s">
        <v>927</v>
      </c>
      <c r="D209" s="3">
        <v>789681105</v>
      </c>
      <c r="E209" s="3" t="s">
        <v>949</v>
      </c>
      <c r="F209" s="3">
        <v>414</v>
      </c>
      <c r="G209" s="3" t="s">
        <v>872</v>
      </c>
      <c r="H209" s="3" t="s">
        <v>613</v>
      </c>
      <c r="I209" s="3" t="s">
        <v>614</v>
      </c>
      <c r="J209" s="3">
        <v>123</v>
      </c>
      <c r="K209" s="3">
        <v>7.46</v>
      </c>
      <c r="L209" s="3" t="s">
        <v>623</v>
      </c>
    </row>
    <row r="210" spans="1:12" ht="14.5" x14ac:dyDescent="0.35">
      <c r="A210" s="3" t="s">
        <v>297</v>
      </c>
      <c r="B210" s="3" t="s">
        <v>298</v>
      </c>
      <c r="C210" s="3" t="s">
        <v>950</v>
      </c>
      <c r="D210" s="3">
        <v>589412110</v>
      </c>
      <c r="E210" s="3" t="s">
        <v>951</v>
      </c>
      <c r="F210" s="3">
        <v>414</v>
      </c>
      <c r="G210" s="3" t="s">
        <v>872</v>
      </c>
      <c r="H210" s="3" t="s">
        <v>613</v>
      </c>
      <c r="I210" s="3" t="s">
        <v>653</v>
      </c>
      <c r="J210" s="3">
        <v>123</v>
      </c>
      <c r="K210" s="3">
        <v>7.87</v>
      </c>
      <c r="L210" s="3" t="s">
        <v>623</v>
      </c>
    </row>
    <row r="211" spans="1:12" ht="14.5" x14ac:dyDescent="0.35">
      <c r="A211" s="3" t="s">
        <v>427</v>
      </c>
      <c r="B211" s="3" t="s">
        <v>428</v>
      </c>
      <c r="C211" s="4">
        <v>38242</v>
      </c>
      <c r="D211" s="3">
        <v>933526114</v>
      </c>
      <c r="E211" s="3" t="s">
        <v>952</v>
      </c>
      <c r="F211" s="3">
        <v>414</v>
      </c>
      <c r="G211" s="3" t="s">
        <v>872</v>
      </c>
      <c r="H211" s="3" t="s">
        <v>613</v>
      </c>
      <c r="I211" s="3" t="s">
        <v>614</v>
      </c>
      <c r="J211" s="3">
        <v>123</v>
      </c>
      <c r="K211" s="3">
        <v>8.0500000000000007</v>
      </c>
      <c r="L211" s="3" t="s">
        <v>615</v>
      </c>
    </row>
    <row r="212" spans="1:12" ht="14.5" x14ac:dyDescent="0.35">
      <c r="A212" s="3" t="s">
        <v>367</v>
      </c>
      <c r="B212" s="3" t="s">
        <v>368</v>
      </c>
      <c r="C212" s="3" t="s">
        <v>953</v>
      </c>
      <c r="D212" s="3">
        <v>816554972</v>
      </c>
      <c r="E212" s="3" t="s">
        <v>954</v>
      </c>
      <c r="F212" s="3">
        <v>414</v>
      </c>
      <c r="G212" s="3" t="s">
        <v>872</v>
      </c>
      <c r="H212" s="3" t="s">
        <v>613</v>
      </c>
      <c r="I212" s="3" t="s">
        <v>653</v>
      </c>
      <c r="J212" s="3">
        <v>91</v>
      </c>
      <c r="K212" s="3">
        <v>7.13</v>
      </c>
      <c r="L212" s="3" t="s">
        <v>623</v>
      </c>
    </row>
    <row r="213" spans="1:12" ht="14.5" x14ac:dyDescent="0.35">
      <c r="A213" s="3" t="s">
        <v>384</v>
      </c>
      <c r="B213" s="3" t="s">
        <v>385</v>
      </c>
      <c r="C213" s="4">
        <v>38235</v>
      </c>
      <c r="D213" s="3">
        <v>782793850</v>
      </c>
      <c r="E213" s="3" t="s">
        <v>955</v>
      </c>
      <c r="F213" s="3">
        <v>414</v>
      </c>
      <c r="G213" s="3" t="s">
        <v>872</v>
      </c>
      <c r="H213" s="3" t="s">
        <v>613</v>
      </c>
      <c r="I213" s="3" t="s">
        <v>653</v>
      </c>
      <c r="J213" s="3">
        <v>123</v>
      </c>
      <c r="K213" s="3">
        <v>7.72</v>
      </c>
      <c r="L213" s="3" t="s">
        <v>623</v>
      </c>
    </row>
    <row r="214" spans="1:12" ht="14.5" x14ac:dyDescent="0.35">
      <c r="A214" s="3" t="s">
        <v>386</v>
      </c>
      <c r="B214" s="3" t="s">
        <v>387</v>
      </c>
      <c r="C214" s="3" t="s">
        <v>956</v>
      </c>
      <c r="D214" s="3">
        <v>915250854</v>
      </c>
      <c r="E214" s="3" t="s">
        <v>957</v>
      </c>
      <c r="F214" s="3">
        <v>414</v>
      </c>
      <c r="G214" s="3" t="s">
        <v>872</v>
      </c>
      <c r="H214" s="3" t="s">
        <v>613</v>
      </c>
      <c r="I214" s="3" t="s">
        <v>614</v>
      </c>
      <c r="J214" s="3">
        <v>123</v>
      </c>
      <c r="K214" s="3">
        <v>7.81</v>
      </c>
      <c r="L214" s="3" t="s">
        <v>623</v>
      </c>
    </row>
    <row r="215" spans="1:12" ht="14.5" x14ac:dyDescent="0.35">
      <c r="A215" s="3" t="s">
        <v>958</v>
      </c>
      <c r="B215" s="3" t="s">
        <v>959</v>
      </c>
      <c r="C215" s="3" t="s">
        <v>960</v>
      </c>
      <c r="D215" s="3">
        <v>374905400</v>
      </c>
      <c r="E215" s="3" t="s">
        <v>961</v>
      </c>
      <c r="F215" s="3">
        <v>414</v>
      </c>
      <c r="G215" s="3" t="s">
        <v>872</v>
      </c>
      <c r="H215" s="3" t="s">
        <v>613</v>
      </c>
      <c r="I215" s="3" t="s">
        <v>614</v>
      </c>
      <c r="J215" s="3">
        <v>36</v>
      </c>
      <c r="K215" s="3">
        <v>6.86</v>
      </c>
      <c r="L215" s="3" t="s">
        <v>676</v>
      </c>
    </row>
    <row r="216" spans="1:12" ht="14.5" x14ac:dyDescent="0.35">
      <c r="A216" s="3" t="s">
        <v>56</v>
      </c>
      <c r="B216" s="3" t="s">
        <v>57</v>
      </c>
      <c r="C216" s="4">
        <v>37595</v>
      </c>
      <c r="D216" s="3">
        <v>394061044</v>
      </c>
      <c r="E216" s="3" t="s">
        <v>962</v>
      </c>
      <c r="F216" s="3">
        <v>414</v>
      </c>
      <c r="G216" s="3" t="s">
        <v>872</v>
      </c>
      <c r="H216" s="3" t="s">
        <v>613</v>
      </c>
      <c r="I216" s="3" t="s">
        <v>653</v>
      </c>
      <c r="J216" s="3">
        <v>123</v>
      </c>
      <c r="K216" s="3">
        <v>7.6</v>
      </c>
      <c r="L216" s="3" t="s">
        <v>623</v>
      </c>
    </row>
    <row r="217" spans="1:12" ht="14.5" x14ac:dyDescent="0.35">
      <c r="A217" s="3" t="s">
        <v>429</v>
      </c>
      <c r="B217" s="3" t="s">
        <v>430</v>
      </c>
      <c r="C217" s="3" t="s">
        <v>963</v>
      </c>
      <c r="D217" s="3">
        <v>867869844</v>
      </c>
      <c r="E217" s="3" t="s">
        <v>964</v>
      </c>
      <c r="F217" s="3">
        <v>414</v>
      </c>
      <c r="G217" s="3" t="s">
        <v>872</v>
      </c>
      <c r="H217" s="3" t="s">
        <v>613</v>
      </c>
      <c r="I217" s="3" t="s">
        <v>614</v>
      </c>
      <c r="J217" s="3">
        <v>123</v>
      </c>
      <c r="K217" s="3">
        <v>8.01</v>
      </c>
      <c r="L217" s="3" t="s">
        <v>615</v>
      </c>
    </row>
    <row r="218" spans="1:12" ht="14.5" x14ac:dyDescent="0.35">
      <c r="A218" s="3" t="s">
        <v>388</v>
      </c>
      <c r="B218" s="3" t="s">
        <v>389</v>
      </c>
      <c r="C218" s="3" t="s">
        <v>965</v>
      </c>
      <c r="D218" s="3">
        <v>983617470</v>
      </c>
      <c r="E218" s="3" t="s">
        <v>966</v>
      </c>
      <c r="F218" s="3">
        <v>414</v>
      </c>
      <c r="G218" s="3" t="s">
        <v>872</v>
      </c>
      <c r="H218" s="3" t="s">
        <v>613</v>
      </c>
      <c r="I218" s="3" t="s">
        <v>614</v>
      </c>
      <c r="J218" s="3">
        <v>123</v>
      </c>
      <c r="K218" s="3">
        <v>7.59</v>
      </c>
      <c r="L218" s="3" t="s">
        <v>623</v>
      </c>
    </row>
    <row r="219" spans="1:12" ht="14.5" x14ac:dyDescent="0.35">
      <c r="A219" s="3" t="s">
        <v>370</v>
      </c>
      <c r="B219" s="3" t="s">
        <v>371</v>
      </c>
      <c r="C219" s="3" t="s">
        <v>967</v>
      </c>
      <c r="D219" s="6"/>
      <c r="E219" s="3" t="s">
        <v>968</v>
      </c>
      <c r="F219" s="3">
        <v>414</v>
      </c>
      <c r="G219" s="3" t="s">
        <v>872</v>
      </c>
      <c r="H219" s="3" t="s">
        <v>613</v>
      </c>
      <c r="I219" s="3" t="s">
        <v>614</v>
      </c>
      <c r="J219" s="3">
        <v>123</v>
      </c>
      <c r="K219" s="3">
        <v>8.17</v>
      </c>
      <c r="L219" s="3" t="s">
        <v>615</v>
      </c>
    </row>
    <row r="220" spans="1:12" ht="14.5" x14ac:dyDescent="0.35">
      <c r="A220" s="3" t="s">
        <v>372</v>
      </c>
      <c r="B220" s="3" t="s">
        <v>373</v>
      </c>
      <c r="C220" s="4">
        <v>37987</v>
      </c>
      <c r="D220" s="3">
        <v>393309117</v>
      </c>
      <c r="E220" s="3" t="s">
        <v>969</v>
      </c>
      <c r="F220" s="3">
        <v>414</v>
      </c>
      <c r="G220" s="3" t="s">
        <v>872</v>
      </c>
      <c r="H220" s="3" t="s">
        <v>613</v>
      </c>
      <c r="I220" s="3" t="s">
        <v>614</v>
      </c>
      <c r="J220" s="3">
        <v>123</v>
      </c>
      <c r="K220" s="3">
        <v>8.2100000000000009</v>
      </c>
      <c r="L220" s="3" t="s">
        <v>615</v>
      </c>
    </row>
    <row r="221" spans="1:12" ht="14.5" x14ac:dyDescent="0.35">
      <c r="A221" s="3" t="s">
        <v>87</v>
      </c>
      <c r="B221" s="3" t="s">
        <v>88</v>
      </c>
      <c r="C221" s="3" t="s">
        <v>970</v>
      </c>
      <c r="D221" s="3">
        <v>379795762</v>
      </c>
      <c r="E221" s="3" t="s">
        <v>971</v>
      </c>
      <c r="F221" s="3">
        <v>414</v>
      </c>
      <c r="G221" s="3" t="s">
        <v>872</v>
      </c>
      <c r="H221" s="3" t="s">
        <v>613</v>
      </c>
      <c r="I221" s="3" t="s">
        <v>614</v>
      </c>
      <c r="J221" s="3">
        <v>123</v>
      </c>
      <c r="K221" s="3">
        <v>8.2200000000000006</v>
      </c>
      <c r="L221" s="3" t="s">
        <v>615</v>
      </c>
    </row>
    <row r="222" spans="1:12" ht="14.5" x14ac:dyDescent="0.35">
      <c r="A222" s="3" t="s">
        <v>116</v>
      </c>
      <c r="B222" s="3" t="s">
        <v>117</v>
      </c>
      <c r="C222" s="3" t="s">
        <v>972</v>
      </c>
      <c r="D222" s="3">
        <v>937939581</v>
      </c>
      <c r="E222" s="3" t="s">
        <v>973</v>
      </c>
      <c r="F222" s="3">
        <v>414</v>
      </c>
      <c r="G222" s="3" t="s">
        <v>872</v>
      </c>
      <c r="H222" s="3" t="s">
        <v>613</v>
      </c>
      <c r="I222" s="3" t="s">
        <v>614</v>
      </c>
      <c r="J222" s="3">
        <v>123</v>
      </c>
      <c r="K222" s="3">
        <v>8.58</v>
      </c>
      <c r="L222" s="3" t="s">
        <v>615</v>
      </c>
    </row>
    <row r="223" spans="1:12" ht="14.5" x14ac:dyDescent="0.35">
      <c r="A223" s="3" t="s">
        <v>47</v>
      </c>
      <c r="B223" s="3" t="s">
        <v>48</v>
      </c>
      <c r="C223" s="4">
        <v>38205</v>
      </c>
      <c r="D223" s="3">
        <v>349095278</v>
      </c>
      <c r="E223" s="3" t="s">
        <v>974</v>
      </c>
      <c r="F223" s="3" t="s">
        <v>975</v>
      </c>
      <c r="G223" s="3" t="s">
        <v>976</v>
      </c>
      <c r="H223" s="3" t="s">
        <v>613</v>
      </c>
      <c r="I223" s="3" t="s">
        <v>614</v>
      </c>
      <c r="J223" s="3">
        <v>123</v>
      </c>
      <c r="K223" s="3">
        <v>7.51</v>
      </c>
      <c r="L223" s="3" t="s">
        <v>623</v>
      </c>
    </row>
    <row r="224" spans="1:12" ht="14.5" x14ac:dyDescent="0.35">
      <c r="A224" s="3" t="s">
        <v>96</v>
      </c>
      <c r="B224" s="3" t="s">
        <v>97</v>
      </c>
      <c r="C224" s="3" t="s">
        <v>977</v>
      </c>
      <c r="D224" s="3">
        <v>868160204</v>
      </c>
      <c r="E224" s="3" t="s">
        <v>978</v>
      </c>
      <c r="F224" s="3" t="s">
        <v>975</v>
      </c>
      <c r="G224" s="3" t="s">
        <v>976</v>
      </c>
      <c r="H224" s="3" t="s">
        <v>613</v>
      </c>
      <c r="I224" s="3" t="s">
        <v>614</v>
      </c>
      <c r="J224" s="3">
        <v>123</v>
      </c>
      <c r="K224" s="3">
        <v>8.73</v>
      </c>
      <c r="L224" s="3" t="s">
        <v>615</v>
      </c>
    </row>
    <row r="225" spans="1:12" ht="14.5" x14ac:dyDescent="0.35">
      <c r="A225" s="3" t="s">
        <v>40</v>
      </c>
      <c r="B225" s="3" t="s">
        <v>41</v>
      </c>
      <c r="C225" s="3" t="s">
        <v>979</v>
      </c>
      <c r="D225" s="3">
        <v>935837785</v>
      </c>
      <c r="E225" s="3" t="s">
        <v>980</v>
      </c>
      <c r="F225" s="3" t="s">
        <v>975</v>
      </c>
      <c r="G225" s="3" t="s">
        <v>976</v>
      </c>
      <c r="H225" s="3" t="s">
        <v>613</v>
      </c>
      <c r="I225" s="3" t="s">
        <v>653</v>
      </c>
      <c r="J225" s="3">
        <v>120</v>
      </c>
      <c r="K225" s="3">
        <v>7.19</v>
      </c>
      <c r="L225" s="3" t="s">
        <v>623</v>
      </c>
    </row>
    <row r="226" spans="1:12" ht="14.5" x14ac:dyDescent="0.35">
      <c r="A226" s="3" t="s">
        <v>4</v>
      </c>
      <c r="B226" s="3" t="s">
        <v>5</v>
      </c>
      <c r="C226" s="4">
        <v>37997</v>
      </c>
      <c r="D226" s="3">
        <v>942900359</v>
      </c>
      <c r="E226" s="3" t="s">
        <v>981</v>
      </c>
      <c r="F226" s="3" t="s">
        <v>975</v>
      </c>
      <c r="G226" s="3" t="s">
        <v>976</v>
      </c>
      <c r="H226" s="3" t="s">
        <v>613</v>
      </c>
      <c r="I226" s="3" t="s">
        <v>653</v>
      </c>
      <c r="J226" s="3">
        <v>121</v>
      </c>
      <c r="K226" s="3">
        <v>8.25</v>
      </c>
      <c r="L226" s="3" t="s">
        <v>615</v>
      </c>
    </row>
    <row r="227" spans="1:12" ht="14.5" x14ac:dyDescent="0.35">
      <c r="A227" s="3" t="s">
        <v>118</v>
      </c>
      <c r="B227" s="3" t="s">
        <v>119</v>
      </c>
      <c r="C227" s="4">
        <v>37686</v>
      </c>
      <c r="D227" s="3">
        <v>347120512</v>
      </c>
      <c r="E227" s="3" t="s">
        <v>982</v>
      </c>
      <c r="F227" s="3" t="s">
        <v>975</v>
      </c>
      <c r="G227" s="3" t="s">
        <v>976</v>
      </c>
      <c r="H227" s="3" t="s">
        <v>613</v>
      </c>
      <c r="I227" s="3" t="s">
        <v>653</v>
      </c>
      <c r="J227" s="3">
        <v>119</v>
      </c>
      <c r="K227" s="3">
        <v>7.49</v>
      </c>
      <c r="L227" s="3" t="s">
        <v>623</v>
      </c>
    </row>
    <row r="228" spans="1:12" ht="14.5" x14ac:dyDescent="0.35">
      <c r="A228" s="3" t="s">
        <v>63</v>
      </c>
      <c r="B228" s="3" t="s">
        <v>64</v>
      </c>
      <c r="C228" s="3" t="s">
        <v>906</v>
      </c>
      <c r="D228" s="3">
        <v>878835304</v>
      </c>
      <c r="E228" s="3" t="s">
        <v>983</v>
      </c>
      <c r="F228" s="3" t="s">
        <v>975</v>
      </c>
      <c r="G228" s="3" t="s">
        <v>976</v>
      </c>
      <c r="H228" s="3" t="s">
        <v>613</v>
      </c>
      <c r="I228" s="3" t="s">
        <v>614</v>
      </c>
      <c r="J228" s="3">
        <v>123</v>
      </c>
      <c r="K228" s="3">
        <v>8.09</v>
      </c>
      <c r="L228" s="3" t="s">
        <v>615</v>
      </c>
    </row>
    <row r="229" spans="1:12" ht="14.5" x14ac:dyDescent="0.35">
      <c r="A229" s="3" t="s">
        <v>216</v>
      </c>
      <c r="B229" s="3" t="s">
        <v>217</v>
      </c>
      <c r="C229" s="3" t="s">
        <v>939</v>
      </c>
      <c r="D229" s="3">
        <v>933198598</v>
      </c>
      <c r="E229" s="3" t="s">
        <v>984</v>
      </c>
      <c r="F229" s="3" t="s">
        <v>975</v>
      </c>
      <c r="G229" s="3" t="s">
        <v>976</v>
      </c>
      <c r="H229" s="3" t="s">
        <v>613</v>
      </c>
      <c r="I229" s="3" t="s">
        <v>614</v>
      </c>
      <c r="J229" s="3">
        <v>110</v>
      </c>
      <c r="K229" s="3">
        <v>7.01</v>
      </c>
      <c r="L229" s="3" t="s">
        <v>623</v>
      </c>
    </row>
    <row r="230" spans="1:12" ht="14.5" x14ac:dyDescent="0.35">
      <c r="A230" s="3" t="s">
        <v>236</v>
      </c>
      <c r="B230" s="3" t="s">
        <v>237</v>
      </c>
      <c r="C230" s="3" t="s">
        <v>985</v>
      </c>
      <c r="D230" s="6"/>
      <c r="E230" s="3" t="s">
        <v>986</v>
      </c>
      <c r="F230" s="3" t="s">
        <v>975</v>
      </c>
      <c r="G230" s="3" t="s">
        <v>976</v>
      </c>
      <c r="H230" s="3" t="s">
        <v>613</v>
      </c>
      <c r="I230" s="3" t="s">
        <v>614</v>
      </c>
      <c r="J230" s="3">
        <v>123</v>
      </c>
      <c r="K230" s="3">
        <v>8.4</v>
      </c>
      <c r="L230" s="3" t="s">
        <v>615</v>
      </c>
    </row>
    <row r="231" spans="1:12" ht="14.5" x14ac:dyDescent="0.35">
      <c r="A231" s="3" t="s">
        <v>239</v>
      </c>
      <c r="B231" s="3" t="s">
        <v>240</v>
      </c>
      <c r="C231" s="4">
        <v>38057</v>
      </c>
      <c r="D231" s="6"/>
      <c r="E231" s="3" t="s">
        <v>987</v>
      </c>
      <c r="F231" s="3" t="s">
        <v>975</v>
      </c>
      <c r="G231" s="3" t="s">
        <v>976</v>
      </c>
      <c r="H231" s="3" t="s">
        <v>613</v>
      </c>
      <c r="I231" s="3" t="s">
        <v>614</v>
      </c>
      <c r="J231" s="3">
        <v>123</v>
      </c>
      <c r="K231" s="3">
        <v>8.51</v>
      </c>
      <c r="L231" s="3" t="s">
        <v>615</v>
      </c>
    </row>
    <row r="232" spans="1:12" ht="14.5" x14ac:dyDescent="0.35">
      <c r="A232" s="3" t="s">
        <v>536</v>
      </c>
      <c r="B232" s="3" t="s">
        <v>537</v>
      </c>
      <c r="C232" s="5">
        <v>38302</v>
      </c>
      <c r="D232" s="3">
        <v>961397040</v>
      </c>
      <c r="E232" s="3" t="s">
        <v>988</v>
      </c>
      <c r="F232" s="3" t="s">
        <v>975</v>
      </c>
      <c r="G232" s="3" t="s">
        <v>976</v>
      </c>
      <c r="H232" s="3" t="s">
        <v>613</v>
      </c>
      <c r="I232" s="3" t="s">
        <v>614</v>
      </c>
      <c r="J232" s="3">
        <v>114</v>
      </c>
      <c r="K232" s="3">
        <v>7.22</v>
      </c>
      <c r="L232" s="3" t="s">
        <v>623</v>
      </c>
    </row>
    <row r="233" spans="1:12" ht="14.5" x14ac:dyDescent="0.35">
      <c r="A233" s="3" t="s">
        <v>162</v>
      </c>
      <c r="B233" s="3" t="s">
        <v>163</v>
      </c>
      <c r="C233" s="3" t="s">
        <v>989</v>
      </c>
      <c r="D233" s="6"/>
      <c r="E233" s="3" t="s">
        <v>990</v>
      </c>
      <c r="F233" s="3" t="s">
        <v>975</v>
      </c>
      <c r="G233" s="3" t="s">
        <v>976</v>
      </c>
      <c r="H233" s="3" t="s">
        <v>613</v>
      </c>
      <c r="I233" s="3" t="s">
        <v>614</v>
      </c>
      <c r="J233" s="3">
        <v>123</v>
      </c>
      <c r="K233" s="3">
        <v>7.8</v>
      </c>
      <c r="L233" s="3" t="s">
        <v>623</v>
      </c>
    </row>
    <row r="234" spans="1:12" ht="14.5" x14ac:dyDescent="0.35">
      <c r="A234" s="3" t="s">
        <v>202</v>
      </c>
      <c r="B234" s="3" t="s">
        <v>203</v>
      </c>
      <c r="C234" s="3" t="s">
        <v>657</v>
      </c>
      <c r="D234" s="3">
        <v>368300736</v>
      </c>
      <c r="E234" s="3" t="s">
        <v>991</v>
      </c>
      <c r="F234" s="3" t="s">
        <v>975</v>
      </c>
      <c r="G234" s="3" t="s">
        <v>976</v>
      </c>
      <c r="H234" s="3" t="s">
        <v>613</v>
      </c>
      <c r="I234" s="3" t="s">
        <v>653</v>
      </c>
      <c r="J234" s="3">
        <v>123</v>
      </c>
      <c r="K234" s="3">
        <v>7.57</v>
      </c>
      <c r="L234" s="3" t="s">
        <v>623</v>
      </c>
    </row>
    <row r="235" spans="1:12" ht="14.5" x14ac:dyDescent="0.35">
      <c r="A235" s="3" t="s">
        <v>89</v>
      </c>
      <c r="B235" s="3" t="s">
        <v>90</v>
      </c>
      <c r="C235" s="3" t="s">
        <v>992</v>
      </c>
      <c r="D235" s="6"/>
      <c r="E235" s="3" t="s">
        <v>993</v>
      </c>
      <c r="F235" s="3" t="s">
        <v>975</v>
      </c>
      <c r="G235" s="3" t="s">
        <v>976</v>
      </c>
      <c r="H235" s="3" t="s">
        <v>613</v>
      </c>
      <c r="I235" s="3" t="s">
        <v>614</v>
      </c>
      <c r="J235" s="3">
        <v>123</v>
      </c>
      <c r="K235" s="3">
        <v>8.51</v>
      </c>
      <c r="L235" s="3" t="s">
        <v>615</v>
      </c>
    </row>
    <row r="236" spans="1:12" ht="14.5" x14ac:dyDescent="0.35">
      <c r="A236" s="3" t="s">
        <v>91</v>
      </c>
      <c r="B236" s="3" t="s">
        <v>92</v>
      </c>
      <c r="C236" s="3" t="s">
        <v>994</v>
      </c>
      <c r="D236" s="3">
        <v>399884721</v>
      </c>
      <c r="E236" s="3" t="s">
        <v>995</v>
      </c>
      <c r="F236" s="3" t="s">
        <v>975</v>
      </c>
      <c r="G236" s="3" t="s">
        <v>976</v>
      </c>
      <c r="H236" s="3" t="s">
        <v>613</v>
      </c>
      <c r="I236" s="3" t="s">
        <v>614</v>
      </c>
      <c r="J236" s="3">
        <v>123</v>
      </c>
      <c r="K236" s="3">
        <v>7.64</v>
      </c>
      <c r="L236" s="3" t="s">
        <v>623</v>
      </c>
    </row>
    <row r="237" spans="1:12" ht="14.5" x14ac:dyDescent="0.35">
      <c r="A237" s="3" t="s">
        <v>111</v>
      </c>
      <c r="B237" s="3" t="s">
        <v>996</v>
      </c>
      <c r="C237" s="3" t="s">
        <v>758</v>
      </c>
      <c r="D237" s="3">
        <v>818239100</v>
      </c>
      <c r="E237" s="3" t="s">
        <v>997</v>
      </c>
      <c r="F237" s="3" t="s">
        <v>975</v>
      </c>
      <c r="G237" s="3" t="s">
        <v>976</v>
      </c>
      <c r="H237" s="3" t="s">
        <v>613</v>
      </c>
      <c r="I237" s="3" t="s">
        <v>614</v>
      </c>
      <c r="J237" s="3">
        <v>123</v>
      </c>
      <c r="K237" s="3">
        <v>8.02</v>
      </c>
      <c r="L237" s="3" t="s">
        <v>615</v>
      </c>
    </row>
    <row r="238" spans="1:12" ht="14.5" x14ac:dyDescent="0.35">
      <c r="A238" s="3" t="s">
        <v>94</v>
      </c>
      <c r="B238" s="3" t="s">
        <v>998</v>
      </c>
      <c r="C238" s="5">
        <v>38301</v>
      </c>
      <c r="D238" s="3">
        <v>828551004</v>
      </c>
      <c r="E238" s="3" t="s">
        <v>999</v>
      </c>
      <c r="F238" s="3" t="s">
        <v>975</v>
      </c>
      <c r="G238" s="3" t="s">
        <v>976</v>
      </c>
      <c r="H238" s="3" t="s">
        <v>613</v>
      </c>
      <c r="I238" s="3" t="s">
        <v>614</v>
      </c>
      <c r="J238" s="3">
        <v>123</v>
      </c>
      <c r="K238" s="3">
        <v>8.08</v>
      </c>
      <c r="L238" s="3" t="s">
        <v>615</v>
      </c>
    </row>
    <row r="239" spans="1:12" ht="14.5" x14ac:dyDescent="0.35">
      <c r="A239" s="3" t="s">
        <v>222</v>
      </c>
      <c r="B239" s="3" t="s">
        <v>223</v>
      </c>
      <c r="C239" s="3" t="s">
        <v>972</v>
      </c>
      <c r="D239" s="3">
        <v>902943692</v>
      </c>
      <c r="E239" s="3" t="s">
        <v>1000</v>
      </c>
      <c r="F239" s="3" t="s">
        <v>975</v>
      </c>
      <c r="G239" s="3" t="s">
        <v>976</v>
      </c>
      <c r="H239" s="3" t="s">
        <v>613</v>
      </c>
      <c r="I239" s="3" t="s">
        <v>653</v>
      </c>
      <c r="J239" s="3">
        <v>123</v>
      </c>
      <c r="K239" s="3">
        <v>7.36</v>
      </c>
      <c r="L239" s="3" t="s">
        <v>623</v>
      </c>
    </row>
    <row r="240" spans="1:12" ht="14.5" x14ac:dyDescent="0.35">
      <c r="A240" s="3" t="s">
        <v>165</v>
      </c>
      <c r="B240" s="3" t="s">
        <v>166</v>
      </c>
      <c r="C240" s="4">
        <v>38177</v>
      </c>
      <c r="D240" s="3">
        <v>797367864</v>
      </c>
      <c r="E240" s="3" t="s">
        <v>1001</v>
      </c>
      <c r="F240" s="3" t="s">
        <v>975</v>
      </c>
      <c r="G240" s="3" t="s">
        <v>976</v>
      </c>
      <c r="H240" s="3" t="s">
        <v>613</v>
      </c>
      <c r="I240" s="3" t="s">
        <v>614</v>
      </c>
      <c r="J240" s="3">
        <v>123</v>
      </c>
      <c r="K240" s="3">
        <v>8.36</v>
      </c>
      <c r="L240" s="3" t="s">
        <v>615</v>
      </c>
    </row>
    <row r="241" spans="1:12" ht="14.5" x14ac:dyDescent="0.35">
      <c r="A241" s="3" t="s">
        <v>43</v>
      </c>
      <c r="B241" s="3" t="s">
        <v>44</v>
      </c>
      <c r="C241" s="3" t="s">
        <v>808</v>
      </c>
      <c r="D241" s="3">
        <v>335394616</v>
      </c>
      <c r="E241" s="3" t="s">
        <v>1002</v>
      </c>
      <c r="F241" s="3" t="s">
        <v>975</v>
      </c>
      <c r="G241" s="3" t="s">
        <v>976</v>
      </c>
      <c r="H241" s="3" t="s">
        <v>613</v>
      </c>
      <c r="I241" s="3" t="s">
        <v>614</v>
      </c>
      <c r="J241" s="3">
        <v>123</v>
      </c>
      <c r="K241" s="3">
        <v>8.1999999999999993</v>
      </c>
      <c r="L241" s="3" t="s">
        <v>615</v>
      </c>
    </row>
    <row r="242" spans="1:12" ht="14.5" x14ac:dyDescent="0.35">
      <c r="A242" s="3" t="s">
        <v>225</v>
      </c>
      <c r="B242" s="3" t="s">
        <v>226</v>
      </c>
      <c r="C242" s="4">
        <v>38029</v>
      </c>
      <c r="D242" s="3">
        <v>354642408</v>
      </c>
      <c r="E242" s="3" t="s">
        <v>1003</v>
      </c>
      <c r="F242" s="3" t="s">
        <v>975</v>
      </c>
      <c r="G242" s="3" t="s">
        <v>976</v>
      </c>
      <c r="H242" s="3" t="s">
        <v>613</v>
      </c>
      <c r="I242" s="3" t="s">
        <v>614</v>
      </c>
      <c r="J242" s="3">
        <v>111</v>
      </c>
      <c r="K242" s="3">
        <v>6.76</v>
      </c>
      <c r="L242" s="3" t="s">
        <v>676</v>
      </c>
    </row>
    <row r="243" spans="1:12" ht="14.5" x14ac:dyDescent="0.35">
      <c r="A243" s="3" t="s">
        <v>228</v>
      </c>
      <c r="B243" s="3" t="s">
        <v>229</v>
      </c>
      <c r="C243" s="4">
        <v>38268</v>
      </c>
      <c r="D243" s="3">
        <v>905095331</v>
      </c>
      <c r="E243" s="3" t="s">
        <v>1004</v>
      </c>
      <c r="F243" s="3" t="s">
        <v>975</v>
      </c>
      <c r="G243" s="3" t="s">
        <v>976</v>
      </c>
      <c r="H243" s="3" t="s">
        <v>613</v>
      </c>
      <c r="I243" s="3" t="s">
        <v>614</v>
      </c>
      <c r="J243" s="3">
        <v>123</v>
      </c>
      <c r="K243" s="3">
        <v>7.37</v>
      </c>
      <c r="L243" s="3" t="s">
        <v>623</v>
      </c>
    </row>
    <row r="244" spans="1:12" ht="14.5" x14ac:dyDescent="0.35">
      <c r="A244" s="3" t="s">
        <v>45</v>
      </c>
      <c r="B244" s="3" t="s">
        <v>46</v>
      </c>
      <c r="C244" s="3" t="s">
        <v>1005</v>
      </c>
      <c r="D244" s="3">
        <v>707628369</v>
      </c>
      <c r="E244" s="3" t="s">
        <v>1006</v>
      </c>
      <c r="F244" s="3" t="s">
        <v>975</v>
      </c>
      <c r="G244" s="3" t="s">
        <v>976</v>
      </c>
      <c r="H244" s="3" t="s">
        <v>613</v>
      </c>
      <c r="I244" s="3" t="s">
        <v>614</v>
      </c>
      <c r="J244" s="3">
        <v>123</v>
      </c>
      <c r="K244" s="3">
        <v>8</v>
      </c>
      <c r="L244" s="3" t="s">
        <v>615</v>
      </c>
    </row>
    <row r="245" spans="1:12" ht="14.5" x14ac:dyDescent="0.35">
      <c r="A245" s="3" t="s">
        <v>231</v>
      </c>
      <c r="B245" s="3" t="s">
        <v>232</v>
      </c>
      <c r="C245" s="3" t="s">
        <v>1007</v>
      </c>
      <c r="D245" s="3">
        <v>374546281</v>
      </c>
      <c r="E245" s="3" t="s">
        <v>1008</v>
      </c>
      <c r="F245" s="3" t="s">
        <v>975</v>
      </c>
      <c r="G245" s="3" t="s">
        <v>976</v>
      </c>
      <c r="H245" s="3" t="s">
        <v>613</v>
      </c>
      <c r="I245" s="3" t="s">
        <v>614</v>
      </c>
      <c r="J245" s="3">
        <v>123</v>
      </c>
      <c r="K245" s="3">
        <v>8</v>
      </c>
      <c r="L245" s="3" t="s">
        <v>615</v>
      </c>
    </row>
    <row r="246" spans="1:12" ht="14.5" x14ac:dyDescent="0.35">
      <c r="A246" s="3" t="s">
        <v>234</v>
      </c>
      <c r="B246" s="3" t="s">
        <v>235</v>
      </c>
      <c r="C246" s="3" t="s">
        <v>1009</v>
      </c>
      <c r="D246" s="3">
        <v>931430750</v>
      </c>
      <c r="E246" s="3" t="s">
        <v>1010</v>
      </c>
      <c r="F246" s="3" t="s">
        <v>975</v>
      </c>
      <c r="G246" s="3" t="s">
        <v>976</v>
      </c>
      <c r="H246" s="3" t="s">
        <v>613</v>
      </c>
      <c r="I246" s="3" t="s">
        <v>653</v>
      </c>
      <c r="J246" s="3">
        <v>123</v>
      </c>
      <c r="K246" s="3">
        <v>7.32</v>
      </c>
      <c r="L246" s="3" t="s">
        <v>623</v>
      </c>
    </row>
    <row r="247" spans="1:12" ht="14.5" x14ac:dyDescent="0.35">
      <c r="A247" s="3" t="s">
        <v>593</v>
      </c>
      <c r="B247" s="3" t="s">
        <v>594</v>
      </c>
      <c r="C247" s="4">
        <v>38330</v>
      </c>
      <c r="D247" s="3">
        <v>368331836</v>
      </c>
      <c r="E247" s="3" t="s">
        <v>1011</v>
      </c>
      <c r="F247" s="3" t="s">
        <v>975</v>
      </c>
      <c r="G247" s="3" t="s">
        <v>976</v>
      </c>
      <c r="H247" s="3" t="s">
        <v>613</v>
      </c>
      <c r="I247" s="3" t="s">
        <v>653</v>
      </c>
      <c r="J247" s="3">
        <v>123</v>
      </c>
      <c r="K247" s="3">
        <v>7.58</v>
      </c>
      <c r="L247" s="3" t="s">
        <v>623</v>
      </c>
    </row>
    <row r="248" spans="1:12" ht="14.5" x14ac:dyDescent="0.35">
      <c r="A248" s="3" t="s">
        <v>143</v>
      </c>
      <c r="B248" s="3" t="s">
        <v>144</v>
      </c>
      <c r="C248" s="3" t="s">
        <v>1012</v>
      </c>
      <c r="D248" s="3">
        <v>933614637</v>
      </c>
      <c r="E248" s="3" t="s">
        <v>1013</v>
      </c>
      <c r="F248" s="3" t="s">
        <v>975</v>
      </c>
      <c r="G248" s="3" t="s">
        <v>976</v>
      </c>
      <c r="H248" s="3" t="s">
        <v>613</v>
      </c>
      <c r="I248" s="3" t="s">
        <v>614</v>
      </c>
      <c r="J248" s="3">
        <v>123</v>
      </c>
      <c r="K248" s="3">
        <v>7.75</v>
      </c>
      <c r="L248" s="3" t="s">
        <v>623</v>
      </c>
    </row>
    <row r="249" spans="1:12" ht="14.5" x14ac:dyDescent="0.35">
      <c r="A249" s="3" t="s">
        <v>12</v>
      </c>
      <c r="B249" s="3" t="s">
        <v>1014</v>
      </c>
      <c r="C249" s="4">
        <v>38322</v>
      </c>
      <c r="D249" s="3">
        <v>788826928</v>
      </c>
      <c r="E249" s="3" t="s">
        <v>1015</v>
      </c>
      <c r="F249" s="3" t="s">
        <v>975</v>
      </c>
      <c r="G249" s="3" t="s">
        <v>976</v>
      </c>
      <c r="H249" s="3" t="s">
        <v>613</v>
      </c>
      <c r="I249" s="3" t="s">
        <v>614</v>
      </c>
      <c r="J249" s="3">
        <v>120</v>
      </c>
      <c r="K249" s="3">
        <v>7.47</v>
      </c>
      <c r="L249" s="3" t="s">
        <v>623</v>
      </c>
    </row>
    <row r="250" spans="1:12" ht="14.5" x14ac:dyDescent="0.35">
      <c r="A250" s="3" t="s">
        <v>218</v>
      </c>
      <c r="B250" s="3" t="s">
        <v>219</v>
      </c>
      <c r="C250" s="4">
        <v>38203</v>
      </c>
      <c r="D250" s="3">
        <v>911123200</v>
      </c>
      <c r="E250" s="3" t="s">
        <v>1016</v>
      </c>
      <c r="F250" s="3" t="s">
        <v>975</v>
      </c>
      <c r="G250" s="3" t="s">
        <v>976</v>
      </c>
      <c r="H250" s="3" t="s">
        <v>613</v>
      </c>
      <c r="I250" s="3" t="s">
        <v>653</v>
      </c>
      <c r="J250" s="3">
        <v>123</v>
      </c>
      <c r="K250" s="3">
        <v>7.83</v>
      </c>
      <c r="L250" s="3" t="s">
        <v>623</v>
      </c>
    </row>
    <row r="251" spans="1:12" ht="14.5" x14ac:dyDescent="0.35">
      <c r="A251" s="3" t="s">
        <v>167</v>
      </c>
      <c r="B251" s="3" t="s">
        <v>168</v>
      </c>
      <c r="C251" s="4">
        <v>38079</v>
      </c>
      <c r="D251" s="3">
        <v>903072597</v>
      </c>
      <c r="E251" s="3" t="s">
        <v>1017</v>
      </c>
      <c r="F251" s="3" t="s">
        <v>975</v>
      </c>
      <c r="G251" s="3" t="s">
        <v>976</v>
      </c>
      <c r="H251" s="3" t="s">
        <v>613</v>
      </c>
      <c r="I251" s="3" t="s">
        <v>614</v>
      </c>
      <c r="J251" s="3">
        <v>123</v>
      </c>
      <c r="K251" s="3">
        <v>8.3699999999999992</v>
      </c>
      <c r="L251" s="3" t="s">
        <v>615</v>
      </c>
    </row>
    <row r="252" spans="1:12" ht="14.5" x14ac:dyDescent="0.35">
      <c r="A252" s="3" t="s">
        <v>67</v>
      </c>
      <c r="B252" s="3" t="s">
        <v>68</v>
      </c>
      <c r="C252" s="3" t="s">
        <v>1018</v>
      </c>
      <c r="D252" s="3">
        <v>393364481</v>
      </c>
      <c r="E252" s="3" t="s">
        <v>1019</v>
      </c>
      <c r="F252" s="3" t="s">
        <v>975</v>
      </c>
      <c r="G252" s="3" t="s">
        <v>976</v>
      </c>
      <c r="H252" s="3" t="s">
        <v>613</v>
      </c>
      <c r="I252" s="3" t="s">
        <v>653</v>
      </c>
      <c r="J252" s="3">
        <v>123</v>
      </c>
      <c r="K252" s="3">
        <v>7.78</v>
      </c>
      <c r="L252" s="3" t="s">
        <v>623</v>
      </c>
    </row>
    <row r="253" spans="1:12" ht="14.5" x14ac:dyDescent="0.35">
      <c r="A253" s="3" t="s">
        <v>364</v>
      </c>
      <c r="B253" s="3" t="s">
        <v>365</v>
      </c>
      <c r="C253" s="3" t="s">
        <v>1020</v>
      </c>
      <c r="D253" s="3">
        <v>355434805</v>
      </c>
      <c r="E253" s="3" t="s">
        <v>1021</v>
      </c>
      <c r="F253" s="3" t="s">
        <v>975</v>
      </c>
      <c r="G253" s="3" t="s">
        <v>976</v>
      </c>
      <c r="H253" s="3" t="s">
        <v>613</v>
      </c>
      <c r="I253" s="3" t="s">
        <v>614</v>
      </c>
      <c r="J253" s="3">
        <v>123</v>
      </c>
      <c r="K253" s="3">
        <v>8.1999999999999993</v>
      </c>
      <c r="L253" s="3" t="s">
        <v>615</v>
      </c>
    </row>
    <row r="254" spans="1:12" ht="14.5" x14ac:dyDescent="0.35">
      <c r="A254" s="3" t="s">
        <v>146</v>
      </c>
      <c r="B254" s="3" t="s">
        <v>147</v>
      </c>
      <c r="C254" s="4">
        <v>38297</v>
      </c>
      <c r="D254" s="3">
        <v>782674148</v>
      </c>
      <c r="E254" s="3" t="s">
        <v>1022</v>
      </c>
      <c r="F254" s="3" t="s">
        <v>975</v>
      </c>
      <c r="G254" s="3" t="s">
        <v>976</v>
      </c>
      <c r="H254" s="3" t="s">
        <v>613</v>
      </c>
      <c r="I254" s="3" t="s">
        <v>614</v>
      </c>
      <c r="J254" s="3">
        <v>123</v>
      </c>
      <c r="K254" s="3">
        <v>7.74</v>
      </c>
      <c r="L254" s="3" t="s">
        <v>623</v>
      </c>
    </row>
    <row r="255" spans="1:12" ht="14.5" x14ac:dyDescent="0.35">
      <c r="A255" s="3" t="s">
        <v>113</v>
      </c>
      <c r="B255" s="3" t="s">
        <v>114</v>
      </c>
      <c r="C255" s="3" t="s">
        <v>1023</v>
      </c>
      <c r="D255" s="3">
        <v>909757844</v>
      </c>
      <c r="E255" s="3" t="s">
        <v>1024</v>
      </c>
      <c r="F255" s="3" t="s">
        <v>975</v>
      </c>
      <c r="G255" s="3" t="s">
        <v>976</v>
      </c>
      <c r="H255" s="3" t="s">
        <v>613</v>
      </c>
      <c r="I255" s="3" t="s">
        <v>614</v>
      </c>
      <c r="J255" s="3">
        <v>123</v>
      </c>
      <c r="K255" s="3">
        <v>7.7</v>
      </c>
      <c r="L255" s="3" t="s">
        <v>623</v>
      </c>
    </row>
    <row r="256" spans="1:12" ht="14.5" x14ac:dyDescent="0.35">
      <c r="A256" s="3" t="s">
        <v>220</v>
      </c>
      <c r="B256" s="3" t="s">
        <v>221</v>
      </c>
      <c r="C256" s="3" t="s">
        <v>712</v>
      </c>
      <c r="D256" s="3">
        <v>389538494</v>
      </c>
      <c r="E256" s="3" t="s">
        <v>1025</v>
      </c>
      <c r="F256" s="3" t="s">
        <v>975</v>
      </c>
      <c r="G256" s="3" t="s">
        <v>976</v>
      </c>
      <c r="H256" s="3" t="s">
        <v>613</v>
      </c>
      <c r="I256" s="3" t="s">
        <v>614</v>
      </c>
      <c r="J256" s="3">
        <v>123</v>
      </c>
      <c r="K256" s="3">
        <v>8.18</v>
      </c>
      <c r="L256" s="3" t="s">
        <v>615</v>
      </c>
    </row>
    <row r="257" spans="1:12" ht="14.5" x14ac:dyDescent="0.35">
      <c r="A257" s="3" t="s">
        <v>390</v>
      </c>
      <c r="B257" s="3" t="s">
        <v>391</v>
      </c>
      <c r="C257" s="3" t="s">
        <v>1026</v>
      </c>
      <c r="D257" s="3">
        <v>336920248</v>
      </c>
      <c r="E257" s="3" t="s">
        <v>1027</v>
      </c>
      <c r="F257" s="3" t="s">
        <v>975</v>
      </c>
      <c r="G257" s="3" t="s">
        <v>976</v>
      </c>
      <c r="H257" s="3" t="s">
        <v>613</v>
      </c>
      <c r="I257" s="3" t="s">
        <v>614</v>
      </c>
      <c r="J257" s="3">
        <v>123</v>
      </c>
      <c r="K257" s="3">
        <v>7.5</v>
      </c>
      <c r="L257" s="3" t="s">
        <v>623</v>
      </c>
    </row>
    <row r="258" spans="1:12" ht="14.5" x14ac:dyDescent="0.35">
      <c r="A258" s="3" t="s">
        <v>376</v>
      </c>
      <c r="B258" s="3" t="s">
        <v>377</v>
      </c>
      <c r="C258" s="3" t="s">
        <v>1028</v>
      </c>
      <c r="D258" s="6"/>
      <c r="E258" s="3" t="s">
        <v>1029</v>
      </c>
      <c r="F258" s="3">
        <v>414</v>
      </c>
      <c r="G258" s="3" t="s">
        <v>872</v>
      </c>
      <c r="H258" s="3" t="s">
        <v>613</v>
      </c>
      <c r="I258" s="3" t="s">
        <v>614</v>
      </c>
      <c r="J258" s="3">
        <v>123</v>
      </c>
      <c r="K258" s="3">
        <v>7.66</v>
      </c>
      <c r="L258" s="3" t="s">
        <v>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4296875" defaultRowHeight="15" customHeight="1" x14ac:dyDescent="0.25"/>
  <sheetData>
    <row r="1" spans="1:3" ht="15" customHeight="1" x14ac:dyDescent="0.25">
      <c r="B1" s="7" t="s">
        <v>3</v>
      </c>
      <c r="C1" s="7" t="s">
        <v>1030</v>
      </c>
    </row>
    <row r="2" spans="1:3" ht="15" customHeight="1" x14ac:dyDescent="0.25">
      <c r="A2" s="7" t="s">
        <v>1031</v>
      </c>
      <c r="B2" s="7">
        <v>1</v>
      </c>
      <c r="C2" s="7" t="e">
        <f>COUNTIF('Phân công'!#REF!,B2)</f>
        <v>#REF!</v>
      </c>
    </row>
    <row r="3" spans="1:3" ht="15" customHeight="1" x14ac:dyDescent="0.25">
      <c r="A3" s="7" t="s">
        <v>1031</v>
      </c>
      <c r="B3" s="7">
        <v>2</v>
      </c>
      <c r="C3" s="7" t="e">
        <f>COUNTIF('Phân công'!#REF!,B3)</f>
        <v>#REF!</v>
      </c>
    </row>
    <row r="4" spans="1:3" ht="15" customHeight="1" x14ac:dyDescent="0.25">
      <c r="A4" s="7" t="s">
        <v>1031</v>
      </c>
      <c r="B4" s="7">
        <v>3</v>
      </c>
      <c r="C4" s="7" t="e">
        <f>COUNTIF('Phân công'!#REF!,B4)</f>
        <v>#REF!</v>
      </c>
    </row>
    <row r="5" spans="1:3" ht="15" customHeight="1" x14ac:dyDescent="0.25">
      <c r="A5" s="7" t="s">
        <v>1031</v>
      </c>
      <c r="B5" s="7">
        <v>4</v>
      </c>
      <c r="C5" s="7" t="e">
        <f>COUNTIF('Phân công'!#REF!,B5)</f>
        <v>#REF!</v>
      </c>
    </row>
    <row r="6" spans="1:3" ht="15" customHeight="1" x14ac:dyDescent="0.25">
      <c r="A6" s="7" t="s">
        <v>1031</v>
      </c>
      <c r="B6" s="7">
        <v>5</v>
      </c>
      <c r="C6" s="7" t="e">
        <f>COUNTIF('Phân công'!#REF!,B6)</f>
        <v>#REF!</v>
      </c>
    </row>
    <row r="7" spans="1:3" ht="15" customHeight="1" x14ac:dyDescent="0.25">
      <c r="A7" s="7" t="s">
        <v>1031</v>
      </c>
      <c r="B7" s="7">
        <v>6</v>
      </c>
      <c r="C7" s="7" t="e">
        <f>COUNTIF('Phân công'!#REF!,B7)</f>
        <v>#REF!</v>
      </c>
    </row>
    <row r="8" spans="1:3" ht="15" customHeight="1" x14ac:dyDescent="0.25">
      <c r="A8" s="7" t="s">
        <v>1031</v>
      </c>
      <c r="B8" s="7">
        <v>7</v>
      </c>
      <c r="C8" s="7" t="e">
        <f>COUNTIF('Phân công'!#REF!,B8)</f>
        <v>#REF!</v>
      </c>
    </row>
    <row r="9" spans="1:3" ht="15" customHeight="1" x14ac:dyDescent="0.25">
      <c r="A9" s="7" t="s">
        <v>1031</v>
      </c>
      <c r="B9" s="7">
        <v>8</v>
      </c>
      <c r="C9" s="7" t="e">
        <f>COUNTIF('Phân công'!#REF!,B9)</f>
        <v>#REF!</v>
      </c>
    </row>
    <row r="10" spans="1:3" ht="15" customHeight="1" x14ac:dyDescent="0.25">
      <c r="A10" s="7" t="s">
        <v>611</v>
      </c>
      <c r="B10" s="7">
        <v>9</v>
      </c>
      <c r="C10" s="7" t="e">
        <f>COUNTIF('Phân công'!#REF!,B10)</f>
        <v>#REF!</v>
      </c>
    </row>
    <row r="11" spans="1:3" ht="15" customHeight="1" x14ac:dyDescent="0.25">
      <c r="A11" s="7" t="s">
        <v>1032</v>
      </c>
      <c r="B11" s="7">
        <v>10</v>
      </c>
      <c r="C11" s="7" t="e">
        <f>COUNTIF('Phân công'!#REF!,B11)</f>
        <v>#REF!</v>
      </c>
    </row>
    <row r="12" spans="1:3" ht="15" customHeight="1" x14ac:dyDescent="0.25">
      <c r="A12" s="7" t="s">
        <v>1033</v>
      </c>
      <c r="B12" s="7">
        <v>11</v>
      </c>
      <c r="C12" s="7" t="e">
        <f>COUNTIF('Phân công'!#REF!,B12)</f>
        <v>#REF!</v>
      </c>
    </row>
    <row r="13" spans="1:3" ht="15" customHeight="1" x14ac:dyDescent="0.25">
      <c r="A13" s="7" t="s">
        <v>1033</v>
      </c>
      <c r="B13" s="7">
        <v>12</v>
      </c>
      <c r="C13" s="7" t="e">
        <f>COUNTIF('Phân công'!#REF!,B13)</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4296875" defaultRowHeight="15" customHeight="1" x14ac:dyDescent="0.25"/>
  <cols>
    <col min="1" max="1" width="26.26953125" customWidth="1"/>
    <col min="2" max="57" width="5.54296875" customWidth="1"/>
    <col min="58" max="58" width="16.81640625" customWidth="1"/>
    <col min="59" max="62" width="14.1796875" customWidth="1"/>
    <col min="63" max="63" width="17.26953125" customWidth="1"/>
    <col min="64" max="64" width="25.7265625" customWidth="1"/>
    <col min="65" max="65" width="12.7265625" customWidth="1"/>
    <col min="66" max="66" width="19.453125" customWidth="1"/>
    <col min="67" max="67" width="12.7265625" customWidth="1"/>
  </cols>
  <sheetData>
    <row r="1" spans="1:67" ht="15.75" customHeight="1" x14ac:dyDescent="0.35">
      <c r="A1" s="8"/>
      <c r="B1" s="64" t="s">
        <v>2</v>
      </c>
      <c r="C1" s="65"/>
      <c r="D1" s="65"/>
      <c r="E1" s="65"/>
      <c r="F1" s="65"/>
      <c r="G1" s="65"/>
      <c r="H1" s="65"/>
      <c r="I1" s="66"/>
      <c r="J1" s="64" t="s">
        <v>1034</v>
      </c>
      <c r="K1" s="65"/>
      <c r="L1" s="65"/>
      <c r="M1" s="65"/>
      <c r="N1" s="65"/>
      <c r="O1" s="65"/>
      <c r="P1" s="65"/>
      <c r="Q1" s="66"/>
      <c r="R1" s="64" t="s">
        <v>1035</v>
      </c>
      <c r="S1" s="65"/>
      <c r="T1" s="65"/>
      <c r="U1" s="65"/>
      <c r="V1" s="65"/>
      <c r="W1" s="65"/>
      <c r="X1" s="65"/>
      <c r="Y1" s="66"/>
      <c r="Z1" s="64" t="s">
        <v>1036</v>
      </c>
      <c r="AA1" s="65"/>
      <c r="AB1" s="65"/>
      <c r="AC1" s="65"/>
      <c r="AD1" s="65"/>
      <c r="AE1" s="65"/>
      <c r="AF1" s="65"/>
      <c r="AG1" s="66"/>
      <c r="AH1" s="64" t="s">
        <v>1037</v>
      </c>
      <c r="AI1" s="65"/>
      <c r="AJ1" s="65"/>
      <c r="AK1" s="65"/>
      <c r="AL1" s="65"/>
      <c r="AM1" s="65"/>
      <c r="AN1" s="65"/>
      <c r="AO1" s="66"/>
      <c r="AP1" s="64" t="s">
        <v>1038</v>
      </c>
      <c r="AQ1" s="65"/>
      <c r="AR1" s="65"/>
      <c r="AS1" s="65"/>
      <c r="AT1" s="65"/>
      <c r="AU1" s="65"/>
      <c r="AV1" s="65"/>
      <c r="AW1" s="66"/>
      <c r="AX1" s="64" t="s">
        <v>1039</v>
      </c>
      <c r="AY1" s="65"/>
      <c r="AZ1" s="65"/>
      <c r="BA1" s="65"/>
      <c r="BB1" s="65"/>
      <c r="BC1" s="65"/>
      <c r="BD1" s="65"/>
      <c r="BE1" s="66"/>
      <c r="BF1" s="9" t="s">
        <v>1040</v>
      </c>
      <c r="BG1" s="9" t="s">
        <v>1035</v>
      </c>
      <c r="BH1" s="9" t="s">
        <v>1036</v>
      </c>
      <c r="BI1" s="9" t="s">
        <v>1041</v>
      </c>
      <c r="BJ1" s="9" t="s">
        <v>1042</v>
      </c>
      <c r="BK1" s="9" t="s">
        <v>1034</v>
      </c>
      <c r="BL1" s="62" t="s">
        <v>1043</v>
      </c>
      <c r="BM1" s="62" t="s">
        <v>1044</v>
      </c>
      <c r="BN1" s="62" t="s">
        <v>1045</v>
      </c>
      <c r="BO1" s="62" t="s">
        <v>1046</v>
      </c>
    </row>
    <row r="2" spans="1:67" ht="15.75" customHeight="1" x14ac:dyDescent="0.35">
      <c r="A2" s="10" t="s">
        <v>1047</v>
      </c>
      <c r="B2" s="11">
        <v>404</v>
      </c>
      <c r="C2" s="12">
        <v>412</v>
      </c>
      <c r="D2" s="13">
        <v>414</v>
      </c>
      <c r="E2" s="13" t="s">
        <v>611</v>
      </c>
      <c r="F2" s="14" t="s">
        <v>611</v>
      </c>
      <c r="G2" s="14" t="s">
        <v>975</v>
      </c>
      <c r="H2" s="14" t="s">
        <v>975</v>
      </c>
      <c r="I2" s="15" t="s">
        <v>1033</v>
      </c>
      <c r="J2" s="11">
        <v>404</v>
      </c>
      <c r="K2" s="12">
        <v>412</v>
      </c>
      <c r="L2" s="13">
        <v>414</v>
      </c>
      <c r="M2" s="13" t="s">
        <v>611</v>
      </c>
      <c r="N2" s="14" t="s">
        <v>611</v>
      </c>
      <c r="O2" s="14" t="s">
        <v>975</v>
      </c>
      <c r="P2" s="14" t="s">
        <v>975</v>
      </c>
      <c r="Q2" s="15" t="s">
        <v>1033</v>
      </c>
      <c r="R2" s="11">
        <v>404</v>
      </c>
      <c r="S2" s="12">
        <v>412</v>
      </c>
      <c r="T2" s="13">
        <v>414</v>
      </c>
      <c r="U2" s="13" t="s">
        <v>611</v>
      </c>
      <c r="V2" s="14" t="s">
        <v>611</v>
      </c>
      <c r="W2" s="14" t="s">
        <v>975</v>
      </c>
      <c r="X2" s="14" t="s">
        <v>975</v>
      </c>
      <c r="Y2" s="15" t="s">
        <v>1033</v>
      </c>
      <c r="Z2" s="11">
        <v>404</v>
      </c>
      <c r="AA2" s="12">
        <v>412</v>
      </c>
      <c r="AB2" s="13">
        <v>414</v>
      </c>
      <c r="AC2" s="13" t="s">
        <v>611</v>
      </c>
      <c r="AD2" s="14" t="s">
        <v>611</v>
      </c>
      <c r="AE2" s="14" t="s">
        <v>975</v>
      </c>
      <c r="AF2" s="14" t="s">
        <v>975</v>
      </c>
      <c r="AG2" s="15" t="s">
        <v>1033</v>
      </c>
      <c r="AH2" s="11">
        <v>404</v>
      </c>
      <c r="AI2" s="12">
        <v>412</v>
      </c>
      <c r="AJ2" s="13">
        <v>414</v>
      </c>
      <c r="AK2" s="13" t="s">
        <v>611</v>
      </c>
      <c r="AL2" s="14" t="s">
        <v>611</v>
      </c>
      <c r="AM2" s="14" t="s">
        <v>975</v>
      </c>
      <c r="AN2" s="14" t="s">
        <v>975</v>
      </c>
      <c r="AO2" s="15" t="s">
        <v>1033</v>
      </c>
      <c r="AP2" s="11">
        <v>404</v>
      </c>
      <c r="AQ2" s="12">
        <v>412</v>
      </c>
      <c r="AR2" s="13">
        <v>414</v>
      </c>
      <c r="AS2" s="13" t="s">
        <v>611</v>
      </c>
      <c r="AT2" s="14" t="s">
        <v>611</v>
      </c>
      <c r="AU2" s="14" t="s">
        <v>975</v>
      </c>
      <c r="AV2" s="14" t="s">
        <v>975</v>
      </c>
      <c r="AW2" s="15" t="s">
        <v>1033</v>
      </c>
      <c r="AX2" s="11">
        <v>404</v>
      </c>
      <c r="AY2" s="12">
        <v>412</v>
      </c>
      <c r="AZ2" s="13">
        <v>414</v>
      </c>
      <c r="BA2" s="13" t="s">
        <v>611</v>
      </c>
      <c r="BB2" s="14" t="s">
        <v>611</v>
      </c>
      <c r="BC2" s="14" t="s">
        <v>975</v>
      </c>
      <c r="BD2" s="14" t="s">
        <v>975</v>
      </c>
      <c r="BE2" s="15" t="s">
        <v>1033</v>
      </c>
      <c r="BF2" s="16">
        <v>420000</v>
      </c>
      <c r="BG2" s="16">
        <v>240000</v>
      </c>
      <c r="BH2" s="16">
        <v>150000</v>
      </c>
      <c r="BI2" s="16">
        <v>150000</v>
      </c>
      <c r="BJ2" s="17">
        <v>150000</v>
      </c>
      <c r="BK2" s="16">
        <v>720000</v>
      </c>
      <c r="BL2" s="63"/>
      <c r="BM2" s="63"/>
      <c r="BN2" s="63"/>
      <c r="BO2" s="63"/>
    </row>
    <row r="3" spans="1:67" ht="15.75" customHeight="1" x14ac:dyDescent="0.35">
      <c r="A3" s="18" t="s">
        <v>1048</v>
      </c>
      <c r="B3" s="19">
        <v>1</v>
      </c>
      <c r="C3" s="20">
        <v>1</v>
      </c>
      <c r="D3" s="21">
        <v>1</v>
      </c>
      <c r="E3" s="21">
        <v>1.5</v>
      </c>
      <c r="F3" s="21">
        <v>3</v>
      </c>
      <c r="G3" s="21">
        <v>1.5</v>
      </c>
      <c r="H3" s="22">
        <v>3</v>
      </c>
      <c r="I3" s="22">
        <v>3</v>
      </c>
      <c r="J3" s="19">
        <v>1</v>
      </c>
      <c r="K3" s="20">
        <v>1</v>
      </c>
      <c r="L3" s="21">
        <v>1</v>
      </c>
      <c r="M3" s="21">
        <v>1.5</v>
      </c>
      <c r="N3" s="21">
        <v>3</v>
      </c>
      <c r="O3" s="21">
        <v>1.5</v>
      </c>
      <c r="P3" s="22">
        <v>3</v>
      </c>
      <c r="Q3" s="22">
        <v>3</v>
      </c>
      <c r="R3" s="19">
        <v>1</v>
      </c>
      <c r="S3" s="20">
        <v>1</v>
      </c>
      <c r="T3" s="21">
        <v>1</v>
      </c>
      <c r="U3" s="21">
        <v>1.5</v>
      </c>
      <c r="V3" s="21">
        <v>3</v>
      </c>
      <c r="W3" s="21">
        <v>1.5</v>
      </c>
      <c r="X3" s="22">
        <v>3</v>
      </c>
      <c r="Y3" s="22">
        <v>3</v>
      </c>
      <c r="Z3" s="19">
        <v>1</v>
      </c>
      <c r="AA3" s="20">
        <v>1</v>
      </c>
      <c r="AB3" s="21">
        <v>1</v>
      </c>
      <c r="AC3" s="21">
        <v>1.5</v>
      </c>
      <c r="AD3" s="21">
        <v>3</v>
      </c>
      <c r="AE3" s="21">
        <v>1.5</v>
      </c>
      <c r="AF3" s="22">
        <v>3</v>
      </c>
      <c r="AG3" s="22">
        <v>3</v>
      </c>
      <c r="AH3" s="19">
        <v>1</v>
      </c>
      <c r="AI3" s="20">
        <v>1</v>
      </c>
      <c r="AJ3" s="21">
        <v>1</v>
      </c>
      <c r="AK3" s="21">
        <v>1.5</v>
      </c>
      <c r="AL3" s="21">
        <v>3</v>
      </c>
      <c r="AM3" s="21">
        <v>1.5</v>
      </c>
      <c r="AN3" s="22">
        <v>3</v>
      </c>
      <c r="AO3" s="22">
        <v>3</v>
      </c>
      <c r="AP3" s="19">
        <v>1</v>
      </c>
      <c r="AQ3" s="20">
        <v>1</v>
      </c>
      <c r="AR3" s="21">
        <v>1</v>
      </c>
      <c r="AS3" s="21">
        <v>1.5</v>
      </c>
      <c r="AT3" s="21">
        <v>3</v>
      </c>
      <c r="AU3" s="21">
        <v>1.5</v>
      </c>
      <c r="AV3" s="22">
        <v>3</v>
      </c>
      <c r="AW3" s="22">
        <v>3</v>
      </c>
      <c r="AX3" s="19">
        <v>1</v>
      </c>
      <c r="AY3" s="20">
        <v>1</v>
      </c>
      <c r="AZ3" s="21">
        <v>1</v>
      </c>
      <c r="BA3" s="21">
        <v>1.5</v>
      </c>
      <c r="BB3" s="21">
        <v>3</v>
      </c>
      <c r="BC3" s="21">
        <v>1.5</v>
      </c>
      <c r="BD3" s="22">
        <v>3</v>
      </c>
      <c r="BE3" s="22">
        <v>3</v>
      </c>
      <c r="BF3" s="23"/>
      <c r="BG3" s="23"/>
      <c r="BH3" s="23"/>
      <c r="BI3" s="23"/>
      <c r="BJ3" s="24"/>
      <c r="BK3" s="23"/>
      <c r="BL3" s="9"/>
      <c r="BM3" s="9"/>
      <c r="BN3" s="9"/>
      <c r="BO3" s="9"/>
    </row>
    <row r="4" spans="1:67" ht="15.75" customHeight="1" x14ac:dyDescent="0.35">
      <c r="A4" s="2" t="s">
        <v>413</v>
      </c>
      <c r="B4" s="25" t="e">
        <f>SUMPRODUCT(('Phân công'!#REF!=$A4)*('Phân công'!#REF!="X")*(RIGHT('Phân công'!#REF!,3)="404"))</f>
        <v>#REF!</v>
      </c>
      <c r="C4" s="26" t="e">
        <f>SUMPRODUCT(('Phân công'!#REF!=$A4)*('Phân công'!#REF!="X")*(RIGHT('Phân công'!#REF!,3)="412"))</f>
        <v>#REF!</v>
      </c>
      <c r="D4" s="26" t="e">
        <f>SUMPRODUCT(('Phân công'!#REF!=$A4)*('Phân công'!#REF!="X")*(RIGHT('Phân công'!#REF!,3)="414"))</f>
        <v>#REF!</v>
      </c>
      <c r="E4" s="26" t="e">
        <f>SUMPRODUCT(('Phân công'!#REF!=$A4)*('Phân công'!#REF!="X")*(RIGHT('Phân công'!#REF!,4)="404C")*('Phân công'!#REF!="Tiếng Việt"))</f>
        <v>#REF!</v>
      </c>
      <c r="F4" s="26" t="e">
        <f>SUMPRODUCT(('Phân công'!#REF!=$A4)*('Phân công'!#REF!="X")*(RIGHT('Phân công'!#REF!,4)="404C")*('Phân công'!#REF!="Tiếng Anh"))</f>
        <v>#REF!</v>
      </c>
      <c r="G4" s="26" t="e">
        <f>SUMPRODUCT(('Phân công'!#REF!=$A4)*('Phân công'!#REF!="X")*(RIGHT('Phân công'!#REF!,4)="414C")*('Phân công'!#REF!="Tiếng Việt"))</f>
        <v>#REF!</v>
      </c>
      <c r="H4" s="27" t="e">
        <f>SUMPRODUCT(('Phân công'!#REF!=$A4)*('Phân công'!#REF!="X")*(RIGHT('Phân công'!#REF!,4)="414C")*('Phân công'!#REF!="Tiếng Anh"))</f>
        <v>#REF!</v>
      </c>
      <c r="I4" s="28" t="e">
        <f>SUMPRODUCT(('Phân công'!#REF!=$A4)*('Phân công'!#REF!="X")*(RIGHT('Phân công'!#REF!,5)="404CA"))</f>
        <v>#REF!</v>
      </c>
      <c r="J4" s="25" t="e">
        <f>SUMPRODUCT(('Phân công'!#REF!=$A4)*('Phân công'!#REF!="X")*(RIGHT('Phân công'!#REF!,3)="404"))</f>
        <v>#REF!</v>
      </c>
      <c r="K4" s="26" t="e">
        <f>SUMPRODUCT(('Phân công'!#REF!=$A4)*('Phân công'!#REF!="X")*(RIGHT('Phân công'!#REF!,3)="412"))</f>
        <v>#REF!</v>
      </c>
      <c r="L4" s="26" t="e">
        <f>SUMPRODUCT(('Phân công'!#REF!=$A4)*('Phân công'!#REF!="X")*(RIGHT('Phân công'!#REF!,3)="414"))</f>
        <v>#REF!</v>
      </c>
      <c r="M4" s="26" t="e">
        <f>SUMPRODUCT(('Phân công'!#REF!=$A4)*('Phân công'!#REF!="X")*(RIGHT('Phân công'!#REF!,3)="04C")*('Phân công'!#REF!="Tiếng Việt"))</f>
        <v>#REF!</v>
      </c>
      <c r="N4" s="26" t="e">
        <f>SUMPRODUCT(('Phân công'!#REF!=$A4)*('Phân công'!#REF!="X")*(RIGHT('Phân công'!#REF!,3)="04C")*('Phân công'!#REF!="Tiếng Anh"))</f>
        <v>#REF!</v>
      </c>
      <c r="O4" s="26" t="e">
        <f>SUMPRODUCT(('Phân công'!#REF!=$A4)*('Phân công'!#REF!="X")*(RIGHT('Phân công'!#REF!,3)="14C")*('Phân công'!#REF!="Tiếng Việt"))</f>
        <v>#REF!</v>
      </c>
      <c r="P4" s="27" t="e">
        <f>SUMPRODUCT(('Phân công'!#REF!=$A4)*('Phân công'!#REF!="X")*(RIGHT('Phân công'!#REF!,3)="14C")*('Phân công'!#REF!="Tiếng Anh"))</f>
        <v>#REF!</v>
      </c>
      <c r="Q4" s="28" t="e">
        <f>SUMPRODUCT(('Phân công'!#REF!=$A4)*('Phân công'!#REF!="X")*(RIGHT('Phân công'!#REF!,3)="4CA"))</f>
        <v>#REF!</v>
      </c>
      <c r="R4" s="25" t="e">
        <f>SUMPRODUCT(('Phân công'!#REF!='Thù lao'!A4)*(RIGHT('Phân công'!#REF!,3)="404"))</f>
        <v>#REF!</v>
      </c>
      <c r="S4" s="29" t="e">
        <f>SUMPRODUCT(('Phân công'!#REF!='Thù lao'!A4)*(RIGHT('Phân công'!#REF!,3)="412"))</f>
        <v>#REF!</v>
      </c>
      <c r="T4" s="29" t="e">
        <f>SUMPRODUCT(('Phân công'!#REF!='Thù lao'!A4)*(RIGHT('Phân công'!#REF!,3)="414"))</f>
        <v>#REF!</v>
      </c>
      <c r="U4" s="26" t="e">
        <f>SUMPRODUCT(('Phân công'!#REF!='Thù lao'!A4)*(RIGHT('Phân công'!#REF!,3)="04C")*('Phân công'!#REF!="Tiếng Việt"))</f>
        <v>#REF!</v>
      </c>
      <c r="V4" s="26" t="e">
        <f>SUMPRODUCT(('Phân công'!#REF!='Thù lao'!A4)*(RIGHT('Phân công'!#REF!,3)="04C")*('Phân công'!#REF!="Tiếng Anh"))</f>
        <v>#REF!</v>
      </c>
      <c r="W4" s="26" t="e">
        <f>SUMPRODUCT(('Phân công'!#REF!='Thù lao'!A4)*(RIGHT('Phân công'!#REF!,3)="14C")*('Phân công'!#REF!="Tiếng Việt"))</f>
        <v>#REF!</v>
      </c>
      <c r="X4" s="27" t="e">
        <f>SUMPRODUCT(('Phân công'!#REF!='Thù lao'!A4)*(RIGHT('Phân công'!#REF!,3)="14C")*('Phân công'!#REF!="Tiếng Anh"))</f>
        <v>#REF!</v>
      </c>
      <c r="Y4" s="26" t="e">
        <f>SUMPRODUCT(('Phân công'!#REF!='Thù lao'!A4)*(RIGHT('Phân công'!#REF!,3)="4CA"))</f>
        <v>#REF!</v>
      </c>
      <c r="Z4" s="25" t="e">
        <f>SUMPRODUCT(('Phân công'!#REF!='Thù lao'!A4)*(RIGHT('Phân công'!#REF!,3)="404"))</f>
        <v>#REF!</v>
      </c>
      <c r="AA4" s="29" t="e">
        <f>SUMPRODUCT(('Phân công'!#REF!='Thù lao'!A4)*(RIGHT('Phân công'!#REF!,3)="412"))</f>
        <v>#REF!</v>
      </c>
      <c r="AB4" s="29" t="e">
        <f>SUMPRODUCT(('Phân công'!#REF!='Thù lao'!A4)*(RIGHT('Phân công'!#REF!,3)="414"))</f>
        <v>#REF!</v>
      </c>
      <c r="AC4" s="26" t="e">
        <f>SUMPRODUCT(('Phân công'!#REF!='Thù lao'!A4)*(RIGHT('Phân công'!#REF!,3)="04C")*('Phân công'!#REF!="Tiếng Việt"))</f>
        <v>#REF!</v>
      </c>
      <c r="AD4" s="26" t="e">
        <f>SUMPRODUCT(('Phân công'!#REF!='Thù lao'!A4)*(RIGHT('Phân công'!#REF!,3)="04C")*('Phân công'!#REF!="Tiếng Anh"))</f>
        <v>#REF!</v>
      </c>
      <c r="AE4" s="26" t="e">
        <f>SUMPRODUCT(('Phân công'!#REF!='Thù lao'!A4)*(RIGHT('Phân công'!#REF!,3)="14C")*('Phân công'!#REF!="Tiếng Việt"))</f>
        <v>#REF!</v>
      </c>
      <c r="AF4" s="27" t="e">
        <f>SUMPRODUCT(('Phân công'!#REF!='Thù lao'!A4)*(RIGHT('Phân công'!#REF!,3)="14C")*('Phân công'!#REF!="Tiếng Anh"))</f>
        <v>#REF!</v>
      </c>
      <c r="AG4" s="26" t="e">
        <f>SUMPRODUCT(('Phân công'!#REF!='Thù lao'!A4)*(RIGHT('Phân công'!#REF!,3)="4CA"))</f>
        <v>#REF!</v>
      </c>
      <c r="AH4" s="25" t="e">
        <f>SUMPRODUCT(('Phân công'!#REF!='Thù lao'!A4)*(RIGHT('Phân công'!#REF!,3)="404"))</f>
        <v>#REF!</v>
      </c>
      <c r="AI4" s="29" t="e">
        <f>SUMPRODUCT(('Phân công'!#REF!='Thù lao'!A4)*(RIGHT('Phân công'!#REF!,3)="412"))</f>
        <v>#REF!</v>
      </c>
      <c r="AJ4" s="29" t="e">
        <f>SUMPRODUCT(('Phân công'!#REF!='Thù lao'!A4)*(RIGHT('Phân công'!#REF!,3)="414"))</f>
        <v>#REF!</v>
      </c>
      <c r="AK4" s="26" t="e">
        <f>SUMPRODUCT(('Phân công'!#REF!='Thù lao'!A4)*(RIGHT('Phân công'!#REF!,3)="04C")*('Phân công'!#REF!="Tiếng Việt"))</f>
        <v>#REF!</v>
      </c>
      <c r="AL4" s="26" t="e">
        <f>SUMPRODUCT(('Phân công'!#REF!='Thù lao'!A4)*(RIGHT('Phân công'!#REF!,3)="04C")*('Phân công'!#REF!="Tiếng Anh"))</f>
        <v>#REF!</v>
      </c>
      <c r="AM4" s="26" t="e">
        <f>SUMPRODUCT(('Phân công'!#REF!='Thù lao'!A4)*(RIGHT('Phân công'!#REF!,3)="14C")*('Phân công'!#REF!="Tiếng Việt"))</f>
        <v>#REF!</v>
      </c>
      <c r="AN4" s="27" t="e">
        <f>SUMPRODUCT(('Phân công'!#REF!='Thù lao'!A4)*(RIGHT('Phân công'!#REF!,3)="14C")*('Phân công'!#REF!="Tiếng Anh"))</f>
        <v>#REF!</v>
      </c>
      <c r="AO4" s="26" t="e">
        <f>SUMPRODUCT(('Phân công'!#REF!='Thù lao'!A4)*(RIGHT('Phân công'!#REF!,3)="4CA"))</f>
        <v>#REF!</v>
      </c>
      <c r="AP4" s="25" t="e">
        <f>SUMPRODUCT(('Phân công'!#REF!='Thù lao'!A4)*(RIGHT('Phân công'!#REF!,3)="404"))</f>
        <v>#REF!</v>
      </c>
      <c r="AQ4" s="29" t="e">
        <f>SUMPRODUCT(('Phân công'!#REF!='Thù lao'!A4)*(RIGHT('Phân công'!#REF!,3)="412"))</f>
        <v>#REF!</v>
      </c>
      <c r="AR4" s="29" t="e">
        <f>SUMPRODUCT(('Phân công'!#REF!='Thù lao'!A4)*(RIGHT('Phân công'!#REF!,3)="414"))</f>
        <v>#REF!</v>
      </c>
      <c r="AS4" s="26" t="e">
        <f>SUMPRODUCT(('Phân công'!#REF!='Thù lao'!A4)*(RIGHT('Phân công'!#REF!,3)="04C")*('Phân công'!#REF!="Tiếng Việt"))</f>
        <v>#REF!</v>
      </c>
      <c r="AT4" s="26" t="e">
        <f>SUMPRODUCT(('Phân công'!#REF!='Thù lao'!A4)*(RIGHT('Phân công'!#REF!,3)="04C")*('Phân công'!#REF!="Tiếng Anh"))</f>
        <v>#REF!</v>
      </c>
      <c r="AU4" s="26" t="e">
        <f>SUMPRODUCT(('Phân công'!#REF!='Thù lao'!A4)*(RIGHT('Phân công'!#REF!,3)="14C")*('Phân công'!#REF!="Tiếng Việt"))</f>
        <v>#REF!</v>
      </c>
      <c r="AV4" s="27" t="e">
        <f>SUMPRODUCT(('Phân công'!#REF!='Thù lao'!A4)*(RIGHT('Phân công'!#REF!,3)="14C")*('Phân công'!#REF!="Tiếng Anh"))</f>
        <v>#REF!</v>
      </c>
      <c r="AW4" s="26" t="e">
        <f>SUMPRODUCT(('Phân công'!#REF!='Thù lao'!A4)*(RIGHT('Phân công'!#REF!,3)="4CA"))</f>
        <v>#REF!</v>
      </c>
      <c r="AX4" s="25" t="e">
        <f t="shared" ref="AX4:BE4" si="0">AP4+AH4+Z4+R4</f>
        <v>#REF!</v>
      </c>
      <c r="AY4" s="25" t="e">
        <f t="shared" si="0"/>
        <v>#REF!</v>
      </c>
      <c r="AZ4" s="25" t="e">
        <f t="shared" si="0"/>
        <v>#REF!</v>
      </c>
      <c r="BA4" s="25" t="e">
        <f t="shared" si="0"/>
        <v>#REF!</v>
      </c>
      <c r="BB4" s="25" t="e">
        <f t="shared" si="0"/>
        <v>#REF!</v>
      </c>
      <c r="BC4" s="25" t="e">
        <f t="shared" si="0"/>
        <v>#REF!</v>
      </c>
      <c r="BD4" s="25" t="e">
        <f t="shared" si="0"/>
        <v>#REF!</v>
      </c>
      <c r="BE4" s="25" t="e">
        <f t="shared" si="0"/>
        <v>#REF!</v>
      </c>
      <c r="BF4" s="30" t="e">
        <f t="shared" ref="BF4:BF22" si="1">SUMPRODUCT((B4:I4),($B$3:$I$3))*$BF$2</f>
        <v>#REF!</v>
      </c>
      <c r="BG4" s="30" t="e">
        <f t="shared" ref="BG4:BG22" si="2">SUMPRODUCT(R4:Y4,$R$3:$Y$3)*$BG$2</f>
        <v>#REF!</v>
      </c>
      <c r="BH4" s="30" t="e">
        <f t="shared" ref="BH4:BH22" si="3">SUMPRODUCT(Z4:AG4,$Z$3:$AG$3)*$BH$2</f>
        <v>#REF!</v>
      </c>
      <c r="BI4" s="30" t="e">
        <f t="shared" ref="BI4:BI22" si="4">SUMPRODUCT(AH4:AO4,$AH$3:$AO$3)*$BI$2</f>
        <v>#REF!</v>
      </c>
      <c r="BJ4" s="30" t="e">
        <f t="shared" ref="BJ4:BJ22" si="5">SUMPRODUCT(AP4:AW4,$AP$3:$AW$3)*$BJ$2</f>
        <v>#REF!</v>
      </c>
      <c r="BK4" s="30" t="e">
        <f t="shared" ref="BK4:BK22" si="6">SUMPRODUCT((J4:Q4),($J$3:$Q$3))*$BK$2</f>
        <v>#REF!</v>
      </c>
      <c r="BL4" s="31" t="e">
        <f t="shared" ref="BL4:BL22" si="7">BF4+BK4</f>
        <v>#REF!</v>
      </c>
      <c r="BM4" s="31" t="e">
        <f t="shared" ref="BM4:BM22" si="8">SUM(BG4:BJ4)</f>
        <v>#REF!</v>
      </c>
      <c r="BN4" s="31" t="e">
        <f t="shared" ref="BN4:BN22" si="9">BM4+BK4</f>
        <v>#REF!</v>
      </c>
      <c r="BO4" s="31" t="e">
        <f t="shared" ref="BO4:BO22" si="10">BL4+BM4</f>
        <v>#REF!</v>
      </c>
    </row>
    <row r="5" spans="1:67" ht="15.75" customHeight="1" x14ac:dyDescent="0.35">
      <c r="A5" s="2" t="s">
        <v>305</v>
      </c>
      <c r="B5" s="25" t="e">
        <f>SUMPRODUCT(('Phân công'!#REF!=$A5)*('Phân công'!#REF!="X")*(RIGHT('Phân công'!#REF!,3)="404"))</f>
        <v>#REF!</v>
      </c>
      <c r="C5" s="26" t="e">
        <f>SUMPRODUCT(('Phân công'!#REF!=$A5)*('Phân công'!#REF!="X")*(RIGHT('Phân công'!#REF!,3)="412"))</f>
        <v>#REF!</v>
      </c>
      <c r="D5" s="26" t="e">
        <f>SUMPRODUCT(('Phân công'!#REF!=$A5)*('Phân công'!#REF!="X")*(RIGHT('Phân công'!#REF!,3)="414"))</f>
        <v>#REF!</v>
      </c>
      <c r="E5" s="26" t="e">
        <f>SUMPRODUCT(('Phân công'!#REF!=$A5)*('Phân công'!#REF!="X")*(RIGHT('Phân công'!#REF!,4)="404C")*('Phân công'!#REF!="Tiếng Việt"))</f>
        <v>#REF!</v>
      </c>
      <c r="F5" s="26" t="e">
        <f>SUMPRODUCT(('Phân công'!#REF!=$A5)*('Phân công'!#REF!="X")*(RIGHT('Phân công'!#REF!,4)="404C")*('Phân công'!#REF!="Tiếng Anh"))</f>
        <v>#REF!</v>
      </c>
      <c r="G5" s="26" t="e">
        <f>SUMPRODUCT(('Phân công'!#REF!=$A5)*('Phân công'!#REF!="X")*(RIGHT('Phân công'!#REF!,4)="414C")*('Phân công'!#REF!="Tiếng Việt"))</f>
        <v>#REF!</v>
      </c>
      <c r="H5" s="27" t="e">
        <f>SUMPRODUCT(('Phân công'!#REF!=$A5)*('Phân công'!#REF!="X")*(RIGHT('Phân công'!#REF!,4)="414C")*('Phân công'!#REF!="Tiếng Anh"))</f>
        <v>#REF!</v>
      </c>
      <c r="I5" s="28" t="e">
        <f>SUMPRODUCT(('Phân công'!#REF!=$A5)*('Phân công'!#REF!="X")*(RIGHT('Phân công'!#REF!,5)="404CA"))</f>
        <v>#REF!</v>
      </c>
      <c r="J5" s="25" t="e">
        <f>SUMPRODUCT(('Phân công'!#REF!=$A5)*('Phân công'!#REF!="X")*(RIGHT('Phân công'!#REF!,3)="404"))</f>
        <v>#REF!</v>
      </c>
      <c r="K5" s="26" t="e">
        <f>SUMPRODUCT(('Phân công'!#REF!=$A5)*('Phân công'!#REF!="X")*(RIGHT('Phân công'!#REF!,3)="412"))</f>
        <v>#REF!</v>
      </c>
      <c r="L5" s="26" t="e">
        <f>SUMPRODUCT(('Phân công'!#REF!=$A5)*('Phân công'!#REF!="X")*(RIGHT('Phân công'!#REF!,3)="414"))</f>
        <v>#REF!</v>
      </c>
      <c r="M5" s="26" t="e">
        <f>SUMPRODUCT(('Phân công'!#REF!=$A5)*('Phân công'!#REF!="X")*(RIGHT('Phân công'!#REF!,3)="04C")*('Phân công'!#REF!="Tiếng Việt"))</f>
        <v>#REF!</v>
      </c>
      <c r="N5" s="26" t="e">
        <f>SUMPRODUCT(('Phân công'!#REF!=$A5)*('Phân công'!#REF!="X")*(RIGHT('Phân công'!#REF!,3)="04C")*('Phân công'!#REF!="Tiếng Anh"))</f>
        <v>#REF!</v>
      </c>
      <c r="O5" s="26" t="e">
        <f>SUMPRODUCT(('Phân công'!#REF!=$A5)*('Phân công'!#REF!="X")*(RIGHT('Phân công'!#REF!,3)="14C")*('Phân công'!#REF!="Tiếng Việt"))</f>
        <v>#REF!</v>
      </c>
      <c r="P5" s="27" t="e">
        <f>SUMPRODUCT(('Phân công'!#REF!=$A5)*('Phân công'!#REF!="X")*(RIGHT('Phân công'!#REF!,3)="14C")*('Phân công'!#REF!="Tiếng Anh"))</f>
        <v>#REF!</v>
      </c>
      <c r="Q5" s="28" t="e">
        <f>SUMPRODUCT(('Phân công'!#REF!=$A5)*('Phân công'!#REF!="X")*(RIGHT('Phân công'!#REF!,3)="4CA"))</f>
        <v>#REF!</v>
      </c>
      <c r="R5" s="25" t="e">
        <f>SUMPRODUCT(('Phân công'!#REF!='Thù lao'!A5)*(RIGHT('Phân công'!#REF!,3)="404"))</f>
        <v>#REF!</v>
      </c>
      <c r="S5" s="29" t="e">
        <f>SUMPRODUCT(('Phân công'!#REF!='Thù lao'!A5)*(RIGHT('Phân công'!#REF!,3)="412"))</f>
        <v>#REF!</v>
      </c>
      <c r="T5" s="29" t="e">
        <f>SUMPRODUCT(('Phân công'!#REF!='Thù lao'!A5)*(RIGHT('Phân công'!#REF!,3)="414"))</f>
        <v>#REF!</v>
      </c>
      <c r="U5" s="26" t="e">
        <f>SUMPRODUCT(('Phân công'!#REF!='Thù lao'!A5)*(RIGHT('Phân công'!#REF!,3)="04C")*('Phân công'!#REF!="Tiếng Việt"))</f>
        <v>#REF!</v>
      </c>
      <c r="V5" s="26" t="e">
        <f>SUMPRODUCT(('Phân công'!#REF!='Thù lao'!A5)*(RIGHT('Phân công'!#REF!,3)="04C")*('Phân công'!#REF!="Tiếng Anh"))</f>
        <v>#REF!</v>
      </c>
      <c r="W5" s="26" t="e">
        <f>SUMPRODUCT(('Phân công'!#REF!='Thù lao'!A5)*(RIGHT('Phân công'!#REF!,3)="14C")*('Phân công'!#REF!="Tiếng Việt"))</f>
        <v>#REF!</v>
      </c>
      <c r="X5" s="27" t="e">
        <f>SUMPRODUCT(('Phân công'!#REF!='Thù lao'!A5)*(RIGHT('Phân công'!#REF!,3)="14C")*('Phân công'!#REF!="Tiếng Anh"))</f>
        <v>#REF!</v>
      </c>
      <c r="Y5" s="26" t="e">
        <f>SUMPRODUCT(('Phân công'!#REF!='Thù lao'!A5)*(RIGHT('Phân công'!#REF!,3)="4CA"))</f>
        <v>#REF!</v>
      </c>
      <c r="Z5" s="25" t="e">
        <f>SUMPRODUCT(('Phân công'!#REF!='Thù lao'!A5)*(RIGHT('Phân công'!#REF!,3)="404"))</f>
        <v>#REF!</v>
      </c>
      <c r="AA5" s="29" t="e">
        <f>SUMPRODUCT(('Phân công'!#REF!='Thù lao'!A5)*(RIGHT('Phân công'!#REF!,3)="412"))</f>
        <v>#REF!</v>
      </c>
      <c r="AB5" s="29" t="e">
        <f>SUMPRODUCT(('Phân công'!#REF!='Thù lao'!A5)*(RIGHT('Phân công'!#REF!,3)="414"))</f>
        <v>#REF!</v>
      </c>
      <c r="AC5" s="26" t="e">
        <f>SUMPRODUCT(('Phân công'!#REF!='Thù lao'!A5)*(RIGHT('Phân công'!#REF!,3)="04C")*('Phân công'!#REF!="Tiếng Việt"))</f>
        <v>#REF!</v>
      </c>
      <c r="AD5" s="26" t="e">
        <f>SUMPRODUCT(('Phân công'!#REF!='Thù lao'!A5)*(RIGHT('Phân công'!#REF!,3)="04C")*('Phân công'!#REF!="Tiếng Anh"))</f>
        <v>#REF!</v>
      </c>
      <c r="AE5" s="26" t="e">
        <f>SUMPRODUCT(('Phân công'!#REF!='Thù lao'!A5)*(RIGHT('Phân công'!#REF!,3)="14C")*('Phân công'!#REF!="Tiếng Việt"))</f>
        <v>#REF!</v>
      </c>
      <c r="AF5" s="27" t="e">
        <f>SUMPRODUCT(('Phân công'!#REF!='Thù lao'!A5)*(RIGHT('Phân công'!#REF!,3)="14C")*('Phân công'!#REF!="Tiếng Anh"))</f>
        <v>#REF!</v>
      </c>
      <c r="AG5" s="26" t="e">
        <f>SUMPRODUCT(('Phân công'!#REF!='Thù lao'!A5)*(RIGHT('Phân công'!#REF!,3)="4CA"))</f>
        <v>#REF!</v>
      </c>
      <c r="AH5" s="25" t="e">
        <f>SUMPRODUCT(('Phân công'!#REF!='Thù lao'!A5)*(RIGHT('Phân công'!#REF!,3)="404"))</f>
        <v>#REF!</v>
      </c>
      <c r="AI5" s="29" t="e">
        <f>SUMPRODUCT(('Phân công'!#REF!='Thù lao'!A5)*(RIGHT('Phân công'!#REF!,3)="412"))</f>
        <v>#REF!</v>
      </c>
      <c r="AJ5" s="29" t="e">
        <f>SUMPRODUCT(('Phân công'!#REF!='Thù lao'!A5)*(RIGHT('Phân công'!#REF!,3)="414"))</f>
        <v>#REF!</v>
      </c>
      <c r="AK5" s="26" t="e">
        <f>SUMPRODUCT(('Phân công'!#REF!='Thù lao'!A5)*(RIGHT('Phân công'!#REF!,3)="04C")*('Phân công'!#REF!="Tiếng Việt"))</f>
        <v>#REF!</v>
      </c>
      <c r="AL5" s="26" t="e">
        <f>SUMPRODUCT(('Phân công'!#REF!='Thù lao'!A5)*(RIGHT('Phân công'!#REF!,3)="04C")*('Phân công'!#REF!="Tiếng Anh"))</f>
        <v>#REF!</v>
      </c>
      <c r="AM5" s="26" t="e">
        <f>SUMPRODUCT(('Phân công'!#REF!='Thù lao'!A5)*(RIGHT('Phân công'!#REF!,3)="14C")*('Phân công'!#REF!="Tiếng Việt"))</f>
        <v>#REF!</v>
      </c>
      <c r="AN5" s="27" t="e">
        <f>SUMPRODUCT(('Phân công'!#REF!='Thù lao'!A5)*(RIGHT('Phân công'!#REF!,3)="14C")*('Phân công'!#REF!="Tiếng Anh"))</f>
        <v>#REF!</v>
      </c>
      <c r="AO5" s="26" t="e">
        <f>SUMPRODUCT(('Phân công'!#REF!='Thù lao'!A5)*(RIGHT('Phân công'!#REF!,3)="4CA"))</f>
        <v>#REF!</v>
      </c>
      <c r="AP5" s="25" t="e">
        <f>SUMPRODUCT(('Phân công'!#REF!='Thù lao'!A5)*(RIGHT('Phân công'!#REF!,3)="404"))</f>
        <v>#REF!</v>
      </c>
      <c r="AQ5" s="29" t="e">
        <f>SUMPRODUCT(('Phân công'!#REF!='Thù lao'!A5)*(RIGHT('Phân công'!#REF!,3)="412"))</f>
        <v>#REF!</v>
      </c>
      <c r="AR5" s="29" t="e">
        <f>SUMPRODUCT(('Phân công'!#REF!='Thù lao'!A5)*(RIGHT('Phân công'!#REF!,3)="414"))</f>
        <v>#REF!</v>
      </c>
      <c r="AS5" s="26" t="e">
        <f>SUMPRODUCT(('Phân công'!#REF!='Thù lao'!A5)*(RIGHT('Phân công'!#REF!,3)="04C")*('Phân công'!#REF!="Tiếng Việt"))</f>
        <v>#REF!</v>
      </c>
      <c r="AT5" s="26" t="e">
        <f>SUMPRODUCT(('Phân công'!#REF!='Thù lao'!A5)*(RIGHT('Phân công'!#REF!,3)="04C")*('Phân công'!#REF!="Tiếng Anh"))</f>
        <v>#REF!</v>
      </c>
      <c r="AU5" s="26" t="e">
        <f>SUMPRODUCT(('Phân công'!#REF!='Thù lao'!A5)*(RIGHT('Phân công'!#REF!,3)="14C")*('Phân công'!#REF!="Tiếng Việt"))</f>
        <v>#REF!</v>
      </c>
      <c r="AV5" s="27" t="e">
        <f>SUMPRODUCT(('Phân công'!#REF!='Thù lao'!A5)*(RIGHT('Phân công'!#REF!,3)="14C")*('Phân công'!#REF!="Tiếng Anh"))</f>
        <v>#REF!</v>
      </c>
      <c r="AW5" s="26" t="e">
        <f>SUMPRODUCT(('Phân công'!#REF!='Thù lao'!A5)*(RIGHT('Phân công'!#REF!,3)="4CA"))</f>
        <v>#REF!</v>
      </c>
      <c r="AX5" s="25" t="e">
        <f t="shared" ref="AX5:BE5" si="11">AP5+AH5+Z5+R5</f>
        <v>#REF!</v>
      </c>
      <c r="AY5" s="25" t="e">
        <f t="shared" si="11"/>
        <v>#REF!</v>
      </c>
      <c r="AZ5" s="25" t="e">
        <f t="shared" si="11"/>
        <v>#REF!</v>
      </c>
      <c r="BA5" s="25" t="e">
        <f t="shared" si="11"/>
        <v>#REF!</v>
      </c>
      <c r="BB5" s="25" t="e">
        <f t="shared" si="11"/>
        <v>#REF!</v>
      </c>
      <c r="BC5" s="25" t="e">
        <f t="shared" si="11"/>
        <v>#REF!</v>
      </c>
      <c r="BD5" s="25" t="e">
        <f t="shared" si="11"/>
        <v>#REF!</v>
      </c>
      <c r="BE5" s="25" t="e">
        <f t="shared" si="11"/>
        <v>#REF!</v>
      </c>
      <c r="BF5" s="30" t="e">
        <f t="shared" si="1"/>
        <v>#REF!</v>
      </c>
      <c r="BG5" s="30" t="e">
        <f t="shared" si="2"/>
        <v>#REF!</v>
      </c>
      <c r="BH5" s="30" t="e">
        <f t="shared" si="3"/>
        <v>#REF!</v>
      </c>
      <c r="BI5" s="30" t="e">
        <f t="shared" si="4"/>
        <v>#REF!</v>
      </c>
      <c r="BJ5" s="30" t="e">
        <f t="shared" si="5"/>
        <v>#REF!</v>
      </c>
      <c r="BK5" s="30" t="e">
        <f t="shared" si="6"/>
        <v>#REF!</v>
      </c>
      <c r="BL5" s="31" t="e">
        <f t="shared" si="7"/>
        <v>#REF!</v>
      </c>
      <c r="BM5" s="31" t="e">
        <f t="shared" si="8"/>
        <v>#REF!</v>
      </c>
      <c r="BN5" s="31" t="e">
        <f t="shared" si="9"/>
        <v>#REF!</v>
      </c>
      <c r="BO5" s="31" t="e">
        <f t="shared" si="10"/>
        <v>#REF!</v>
      </c>
    </row>
    <row r="6" spans="1:67" ht="15.75" customHeight="1" x14ac:dyDescent="0.35">
      <c r="A6" s="2" t="s">
        <v>253</v>
      </c>
      <c r="B6" s="25" t="e">
        <f>SUMPRODUCT(('Phân công'!#REF!=$A6)*('Phân công'!#REF!="X")*(RIGHT('Phân công'!#REF!,3)="404"))</f>
        <v>#REF!</v>
      </c>
      <c r="C6" s="26" t="e">
        <f>SUMPRODUCT(('Phân công'!#REF!=$A6)*('Phân công'!#REF!="X")*(RIGHT('Phân công'!#REF!,3)="412"))</f>
        <v>#REF!</v>
      </c>
      <c r="D6" s="26" t="e">
        <f>SUMPRODUCT(('Phân công'!#REF!=$A6)*('Phân công'!#REF!="X")*(RIGHT('Phân công'!#REF!,3)="414"))</f>
        <v>#REF!</v>
      </c>
      <c r="E6" s="26" t="e">
        <f>SUMPRODUCT(('Phân công'!#REF!=$A6)*('Phân công'!#REF!="X")*(RIGHT('Phân công'!#REF!,4)="404C")*('Phân công'!#REF!="Tiếng Việt"))</f>
        <v>#REF!</v>
      </c>
      <c r="F6" s="26" t="e">
        <f>SUMPRODUCT(('Phân công'!#REF!=$A6)*('Phân công'!#REF!="X")*(RIGHT('Phân công'!#REF!,4)="404C")*('Phân công'!#REF!="Tiếng Anh"))</f>
        <v>#REF!</v>
      </c>
      <c r="G6" s="26" t="e">
        <f>SUMPRODUCT(('Phân công'!#REF!=$A6)*('Phân công'!#REF!="X")*(RIGHT('Phân công'!#REF!,4)="414C")*('Phân công'!#REF!="Tiếng Việt"))</f>
        <v>#REF!</v>
      </c>
      <c r="H6" s="27" t="e">
        <f>SUMPRODUCT(('Phân công'!#REF!=$A6)*('Phân công'!#REF!="X")*(RIGHT('Phân công'!#REF!,4)="414C")*('Phân công'!#REF!="Tiếng Anh"))</f>
        <v>#REF!</v>
      </c>
      <c r="I6" s="28" t="e">
        <f>SUMPRODUCT(('Phân công'!#REF!=$A6)*('Phân công'!#REF!="X")*(RIGHT('Phân công'!#REF!,5)="404CA"))</f>
        <v>#REF!</v>
      </c>
      <c r="J6" s="25" t="e">
        <f>SUMPRODUCT(('Phân công'!#REF!=$A6)*('Phân công'!#REF!="X")*(RIGHT('Phân công'!#REF!,3)="404"))</f>
        <v>#REF!</v>
      </c>
      <c r="K6" s="26" t="e">
        <f>SUMPRODUCT(('Phân công'!#REF!=$A6)*('Phân công'!#REF!="X")*(RIGHT('Phân công'!#REF!,3)="412"))</f>
        <v>#REF!</v>
      </c>
      <c r="L6" s="26" t="e">
        <f>SUMPRODUCT(('Phân công'!#REF!=$A6)*('Phân công'!#REF!="X")*(RIGHT('Phân công'!#REF!,3)="414"))</f>
        <v>#REF!</v>
      </c>
      <c r="M6" s="26" t="e">
        <f>SUMPRODUCT(('Phân công'!#REF!=$A6)*('Phân công'!#REF!="X")*(RIGHT('Phân công'!#REF!,3)="04C")*('Phân công'!#REF!="Tiếng Việt"))</f>
        <v>#REF!</v>
      </c>
      <c r="N6" s="26" t="e">
        <f>SUMPRODUCT(('Phân công'!#REF!=$A6)*('Phân công'!#REF!="X")*(RIGHT('Phân công'!#REF!,3)="04C")*('Phân công'!#REF!="Tiếng Anh"))</f>
        <v>#REF!</v>
      </c>
      <c r="O6" s="26" t="e">
        <f>SUMPRODUCT(('Phân công'!#REF!=$A6)*('Phân công'!#REF!="X")*(RIGHT('Phân công'!#REF!,3)="14C")*('Phân công'!#REF!="Tiếng Việt"))</f>
        <v>#REF!</v>
      </c>
      <c r="P6" s="27" t="e">
        <f>SUMPRODUCT(('Phân công'!#REF!=$A6)*('Phân công'!#REF!="X")*(RIGHT('Phân công'!#REF!,3)="14C")*('Phân công'!#REF!="Tiếng Anh"))</f>
        <v>#REF!</v>
      </c>
      <c r="Q6" s="28" t="e">
        <f>SUMPRODUCT(('Phân công'!#REF!=$A6)*('Phân công'!#REF!="X")*(RIGHT('Phân công'!#REF!,3)="4CA"))</f>
        <v>#REF!</v>
      </c>
      <c r="R6" s="25" t="e">
        <f>SUMPRODUCT(('Phân công'!#REF!='Thù lao'!A6)*(RIGHT('Phân công'!#REF!,3)="404"))</f>
        <v>#REF!</v>
      </c>
      <c r="S6" s="29" t="e">
        <f>SUMPRODUCT(('Phân công'!#REF!='Thù lao'!A6)*(RIGHT('Phân công'!#REF!,3)="412"))</f>
        <v>#REF!</v>
      </c>
      <c r="T6" s="29" t="e">
        <f>SUMPRODUCT(('Phân công'!#REF!='Thù lao'!A6)*(RIGHT('Phân công'!#REF!,3)="414"))</f>
        <v>#REF!</v>
      </c>
      <c r="U6" s="26" t="e">
        <f>SUMPRODUCT(('Phân công'!#REF!='Thù lao'!A6)*(RIGHT('Phân công'!#REF!,3)="04C")*('Phân công'!#REF!="Tiếng Việt"))</f>
        <v>#REF!</v>
      </c>
      <c r="V6" s="26" t="e">
        <f>SUMPRODUCT(('Phân công'!#REF!='Thù lao'!A6)*(RIGHT('Phân công'!#REF!,3)="04C")*('Phân công'!#REF!="Tiếng Anh"))</f>
        <v>#REF!</v>
      </c>
      <c r="W6" s="26" t="e">
        <f>SUMPRODUCT(('Phân công'!#REF!='Thù lao'!A6)*(RIGHT('Phân công'!#REF!,3)="14C")*('Phân công'!#REF!="Tiếng Việt"))</f>
        <v>#REF!</v>
      </c>
      <c r="X6" s="27" t="e">
        <f>SUMPRODUCT(('Phân công'!#REF!='Thù lao'!A6)*(RIGHT('Phân công'!#REF!,3)="14C")*('Phân công'!#REF!="Tiếng Anh"))</f>
        <v>#REF!</v>
      </c>
      <c r="Y6" s="26" t="e">
        <f>SUMPRODUCT(('Phân công'!#REF!='Thù lao'!A6)*(RIGHT('Phân công'!#REF!,3)="4CA"))</f>
        <v>#REF!</v>
      </c>
      <c r="Z6" s="25" t="e">
        <f>SUMPRODUCT(('Phân công'!#REF!='Thù lao'!A6)*(RIGHT('Phân công'!#REF!,3)="404"))</f>
        <v>#REF!</v>
      </c>
      <c r="AA6" s="29" t="e">
        <f>SUMPRODUCT(('Phân công'!#REF!='Thù lao'!A6)*(RIGHT('Phân công'!#REF!,3)="412"))</f>
        <v>#REF!</v>
      </c>
      <c r="AB6" s="29" t="e">
        <f>SUMPRODUCT(('Phân công'!#REF!='Thù lao'!A6)*(RIGHT('Phân công'!#REF!,3)="414"))</f>
        <v>#REF!</v>
      </c>
      <c r="AC6" s="26" t="e">
        <f>SUMPRODUCT(('Phân công'!#REF!='Thù lao'!A6)*(RIGHT('Phân công'!#REF!,3)="04C")*('Phân công'!#REF!="Tiếng Việt"))</f>
        <v>#REF!</v>
      </c>
      <c r="AD6" s="26" t="e">
        <f>SUMPRODUCT(('Phân công'!#REF!='Thù lao'!A6)*(RIGHT('Phân công'!#REF!,3)="04C")*('Phân công'!#REF!="Tiếng Anh"))</f>
        <v>#REF!</v>
      </c>
      <c r="AE6" s="26" t="e">
        <f>SUMPRODUCT(('Phân công'!#REF!='Thù lao'!A6)*(RIGHT('Phân công'!#REF!,3)="14C")*('Phân công'!#REF!="Tiếng Việt"))</f>
        <v>#REF!</v>
      </c>
      <c r="AF6" s="27" t="e">
        <f>SUMPRODUCT(('Phân công'!#REF!='Thù lao'!A6)*(RIGHT('Phân công'!#REF!,3)="14C")*('Phân công'!#REF!="Tiếng Anh"))</f>
        <v>#REF!</v>
      </c>
      <c r="AG6" s="26" t="e">
        <f>SUMPRODUCT(('Phân công'!#REF!='Thù lao'!A6)*(RIGHT('Phân công'!#REF!,3)="4CA"))</f>
        <v>#REF!</v>
      </c>
      <c r="AH6" s="25" t="e">
        <f>SUMPRODUCT(('Phân công'!#REF!='Thù lao'!A6)*(RIGHT('Phân công'!#REF!,3)="404"))</f>
        <v>#REF!</v>
      </c>
      <c r="AI6" s="29" t="e">
        <f>SUMPRODUCT(('Phân công'!#REF!='Thù lao'!A6)*(RIGHT('Phân công'!#REF!,3)="412"))</f>
        <v>#REF!</v>
      </c>
      <c r="AJ6" s="29" t="e">
        <f>SUMPRODUCT(('Phân công'!#REF!='Thù lao'!A6)*(RIGHT('Phân công'!#REF!,3)="414"))</f>
        <v>#REF!</v>
      </c>
      <c r="AK6" s="26" t="e">
        <f>SUMPRODUCT(('Phân công'!#REF!='Thù lao'!A6)*(RIGHT('Phân công'!#REF!,3)="04C")*('Phân công'!#REF!="Tiếng Việt"))</f>
        <v>#REF!</v>
      </c>
      <c r="AL6" s="26" t="e">
        <f>SUMPRODUCT(('Phân công'!#REF!='Thù lao'!A6)*(RIGHT('Phân công'!#REF!,3)="04C")*('Phân công'!#REF!="Tiếng Anh"))</f>
        <v>#REF!</v>
      </c>
      <c r="AM6" s="26" t="e">
        <f>SUMPRODUCT(('Phân công'!#REF!='Thù lao'!A6)*(RIGHT('Phân công'!#REF!,3)="14C")*('Phân công'!#REF!="Tiếng Việt"))</f>
        <v>#REF!</v>
      </c>
      <c r="AN6" s="27" t="e">
        <f>SUMPRODUCT(('Phân công'!#REF!='Thù lao'!A6)*(RIGHT('Phân công'!#REF!,3)="14C")*('Phân công'!#REF!="Tiếng Anh"))</f>
        <v>#REF!</v>
      </c>
      <c r="AO6" s="26" t="e">
        <f>SUMPRODUCT(('Phân công'!#REF!='Thù lao'!A6)*(RIGHT('Phân công'!#REF!,3)="4CA"))</f>
        <v>#REF!</v>
      </c>
      <c r="AP6" s="25" t="e">
        <f>SUMPRODUCT(('Phân công'!#REF!='Thù lao'!A6)*(RIGHT('Phân công'!#REF!,3)="404"))</f>
        <v>#REF!</v>
      </c>
      <c r="AQ6" s="29" t="e">
        <f>SUMPRODUCT(('Phân công'!#REF!='Thù lao'!A6)*(RIGHT('Phân công'!#REF!,3)="412"))</f>
        <v>#REF!</v>
      </c>
      <c r="AR6" s="29" t="e">
        <f>SUMPRODUCT(('Phân công'!#REF!='Thù lao'!A6)*(RIGHT('Phân công'!#REF!,3)="414"))</f>
        <v>#REF!</v>
      </c>
      <c r="AS6" s="26" t="e">
        <f>SUMPRODUCT(('Phân công'!#REF!='Thù lao'!A6)*(RIGHT('Phân công'!#REF!,3)="04C")*('Phân công'!#REF!="Tiếng Việt"))</f>
        <v>#REF!</v>
      </c>
      <c r="AT6" s="26" t="e">
        <f>SUMPRODUCT(('Phân công'!#REF!='Thù lao'!A6)*(RIGHT('Phân công'!#REF!,3)="04C")*('Phân công'!#REF!="Tiếng Anh"))</f>
        <v>#REF!</v>
      </c>
      <c r="AU6" s="26" t="e">
        <f>SUMPRODUCT(('Phân công'!#REF!='Thù lao'!A6)*(RIGHT('Phân công'!#REF!,3)="14C")*('Phân công'!#REF!="Tiếng Việt"))</f>
        <v>#REF!</v>
      </c>
      <c r="AV6" s="27" t="e">
        <f>SUMPRODUCT(('Phân công'!#REF!='Thù lao'!A6)*(RIGHT('Phân công'!#REF!,3)="14C")*('Phân công'!#REF!="Tiếng Anh"))</f>
        <v>#REF!</v>
      </c>
      <c r="AW6" s="26" t="e">
        <f>SUMPRODUCT(('Phân công'!#REF!='Thù lao'!A6)*(RIGHT('Phân công'!#REF!,3)="4CA"))</f>
        <v>#REF!</v>
      </c>
      <c r="AX6" s="25" t="e">
        <f t="shared" ref="AX6:BE6" si="12">AP6+AH6+Z6+R6</f>
        <v>#REF!</v>
      </c>
      <c r="AY6" s="25" t="e">
        <f t="shared" si="12"/>
        <v>#REF!</v>
      </c>
      <c r="AZ6" s="25" t="e">
        <f t="shared" si="12"/>
        <v>#REF!</v>
      </c>
      <c r="BA6" s="25" t="e">
        <f t="shared" si="12"/>
        <v>#REF!</v>
      </c>
      <c r="BB6" s="25" t="e">
        <f t="shared" si="12"/>
        <v>#REF!</v>
      </c>
      <c r="BC6" s="25" t="e">
        <f t="shared" si="12"/>
        <v>#REF!</v>
      </c>
      <c r="BD6" s="25" t="e">
        <f t="shared" si="12"/>
        <v>#REF!</v>
      </c>
      <c r="BE6" s="25" t="e">
        <f t="shared" si="12"/>
        <v>#REF!</v>
      </c>
      <c r="BF6" s="30" t="e">
        <f t="shared" si="1"/>
        <v>#REF!</v>
      </c>
      <c r="BG6" s="30" t="e">
        <f t="shared" si="2"/>
        <v>#REF!</v>
      </c>
      <c r="BH6" s="30" t="e">
        <f t="shared" si="3"/>
        <v>#REF!</v>
      </c>
      <c r="BI6" s="30" t="e">
        <f t="shared" si="4"/>
        <v>#REF!</v>
      </c>
      <c r="BJ6" s="30" t="e">
        <f t="shared" si="5"/>
        <v>#REF!</v>
      </c>
      <c r="BK6" s="30" t="e">
        <f t="shared" si="6"/>
        <v>#REF!</v>
      </c>
      <c r="BL6" s="31" t="e">
        <f t="shared" si="7"/>
        <v>#REF!</v>
      </c>
      <c r="BM6" s="31" t="e">
        <f t="shared" si="8"/>
        <v>#REF!</v>
      </c>
      <c r="BN6" s="31" t="e">
        <f t="shared" si="9"/>
        <v>#REF!</v>
      </c>
      <c r="BO6" s="31" t="e">
        <f t="shared" si="10"/>
        <v>#REF!</v>
      </c>
    </row>
    <row r="7" spans="1:67" ht="15.75" customHeight="1" x14ac:dyDescent="0.35">
      <c r="A7" s="2" t="s">
        <v>10</v>
      </c>
      <c r="B7" s="25" t="e">
        <f>SUMPRODUCT(('Phân công'!#REF!=$A7)*('Phân công'!#REF!="X")*(RIGHT('Phân công'!#REF!,3)="404"))</f>
        <v>#REF!</v>
      </c>
      <c r="C7" s="26" t="e">
        <f>SUMPRODUCT(('Phân công'!#REF!=$A7)*('Phân công'!#REF!="X")*(RIGHT('Phân công'!#REF!,3)="412"))</f>
        <v>#REF!</v>
      </c>
      <c r="D7" s="26" t="e">
        <f>SUMPRODUCT(('Phân công'!#REF!=$A7)*('Phân công'!#REF!="X")*(RIGHT('Phân công'!#REF!,3)="414"))</f>
        <v>#REF!</v>
      </c>
      <c r="E7" s="26" t="e">
        <f>SUMPRODUCT(('Phân công'!#REF!=$A7)*('Phân công'!#REF!="X")*(RIGHT('Phân công'!#REF!,4)="404C")*('Phân công'!#REF!="Tiếng Việt"))</f>
        <v>#REF!</v>
      </c>
      <c r="F7" s="26" t="e">
        <f>SUMPRODUCT(('Phân công'!#REF!=$A7)*('Phân công'!#REF!="X")*(RIGHT('Phân công'!#REF!,4)="404C")*('Phân công'!#REF!="Tiếng Anh"))</f>
        <v>#REF!</v>
      </c>
      <c r="G7" s="26" t="e">
        <f>SUMPRODUCT(('Phân công'!#REF!=$A7)*('Phân công'!#REF!="X")*(RIGHT('Phân công'!#REF!,4)="414C")*('Phân công'!#REF!="Tiếng Việt"))</f>
        <v>#REF!</v>
      </c>
      <c r="H7" s="27" t="e">
        <f>SUMPRODUCT(('Phân công'!#REF!=$A7)*('Phân công'!#REF!="X")*(RIGHT('Phân công'!#REF!,4)="414C")*('Phân công'!#REF!="Tiếng Anh"))</f>
        <v>#REF!</v>
      </c>
      <c r="I7" s="28" t="e">
        <f>SUMPRODUCT(('Phân công'!#REF!=$A7)*('Phân công'!#REF!="X")*(RIGHT('Phân công'!#REF!,5)="404CA"))</f>
        <v>#REF!</v>
      </c>
      <c r="J7" s="25" t="e">
        <f>SUMPRODUCT(('Phân công'!#REF!=$A7)*('Phân công'!#REF!="X")*(RIGHT('Phân công'!#REF!,3)="404"))</f>
        <v>#REF!</v>
      </c>
      <c r="K7" s="26" t="e">
        <f>SUMPRODUCT(('Phân công'!#REF!=$A7)*('Phân công'!#REF!="X")*(RIGHT('Phân công'!#REF!,3)="412"))</f>
        <v>#REF!</v>
      </c>
      <c r="L7" s="26" t="e">
        <f>SUMPRODUCT(('Phân công'!#REF!=$A7)*('Phân công'!#REF!="X")*(RIGHT('Phân công'!#REF!,3)="414"))</f>
        <v>#REF!</v>
      </c>
      <c r="M7" s="26" t="e">
        <f>SUMPRODUCT(('Phân công'!#REF!=$A7)*('Phân công'!#REF!="X")*(RIGHT('Phân công'!#REF!,3)="04C")*('Phân công'!#REF!="Tiếng Việt"))</f>
        <v>#REF!</v>
      </c>
      <c r="N7" s="26" t="e">
        <f>SUMPRODUCT(('Phân công'!#REF!=$A7)*('Phân công'!#REF!="X")*(RIGHT('Phân công'!#REF!,3)="04C")*('Phân công'!#REF!="Tiếng Anh"))</f>
        <v>#REF!</v>
      </c>
      <c r="O7" s="26" t="e">
        <f>SUMPRODUCT(('Phân công'!#REF!=$A7)*('Phân công'!#REF!="X")*(RIGHT('Phân công'!#REF!,3)="14C")*('Phân công'!#REF!="Tiếng Việt"))</f>
        <v>#REF!</v>
      </c>
      <c r="P7" s="27" t="e">
        <f>SUMPRODUCT(('Phân công'!#REF!=$A7)*('Phân công'!#REF!="X")*(RIGHT('Phân công'!#REF!,3)="14C")*('Phân công'!#REF!="Tiếng Anh"))</f>
        <v>#REF!</v>
      </c>
      <c r="Q7" s="28" t="e">
        <f>SUMPRODUCT(('Phân công'!#REF!=$A7)*('Phân công'!#REF!="X")*(RIGHT('Phân công'!#REF!,3)="4CA"))</f>
        <v>#REF!</v>
      </c>
      <c r="R7" s="25" t="e">
        <f>SUMPRODUCT(('Phân công'!#REF!='Thù lao'!A7)*(RIGHT('Phân công'!#REF!,3)="404"))</f>
        <v>#REF!</v>
      </c>
      <c r="S7" s="29" t="e">
        <f>SUMPRODUCT(('Phân công'!#REF!='Thù lao'!A7)*(RIGHT('Phân công'!#REF!,3)="412"))</f>
        <v>#REF!</v>
      </c>
      <c r="T7" s="29" t="e">
        <f>SUMPRODUCT(('Phân công'!#REF!='Thù lao'!A7)*(RIGHT('Phân công'!#REF!,3)="414"))</f>
        <v>#REF!</v>
      </c>
      <c r="U7" s="26" t="e">
        <f>SUMPRODUCT(('Phân công'!#REF!='Thù lao'!A7)*(RIGHT('Phân công'!#REF!,3)="04C")*('Phân công'!#REF!="Tiếng Việt"))</f>
        <v>#REF!</v>
      </c>
      <c r="V7" s="26" t="e">
        <f>SUMPRODUCT(('Phân công'!#REF!='Thù lao'!A7)*(RIGHT('Phân công'!#REF!,3)="04C")*('Phân công'!#REF!="Tiếng Anh"))</f>
        <v>#REF!</v>
      </c>
      <c r="W7" s="26" t="e">
        <f>SUMPRODUCT(('Phân công'!#REF!='Thù lao'!A7)*(RIGHT('Phân công'!#REF!,3)="14C")*('Phân công'!#REF!="Tiếng Việt"))</f>
        <v>#REF!</v>
      </c>
      <c r="X7" s="27" t="e">
        <f>SUMPRODUCT(('Phân công'!#REF!='Thù lao'!A7)*(RIGHT('Phân công'!#REF!,3)="14C")*('Phân công'!#REF!="Tiếng Anh"))</f>
        <v>#REF!</v>
      </c>
      <c r="Y7" s="26" t="e">
        <f>SUMPRODUCT(('Phân công'!#REF!='Thù lao'!A7)*(RIGHT('Phân công'!#REF!,3)="4CA"))</f>
        <v>#REF!</v>
      </c>
      <c r="Z7" s="25" t="e">
        <f>SUMPRODUCT(('Phân công'!#REF!='Thù lao'!A7)*(RIGHT('Phân công'!#REF!,3)="404"))</f>
        <v>#REF!</v>
      </c>
      <c r="AA7" s="29" t="e">
        <f>SUMPRODUCT(('Phân công'!#REF!='Thù lao'!A7)*(RIGHT('Phân công'!#REF!,3)="412"))</f>
        <v>#REF!</v>
      </c>
      <c r="AB7" s="29" t="e">
        <f>SUMPRODUCT(('Phân công'!#REF!='Thù lao'!A7)*(RIGHT('Phân công'!#REF!,3)="414"))</f>
        <v>#REF!</v>
      </c>
      <c r="AC7" s="26" t="e">
        <f>SUMPRODUCT(('Phân công'!#REF!='Thù lao'!A7)*(RIGHT('Phân công'!#REF!,3)="04C")*('Phân công'!#REF!="Tiếng Việt"))</f>
        <v>#REF!</v>
      </c>
      <c r="AD7" s="26" t="e">
        <f>SUMPRODUCT(('Phân công'!#REF!='Thù lao'!A7)*(RIGHT('Phân công'!#REF!,3)="04C")*('Phân công'!#REF!="Tiếng Anh"))</f>
        <v>#REF!</v>
      </c>
      <c r="AE7" s="26" t="e">
        <f>SUMPRODUCT(('Phân công'!#REF!='Thù lao'!A7)*(RIGHT('Phân công'!#REF!,3)="14C")*('Phân công'!#REF!="Tiếng Việt"))</f>
        <v>#REF!</v>
      </c>
      <c r="AF7" s="27" t="e">
        <f>SUMPRODUCT(('Phân công'!#REF!='Thù lao'!A7)*(RIGHT('Phân công'!#REF!,3)="14C")*('Phân công'!#REF!="Tiếng Anh"))</f>
        <v>#REF!</v>
      </c>
      <c r="AG7" s="26" t="e">
        <f>SUMPRODUCT(('Phân công'!#REF!='Thù lao'!A7)*(RIGHT('Phân công'!#REF!,3)="4CA"))</f>
        <v>#REF!</v>
      </c>
      <c r="AH7" s="25" t="e">
        <f>SUMPRODUCT(('Phân công'!#REF!='Thù lao'!A7)*(RIGHT('Phân công'!#REF!,3)="404"))</f>
        <v>#REF!</v>
      </c>
      <c r="AI7" s="29" t="e">
        <f>SUMPRODUCT(('Phân công'!#REF!='Thù lao'!A7)*(RIGHT('Phân công'!#REF!,3)="412"))</f>
        <v>#REF!</v>
      </c>
      <c r="AJ7" s="29" t="e">
        <f>SUMPRODUCT(('Phân công'!#REF!='Thù lao'!A7)*(RIGHT('Phân công'!#REF!,3)="414"))</f>
        <v>#REF!</v>
      </c>
      <c r="AK7" s="26" t="e">
        <f>SUMPRODUCT(('Phân công'!#REF!='Thù lao'!A7)*(RIGHT('Phân công'!#REF!,3)="04C")*('Phân công'!#REF!="Tiếng Việt"))</f>
        <v>#REF!</v>
      </c>
      <c r="AL7" s="26" t="e">
        <f>SUMPRODUCT(('Phân công'!#REF!='Thù lao'!A7)*(RIGHT('Phân công'!#REF!,3)="04C")*('Phân công'!#REF!="Tiếng Anh"))</f>
        <v>#REF!</v>
      </c>
      <c r="AM7" s="26" t="e">
        <f>SUMPRODUCT(('Phân công'!#REF!='Thù lao'!A7)*(RIGHT('Phân công'!#REF!,3)="14C")*('Phân công'!#REF!="Tiếng Việt"))</f>
        <v>#REF!</v>
      </c>
      <c r="AN7" s="27" t="e">
        <f>SUMPRODUCT(('Phân công'!#REF!='Thù lao'!A7)*(RIGHT('Phân công'!#REF!,3)="14C")*('Phân công'!#REF!="Tiếng Anh"))</f>
        <v>#REF!</v>
      </c>
      <c r="AO7" s="26" t="e">
        <f>SUMPRODUCT(('Phân công'!#REF!='Thù lao'!A7)*(RIGHT('Phân công'!#REF!,3)="4CA"))</f>
        <v>#REF!</v>
      </c>
      <c r="AP7" s="25" t="e">
        <f>SUMPRODUCT(('Phân công'!#REF!='Thù lao'!A7)*(RIGHT('Phân công'!#REF!,3)="404"))</f>
        <v>#REF!</v>
      </c>
      <c r="AQ7" s="29" t="e">
        <f>SUMPRODUCT(('Phân công'!#REF!='Thù lao'!A7)*(RIGHT('Phân công'!#REF!,3)="412"))</f>
        <v>#REF!</v>
      </c>
      <c r="AR7" s="29" t="e">
        <f>SUMPRODUCT(('Phân công'!#REF!='Thù lao'!A7)*(RIGHT('Phân công'!#REF!,3)="414"))</f>
        <v>#REF!</v>
      </c>
      <c r="AS7" s="26" t="e">
        <f>SUMPRODUCT(('Phân công'!#REF!='Thù lao'!A7)*(RIGHT('Phân công'!#REF!,3)="04C")*('Phân công'!#REF!="Tiếng Việt"))</f>
        <v>#REF!</v>
      </c>
      <c r="AT7" s="26" t="e">
        <f>SUMPRODUCT(('Phân công'!#REF!='Thù lao'!A7)*(RIGHT('Phân công'!#REF!,3)="04C")*('Phân công'!#REF!="Tiếng Anh"))</f>
        <v>#REF!</v>
      </c>
      <c r="AU7" s="26" t="e">
        <f>SUMPRODUCT(('Phân công'!#REF!='Thù lao'!A7)*(RIGHT('Phân công'!#REF!,3)="14C")*('Phân công'!#REF!="Tiếng Việt"))</f>
        <v>#REF!</v>
      </c>
      <c r="AV7" s="27" t="e">
        <f>SUMPRODUCT(('Phân công'!#REF!='Thù lao'!A7)*(RIGHT('Phân công'!#REF!,3)="14C")*('Phân công'!#REF!="Tiếng Anh"))</f>
        <v>#REF!</v>
      </c>
      <c r="AW7" s="26" t="e">
        <f>SUMPRODUCT(('Phân công'!#REF!='Thù lao'!A7)*(RIGHT('Phân công'!#REF!,3)="4CA"))</f>
        <v>#REF!</v>
      </c>
      <c r="AX7" s="25" t="e">
        <f t="shared" ref="AX7:BE7" si="13">AP7+AH7+Z7+R7</f>
        <v>#REF!</v>
      </c>
      <c r="AY7" s="25" t="e">
        <f t="shared" si="13"/>
        <v>#REF!</v>
      </c>
      <c r="AZ7" s="25" t="e">
        <f t="shared" si="13"/>
        <v>#REF!</v>
      </c>
      <c r="BA7" s="25" t="e">
        <f t="shared" si="13"/>
        <v>#REF!</v>
      </c>
      <c r="BB7" s="25" t="e">
        <f t="shared" si="13"/>
        <v>#REF!</v>
      </c>
      <c r="BC7" s="25" t="e">
        <f t="shared" si="13"/>
        <v>#REF!</v>
      </c>
      <c r="BD7" s="25" t="e">
        <f t="shared" si="13"/>
        <v>#REF!</v>
      </c>
      <c r="BE7" s="25" t="e">
        <f t="shared" si="13"/>
        <v>#REF!</v>
      </c>
      <c r="BF7" s="30" t="e">
        <f t="shared" si="1"/>
        <v>#REF!</v>
      </c>
      <c r="BG7" s="30" t="e">
        <f t="shared" si="2"/>
        <v>#REF!</v>
      </c>
      <c r="BH7" s="30" t="e">
        <f t="shared" si="3"/>
        <v>#REF!</v>
      </c>
      <c r="BI7" s="30" t="e">
        <f t="shared" si="4"/>
        <v>#REF!</v>
      </c>
      <c r="BJ7" s="30" t="e">
        <f t="shared" si="5"/>
        <v>#REF!</v>
      </c>
      <c r="BK7" s="30" t="e">
        <f t="shared" si="6"/>
        <v>#REF!</v>
      </c>
      <c r="BL7" s="31" t="e">
        <f t="shared" si="7"/>
        <v>#REF!</v>
      </c>
      <c r="BM7" s="31" t="e">
        <f t="shared" si="8"/>
        <v>#REF!</v>
      </c>
      <c r="BN7" s="31" t="e">
        <f t="shared" si="9"/>
        <v>#REF!</v>
      </c>
      <c r="BO7" s="31" t="e">
        <f t="shared" si="10"/>
        <v>#REF!</v>
      </c>
    </row>
    <row r="8" spans="1:67" ht="15.75" customHeight="1" x14ac:dyDescent="0.35">
      <c r="A8" s="2" t="s">
        <v>66</v>
      </c>
      <c r="B8" s="25" t="e">
        <f>SUMPRODUCT(('Phân công'!#REF!=$A8)*('Phân công'!#REF!="X")*(RIGHT('Phân công'!#REF!,3)="404"))</f>
        <v>#REF!</v>
      </c>
      <c r="C8" s="26" t="e">
        <f>SUMPRODUCT(('Phân công'!#REF!=$A8)*('Phân công'!#REF!="X")*(RIGHT('Phân công'!#REF!,3)="412"))</f>
        <v>#REF!</v>
      </c>
      <c r="D8" s="26" t="e">
        <f>SUMPRODUCT(('Phân công'!#REF!=$A8)*('Phân công'!#REF!="X")*(RIGHT('Phân công'!#REF!,3)="414"))</f>
        <v>#REF!</v>
      </c>
      <c r="E8" s="26" t="e">
        <f>SUMPRODUCT(('Phân công'!#REF!=$A8)*('Phân công'!#REF!="X")*(RIGHT('Phân công'!#REF!,4)="404C")*('Phân công'!#REF!="Tiếng Việt"))</f>
        <v>#REF!</v>
      </c>
      <c r="F8" s="26" t="e">
        <f>SUMPRODUCT(('Phân công'!#REF!=$A8)*('Phân công'!#REF!="X")*(RIGHT('Phân công'!#REF!,4)="404C")*('Phân công'!#REF!="Tiếng Anh"))</f>
        <v>#REF!</v>
      </c>
      <c r="G8" s="26" t="e">
        <f>SUMPRODUCT(('Phân công'!#REF!=$A8)*('Phân công'!#REF!="X")*(RIGHT('Phân công'!#REF!,4)="414C")*('Phân công'!#REF!="Tiếng Việt"))</f>
        <v>#REF!</v>
      </c>
      <c r="H8" s="27" t="e">
        <f>SUMPRODUCT(('Phân công'!#REF!=$A8)*('Phân công'!#REF!="X")*(RIGHT('Phân công'!#REF!,4)="414C")*('Phân công'!#REF!="Tiếng Anh"))</f>
        <v>#REF!</v>
      </c>
      <c r="I8" s="28" t="e">
        <f>SUMPRODUCT(('Phân công'!#REF!=$A8)*('Phân công'!#REF!="X")*(RIGHT('Phân công'!#REF!,5)="404CA"))</f>
        <v>#REF!</v>
      </c>
      <c r="J8" s="25" t="e">
        <f>SUMPRODUCT(('Phân công'!#REF!=$A8)*('Phân công'!#REF!="X")*(RIGHT('Phân công'!#REF!,3)="404"))</f>
        <v>#REF!</v>
      </c>
      <c r="K8" s="26" t="e">
        <f>SUMPRODUCT(('Phân công'!#REF!=$A8)*('Phân công'!#REF!="X")*(RIGHT('Phân công'!#REF!,3)="412"))</f>
        <v>#REF!</v>
      </c>
      <c r="L8" s="26" t="e">
        <f>SUMPRODUCT(('Phân công'!#REF!=$A8)*('Phân công'!#REF!="X")*(RIGHT('Phân công'!#REF!,3)="414"))</f>
        <v>#REF!</v>
      </c>
      <c r="M8" s="26" t="e">
        <f>SUMPRODUCT(('Phân công'!#REF!=$A8)*('Phân công'!#REF!="X")*(RIGHT('Phân công'!#REF!,3)="04C")*('Phân công'!#REF!="Tiếng Việt"))</f>
        <v>#REF!</v>
      </c>
      <c r="N8" s="26" t="e">
        <f>SUMPRODUCT(('Phân công'!#REF!=$A8)*('Phân công'!#REF!="X")*(RIGHT('Phân công'!#REF!,3)="04C")*('Phân công'!#REF!="Tiếng Anh"))</f>
        <v>#REF!</v>
      </c>
      <c r="O8" s="26" t="e">
        <f>SUMPRODUCT(('Phân công'!#REF!=$A8)*('Phân công'!#REF!="X")*(RIGHT('Phân công'!#REF!,3)="14C")*('Phân công'!#REF!="Tiếng Việt"))</f>
        <v>#REF!</v>
      </c>
      <c r="P8" s="27" t="e">
        <f>SUMPRODUCT(('Phân công'!#REF!=$A8)*('Phân công'!#REF!="X")*(RIGHT('Phân công'!#REF!,3)="14C")*('Phân công'!#REF!="Tiếng Anh"))</f>
        <v>#REF!</v>
      </c>
      <c r="Q8" s="28" t="e">
        <f>SUMPRODUCT(('Phân công'!#REF!=$A8)*('Phân công'!#REF!="X")*(RIGHT('Phân công'!#REF!,3)="4CA"))</f>
        <v>#REF!</v>
      </c>
      <c r="R8" s="25" t="e">
        <f>SUMPRODUCT(('Phân công'!#REF!='Thù lao'!A8)*(RIGHT('Phân công'!#REF!,3)="404"))</f>
        <v>#REF!</v>
      </c>
      <c r="S8" s="29" t="e">
        <f>SUMPRODUCT(('Phân công'!#REF!='Thù lao'!A8)*(RIGHT('Phân công'!#REF!,3)="412"))</f>
        <v>#REF!</v>
      </c>
      <c r="T8" s="29" t="e">
        <f>SUMPRODUCT(('Phân công'!#REF!='Thù lao'!A8)*(RIGHT('Phân công'!#REF!,3)="414"))</f>
        <v>#REF!</v>
      </c>
      <c r="U8" s="26" t="e">
        <f>SUMPRODUCT(('Phân công'!#REF!='Thù lao'!A8)*(RIGHT('Phân công'!#REF!,3)="04C")*('Phân công'!#REF!="Tiếng Việt"))</f>
        <v>#REF!</v>
      </c>
      <c r="V8" s="26" t="e">
        <f>SUMPRODUCT(('Phân công'!#REF!='Thù lao'!A8)*(RIGHT('Phân công'!#REF!,3)="04C")*('Phân công'!#REF!="Tiếng Anh"))</f>
        <v>#REF!</v>
      </c>
      <c r="W8" s="26" t="e">
        <f>SUMPRODUCT(('Phân công'!#REF!='Thù lao'!A8)*(RIGHT('Phân công'!#REF!,3)="14C")*('Phân công'!#REF!="Tiếng Việt"))</f>
        <v>#REF!</v>
      </c>
      <c r="X8" s="27" t="e">
        <f>SUMPRODUCT(('Phân công'!#REF!='Thù lao'!A8)*(RIGHT('Phân công'!#REF!,3)="14C")*('Phân công'!#REF!="Tiếng Anh"))</f>
        <v>#REF!</v>
      </c>
      <c r="Y8" s="26" t="e">
        <f>SUMPRODUCT(('Phân công'!#REF!='Thù lao'!A8)*(RIGHT('Phân công'!#REF!,3)="4CA"))</f>
        <v>#REF!</v>
      </c>
      <c r="Z8" s="25" t="e">
        <f>SUMPRODUCT(('Phân công'!#REF!='Thù lao'!A8)*(RIGHT('Phân công'!#REF!,3)="404"))</f>
        <v>#REF!</v>
      </c>
      <c r="AA8" s="29" t="e">
        <f>SUMPRODUCT(('Phân công'!#REF!='Thù lao'!A8)*(RIGHT('Phân công'!#REF!,3)="412"))</f>
        <v>#REF!</v>
      </c>
      <c r="AB8" s="29" t="e">
        <f>SUMPRODUCT(('Phân công'!#REF!='Thù lao'!A8)*(RIGHT('Phân công'!#REF!,3)="414"))</f>
        <v>#REF!</v>
      </c>
      <c r="AC8" s="26" t="e">
        <f>SUMPRODUCT(('Phân công'!#REF!='Thù lao'!A8)*(RIGHT('Phân công'!#REF!,3)="04C")*('Phân công'!#REF!="Tiếng Việt"))</f>
        <v>#REF!</v>
      </c>
      <c r="AD8" s="26" t="e">
        <f>SUMPRODUCT(('Phân công'!#REF!='Thù lao'!A8)*(RIGHT('Phân công'!#REF!,3)="04C")*('Phân công'!#REF!="Tiếng Anh"))</f>
        <v>#REF!</v>
      </c>
      <c r="AE8" s="26" t="e">
        <f>SUMPRODUCT(('Phân công'!#REF!='Thù lao'!A8)*(RIGHT('Phân công'!#REF!,3)="14C")*('Phân công'!#REF!="Tiếng Việt"))</f>
        <v>#REF!</v>
      </c>
      <c r="AF8" s="27" t="e">
        <f>SUMPRODUCT(('Phân công'!#REF!='Thù lao'!A8)*(RIGHT('Phân công'!#REF!,3)="14C")*('Phân công'!#REF!="Tiếng Anh"))</f>
        <v>#REF!</v>
      </c>
      <c r="AG8" s="26" t="e">
        <f>SUMPRODUCT(('Phân công'!#REF!='Thù lao'!A8)*(RIGHT('Phân công'!#REF!,3)="4CA"))</f>
        <v>#REF!</v>
      </c>
      <c r="AH8" s="25" t="e">
        <f>SUMPRODUCT(('Phân công'!#REF!='Thù lao'!A8)*(RIGHT('Phân công'!#REF!,3)="404"))</f>
        <v>#REF!</v>
      </c>
      <c r="AI8" s="29" t="e">
        <f>SUMPRODUCT(('Phân công'!#REF!='Thù lao'!A8)*(RIGHT('Phân công'!#REF!,3)="412"))</f>
        <v>#REF!</v>
      </c>
      <c r="AJ8" s="29" t="e">
        <f>SUMPRODUCT(('Phân công'!#REF!='Thù lao'!A8)*(RIGHT('Phân công'!#REF!,3)="414"))</f>
        <v>#REF!</v>
      </c>
      <c r="AK8" s="26" t="e">
        <f>SUMPRODUCT(('Phân công'!#REF!='Thù lao'!A8)*(RIGHT('Phân công'!#REF!,3)="04C")*('Phân công'!#REF!="Tiếng Việt"))</f>
        <v>#REF!</v>
      </c>
      <c r="AL8" s="26" t="e">
        <f>SUMPRODUCT(('Phân công'!#REF!='Thù lao'!A8)*(RIGHT('Phân công'!#REF!,3)="04C")*('Phân công'!#REF!="Tiếng Anh"))</f>
        <v>#REF!</v>
      </c>
      <c r="AM8" s="26" t="e">
        <f>SUMPRODUCT(('Phân công'!#REF!='Thù lao'!A8)*(RIGHT('Phân công'!#REF!,3)="14C")*('Phân công'!#REF!="Tiếng Việt"))</f>
        <v>#REF!</v>
      </c>
      <c r="AN8" s="27" t="e">
        <f>SUMPRODUCT(('Phân công'!#REF!='Thù lao'!A8)*(RIGHT('Phân công'!#REF!,3)="14C")*('Phân công'!#REF!="Tiếng Anh"))</f>
        <v>#REF!</v>
      </c>
      <c r="AO8" s="26" t="e">
        <f>SUMPRODUCT(('Phân công'!#REF!='Thù lao'!A8)*(RIGHT('Phân công'!#REF!,3)="4CA"))</f>
        <v>#REF!</v>
      </c>
      <c r="AP8" s="25" t="e">
        <f>SUMPRODUCT(('Phân công'!#REF!='Thù lao'!A8)*(RIGHT('Phân công'!#REF!,3)="404"))</f>
        <v>#REF!</v>
      </c>
      <c r="AQ8" s="29" t="e">
        <f>SUMPRODUCT(('Phân công'!#REF!='Thù lao'!A8)*(RIGHT('Phân công'!#REF!,3)="412"))</f>
        <v>#REF!</v>
      </c>
      <c r="AR8" s="29" t="e">
        <f>SUMPRODUCT(('Phân công'!#REF!='Thù lao'!A8)*(RIGHT('Phân công'!#REF!,3)="414"))</f>
        <v>#REF!</v>
      </c>
      <c r="AS8" s="26" t="e">
        <f>SUMPRODUCT(('Phân công'!#REF!='Thù lao'!A8)*(RIGHT('Phân công'!#REF!,3)="04C")*('Phân công'!#REF!="Tiếng Việt"))</f>
        <v>#REF!</v>
      </c>
      <c r="AT8" s="26" t="e">
        <f>SUMPRODUCT(('Phân công'!#REF!='Thù lao'!A8)*(RIGHT('Phân công'!#REF!,3)="04C")*('Phân công'!#REF!="Tiếng Anh"))</f>
        <v>#REF!</v>
      </c>
      <c r="AU8" s="26" t="e">
        <f>SUMPRODUCT(('Phân công'!#REF!='Thù lao'!A8)*(RIGHT('Phân công'!#REF!,3)="14C")*('Phân công'!#REF!="Tiếng Việt"))</f>
        <v>#REF!</v>
      </c>
      <c r="AV8" s="27" t="e">
        <f>SUMPRODUCT(('Phân công'!#REF!='Thù lao'!A8)*(RIGHT('Phân công'!#REF!,3)="14C")*('Phân công'!#REF!="Tiếng Anh"))</f>
        <v>#REF!</v>
      </c>
      <c r="AW8" s="26" t="e">
        <f>SUMPRODUCT(('Phân công'!#REF!='Thù lao'!A8)*(RIGHT('Phân công'!#REF!,3)="4CA"))</f>
        <v>#REF!</v>
      </c>
      <c r="AX8" s="25" t="e">
        <f t="shared" ref="AX8:BE8" si="14">AP8+AH8+Z8+R8</f>
        <v>#REF!</v>
      </c>
      <c r="AY8" s="25" t="e">
        <f t="shared" si="14"/>
        <v>#REF!</v>
      </c>
      <c r="AZ8" s="25" t="e">
        <f t="shared" si="14"/>
        <v>#REF!</v>
      </c>
      <c r="BA8" s="25" t="e">
        <f t="shared" si="14"/>
        <v>#REF!</v>
      </c>
      <c r="BB8" s="25" t="e">
        <f t="shared" si="14"/>
        <v>#REF!</v>
      </c>
      <c r="BC8" s="25" t="e">
        <f t="shared" si="14"/>
        <v>#REF!</v>
      </c>
      <c r="BD8" s="25" t="e">
        <f t="shared" si="14"/>
        <v>#REF!</v>
      </c>
      <c r="BE8" s="25" t="e">
        <f t="shared" si="14"/>
        <v>#REF!</v>
      </c>
      <c r="BF8" s="30" t="e">
        <f t="shared" si="1"/>
        <v>#REF!</v>
      </c>
      <c r="BG8" s="30" t="e">
        <f t="shared" si="2"/>
        <v>#REF!</v>
      </c>
      <c r="BH8" s="30" t="e">
        <f t="shared" si="3"/>
        <v>#REF!</v>
      </c>
      <c r="BI8" s="30" t="e">
        <f t="shared" si="4"/>
        <v>#REF!</v>
      </c>
      <c r="BJ8" s="30" t="e">
        <f t="shared" si="5"/>
        <v>#REF!</v>
      </c>
      <c r="BK8" s="30" t="e">
        <f t="shared" si="6"/>
        <v>#REF!</v>
      </c>
      <c r="BL8" s="31" t="e">
        <f t="shared" si="7"/>
        <v>#REF!</v>
      </c>
      <c r="BM8" s="31" t="e">
        <f t="shared" si="8"/>
        <v>#REF!</v>
      </c>
      <c r="BN8" s="31" t="e">
        <f t="shared" si="9"/>
        <v>#REF!</v>
      </c>
      <c r="BO8" s="31" t="e">
        <f t="shared" si="10"/>
        <v>#REF!</v>
      </c>
    </row>
    <row r="9" spans="1:67" ht="15.75" customHeight="1" x14ac:dyDescent="0.35">
      <c r="A9" s="2" t="s">
        <v>9</v>
      </c>
      <c r="B9" s="25" t="e">
        <f>SUMPRODUCT(('Phân công'!#REF!=$A9)*('Phân công'!#REF!="X")*(RIGHT('Phân công'!#REF!,3)="404"))</f>
        <v>#REF!</v>
      </c>
      <c r="C9" s="26" t="e">
        <f>SUMPRODUCT(('Phân công'!#REF!=$A9)*('Phân công'!#REF!="X")*(RIGHT('Phân công'!#REF!,3)="412"))</f>
        <v>#REF!</v>
      </c>
      <c r="D9" s="26" t="e">
        <f>SUMPRODUCT(('Phân công'!#REF!=$A9)*('Phân công'!#REF!="X")*(RIGHT('Phân công'!#REF!,3)="414"))</f>
        <v>#REF!</v>
      </c>
      <c r="E9" s="26" t="e">
        <f>SUMPRODUCT(('Phân công'!#REF!=$A9)*('Phân công'!#REF!="X")*(RIGHT('Phân công'!#REF!,4)="404C")*('Phân công'!#REF!="Tiếng Việt"))</f>
        <v>#REF!</v>
      </c>
      <c r="F9" s="26" t="e">
        <f>SUMPRODUCT(('Phân công'!#REF!=$A9)*('Phân công'!#REF!="X")*(RIGHT('Phân công'!#REF!,4)="404C")*('Phân công'!#REF!="Tiếng Anh"))</f>
        <v>#REF!</v>
      </c>
      <c r="G9" s="26" t="e">
        <f>SUMPRODUCT(('Phân công'!#REF!=$A9)*('Phân công'!#REF!="X")*(RIGHT('Phân công'!#REF!,4)="414C")*('Phân công'!#REF!="Tiếng Việt"))</f>
        <v>#REF!</v>
      </c>
      <c r="H9" s="27" t="e">
        <f>SUMPRODUCT(('Phân công'!#REF!=$A9)*('Phân công'!#REF!="X")*(RIGHT('Phân công'!#REF!,4)="414C")*('Phân công'!#REF!="Tiếng Anh"))</f>
        <v>#REF!</v>
      </c>
      <c r="I9" s="28" t="e">
        <f>SUMPRODUCT(('Phân công'!#REF!=$A9)*('Phân công'!#REF!="X")*(RIGHT('Phân công'!#REF!,5)="404CA"))</f>
        <v>#REF!</v>
      </c>
      <c r="J9" s="25" t="e">
        <f>SUMPRODUCT(('Phân công'!#REF!=$A9)*('Phân công'!#REF!="X")*(RIGHT('Phân công'!#REF!,3)="404"))</f>
        <v>#REF!</v>
      </c>
      <c r="K9" s="26" t="e">
        <f>SUMPRODUCT(('Phân công'!#REF!=$A9)*('Phân công'!#REF!="X")*(RIGHT('Phân công'!#REF!,3)="412"))</f>
        <v>#REF!</v>
      </c>
      <c r="L9" s="26" t="e">
        <f>SUMPRODUCT(('Phân công'!#REF!=$A9)*('Phân công'!#REF!="X")*(RIGHT('Phân công'!#REF!,3)="414"))</f>
        <v>#REF!</v>
      </c>
      <c r="M9" s="26" t="e">
        <f>SUMPRODUCT(('Phân công'!#REF!=$A9)*('Phân công'!#REF!="X")*(RIGHT('Phân công'!#REF!,3)="04C")*('Phân công'!#REF!="Tiếng Việt"))</f>
        <v>#REF!</v>
      </c>
      <c r="N9" s="26" t="e">
        <f>SUMPRODUCT(('Phân công'!#REF!=$A9)*('Phân công'!#REF!="X")*(RIGHT('Phân công'!#REF!,3)="04C")*('Phân công'!#REF!="Tiếng Anh"))</f>
        <v>#REF!</v>
      </c>
      <c r="O9" s="26" t="e">
        <f>SUMPRODUCT(('Phân công'!#REF!=$A9)*('Phân công'!#REF!="X")*(RIGHT('Phân công'!#REF!,3)="14C")*('Phân công'!#REF!="Tiếng Việt"))</f>
        <v>#REF!</v>
      </c>
      <c r="P9" s="27" t="e">
        <f>SUMPRODUCT(('Phân công'!#REF!=$A9)*('Phân công'!#REF!="X")*(RIGHT('Phân công'!#REF!,3)="14C")*('Phân công'!#REF!="Tiếng Anh"))</f>
        <v>#REF!</v>
      </c>
      <c r="Q9" s="28" t="e">
        <f>SUMPRODUCT(('Phân công'!#REF!=$A9)*('Phân công'!#REF!="X")*(RIGHT('Phân công'!#REF!,3)="4CA"))</f>
        <v>#REF!</v>
      </c>
      <c r="R9" s="25" t="e">
        <f>SUMPRODUCT(('Phân công'!#REF!='Thù lao'!A9)*(RIGHT('Phân công'!#REF!,3)="404"))</f>
        <v>#REF!</v>
      </c>
      <c r="S9" s="29" t="e">
        <f>SUMPRODUCT(('Phân công'!#REF!='Thù lao'!A9)*(RIGHT('Phân công'!#REF!,3)="412"))</f>
        <v>#REF!</v>
      </c>
      <c r="T9" s="29" t="e">
        <f>SUMPRODUCT(('Phân công'!#REF!='Thù lao'!A9)*(RIGHT('Phân công'!#REF!,3)="414"))</f>
        <v>#REF!</v>
      </c>
      <c r="U9" s="26" t="e">
        <f>SUMPRODUCT(('Phân công'!#REF!='Thù lao'!A9)*(RIGHT('Phân công'!#REF!,3)="04C")*('Phân công'!#REF!="Tiếng Việt"))</f>
        <v>#REF!</v>
      </c>
      <c r="V9" s="26" t="e">
        <f>SUMPRODUCT(('Phân công'!#REF!='Thù lao'!A9)*(RIGHT('Phân công'!#REF!,3)="04C")*('Phân công'!#REF!="Tiếng Anh"))</f>
        <v>#REF!</v>
      </c>
      <c r="W9" s="26" t="e">
        <f>SUMPRODUCT(('Phân công'!#REF!='Thù lao'!A9)*(RIGHT('Phân công'!#REF!,3)="14C")*('Phân công'!#REF!="Tiếng Việt"))</f>
        <v>#REF!</v>
      </c>
      <c r="X9" s="27" t="e">
        <f>SUMPRODUCT(('Phân công'!#REF!='Thù lao'!A9)*(RIGHT('Phân công'!#REF!,3)="14C")*('Phân công'!#REF!="Tiếng Anh"))</f>
        <v>#REF!</v>
      </c>
      <c r="Y9" s="26" t="e">
        <f>SUMPRODUCT(('Phân công'!#REF!='Thù lao'!A9)*(RIGHT('Phân công'!#REF!,3)="4CA"))</f>
        <v>#REF!</v>
      </c>
      <c r="Z9" s="25" t="e">
        <f>SUMPRODUCT(('Phân công'!#REF!='Thù lao'!A9)*(RIGHT('Phân công'!#REF!,3)="404"))</f>
        <v>#REF!</v>
      </c>
      <c r="AA9" s="29" t="e">
        <f>SUMPRODUCT(('Phân công'!#REF!='Thù lao'!A9)*(RIGHT('Phân công'!#REF!,3)="412"))</f>
        <v>#REF!</v>
      </c>
      <c r="AB9" s="29" t="e">
        <f>SUMPRODUCT(('Phân công'!#REF!='Thù lao'!A9)*(RIGHT('Phân công'!#REF!,3)="414"))</f>
        <v>#REF!</v>
      </c>
      <c r="AC9" s="26" t="e">
        <f>SUMPRODUCT(('Phân công'!#REF!='Thù lao'!A9)*(RIGHT('Phân công'!#REF!,3)="04C")*('Phân công'!#REF!="Tiếng Việt"))</f>
        <v>#REF!</v>
      </c>
      <c r="AD9" s="26" t="e">
        <f>SUMPRODUCT(('Phân công'!#REF!='Thù lao'!A9)*(RIGHT('Phân công'!#REF!,3)="04C")*('Phân công'!#REF!="Tiếng Anh"))</f>
        <v>#REF!</v>
      </c>
      <c r="AE9" s="26" t="e">
        <f>SUMPRODUCT(('Phân công'!#REF!='Thù lao'!A9)*(RIGHT('Phân công'!#REF!,3)="14C")*('Phân công'!#REF!="Tiếng Việt"))</f>
        <v>#REF!</v>
      </c>
      <c r="AF9" s="27" t="e">
        <f>SUMPRODUCT(('Phân công'!#REF!='Thù lao'!A9)*(RIGHT('Phân công'!#REF!,3)="14C")*('Phân công'!#REF!="Tiếng Anh"))</f>
        <v>#REF!</v>
      </c>
      <c r="AG9" s="26" t="e">
        <f>SUMPRODUCT(('Phân công'!#REF!='Thù lao'!A9)*(RIGHT('Phân công'!#REF!,3)="4CA"))</f>
        <v>#REF!</v>
      </c>
      <c r="AH9" s="25" t="e">
        <f>SUMPRODUCT(('Phân công'!#REF!='Thù lao'!A9)*(RIGHT('Phân công'!#REF!,3)="404"))</f>
        <v>#REF!</v>
      </c>
      <c r="AI9" s="29" t="e">
        <f>SUMPRODUCT(('Phân công'!#REF!='Thù lao'!A9)*(RIGHT('Phân công'!#REF!,3)="412"))</f>
        <v>#REF!</v>
      </c>
      <c r="AJ9" s="29" t="e">
        <f>SUMPRODUCT(('Phân công'!#REF!='Thù lao'!A9)*(RIGHT('Phân công'!#REF!,3)="414"))</f>
        <v>#REF!</v>
      </c>
      <c r="AK9" s="26" t="e">
        <f>SUMPRODUCT(('Phân công'!#REF!='Thù lao'!A9)*(RIGHT('Phân công'!#REF!,3)="04C")*('Phân công'!#REF!="Tiếng Việt"))</f>
        <v>#REF!</v>
      </c>
      <c r="AL9" s="26" t="e">
        <f>SUMPRODUCT(('Phân công'!#REF!='Thù lao'!A9)*(RIGHT('Phân công'!#REF!,3)="04C")*('Phân công'!#REF!="Tiếng Anh"))</f>
        <v>#REF!</v>
      </c>
      <c r="AM9" s="26" t="e">
        <f>SUMPRODUCT(('Phân công'!#REF!='Thù lao'!A9)*(RIGHT('Phân công'!#REF!,3)="14C")*('Phân công'!#REF!="Tiếng Việt"))</f>
        <v>#REF!</v>
      </c>
      <c r="AN9" s="27" t="e">
        <f>SUMPRODUCT(('Phân công'!#REF!='Thù lao'!A9)*(RIGHT('Phân công'!#REF!,3)="14C")*('Phân công'!#REF!="Tiếng Anh"))</f>
        <v>#REF!</v>
      </c>
      <c r="AO9" s="26" t="e">
        <f>SUMPRODUCT(('Phân công'!#REF!='Thù lao'!A9)*(RIGHT('Phân công'!#REF!,3)="4CA"))</f>
        <v>#REF!</v>
      </c>
      <c r="AP9" s="25" t="e">
        <f>SUMPRODUCT(('Phân công'!#REF!='Thù lao'!A9)*(RIGHT('Phân công'!#REF!,3)="404"))</f>
        <v>#REF!</v>
      </c>
      <c r="AQ9" s="29" t="e">
        <f>SUMPRODUCT(('Phân công'!#REF!='Thù lao'!A9)*(RIGHT('Phân công'!#REF!,3)="412"))</f>
        <v>#REF!</v>
      </c>
      <c r="AR9" s="29" t="e">
        <f>SUMPRODUCT(('Phân công'!#REF!='Thù lao'!A9)*(RIGHT('Phân công'!#REF!,3)="414"))</f>
        <v>#REF!</v>
      </c>
      <c r="AS9" s="26" t="e">
        <f>SUMPRODUCT(('Phân công'!#REF!='Thù lao'!A9)*(RIGHT('Phân công'!#REF!,3)="04C")*('Phân công'!#REF!="Tiếng Việt"))</f>
        <v>#REF!</v>
      </c>
      <c r="AT9" s="26" t="e">
        <f>SUMPRODUCT(('Phân công'!#REF!='Thù lao'!A9)*(RIGHT('Phân công'!#REF!,3)="04C")*('Phân công'!#REF!="Tiếng Anh"))</f>
        <v>#REF!</v>
      </c>
      <c r="AU9" s="26" t="e">
        <f>SUMPRODUCT(('Phân công'!#REF!='Thù lao'!A9)*(RIGHT('Phân công'!#REF!,3)="14C")*('Phân công'!#REF!="Tiếng Việt"))</f>
        <v>#REF!</v>
      </c>
      <c r="AV9" s="27" t="e">
        <f>SUMPRODUCT(('Phân công'!#REF!='Thù lao'!A9)*(RIGHT('Phân công'!#REF!,3)="14C")*('Phân công'!#REF!="Tiếng Anh"))</f>
        <v>#REF!</v>
      </c>
      <c r="AW9" s="26" t="e">
        <f>SUMPRODUCT(('Phân công'!#REF!='Thù lao'!A9)*(RIGHT('Phân công'!#REF!,3)="4CA"))</f>
        <v>#REF!</v>
      </c>
      <c r="AX9" s="25" t="e">
        <f t="shared" ref="AX9:BE9" si="15">AP9+AH9+Z9+R9</f>
        <v>#REF!</v>
      </c>
      <c r="AY9" s="25" t="e">
        <f t="shared" si="15"/>
        <v>#REF!</v>
      </c>
      <c r="AZ9" s="25" t="e">
        <f t="shared" si="15"/>
        <v>#REF!</v>
      </c>
      <c r="BA9" s="25" t="e">
        <f t="shared" si="15"/>
        <v>#REF!</v>
      </c>
      <c r="BB9" s="25" t="e">
        <f t="shared" si="15"/>
        <v>#REF!</v>
      </c>
      <c r="BC9" s="25" t="e">
        <f t="shared" si="15"/>
        <v>#REF!</v>
      </c>
      <c r="BD9" s="25" t="e">
        <f t="shared" si="15"/>
        <v>#REF!</v>
      </c>
      <c r="BE9" s="25" t="e">
        <f t="shared" si="15"/>
        <v>#REF!</v>
      </c>
      <c r="BF9" s="30" t="e">
        <f t="shared" si="1"/>
        <v>#REF!</v>
      </c>
      <c r="BG9" s="30" t="e">
        <f t="shared" si="2"/>
        <v>#REF!</v>
      </c>
      <c r="BH9" s="30" t="e">
        <f t="shared" si="3"/>
        <v>#REF!</v>
      </c>
      <c r="BI9" s="30" t="e">
        <f t="shared" si="4"/>
        <v>#REF!</v>
      </c>
      <c r="BJ9" s="30" t="e">
        <f t="shared" si="5"/>
        <v>#REF!</v>
      </c>
      <c r="BK9" s="30" t="e">
        <f t="shared" si="6"/>
        <v>#REF!</v>
      </c>
      <c r="BL9" s="31" t="e">
        <f t="shared" si="7"/>
        <v>#REF!</v>
      </c>
      <c r="BM9" s="31" t="e">
        <f t="shared" si="8"/>
        <v>#REF!</v>
      </c>
      <c r="BN9" s="31" t="e">
        <f t="shared" si="9"/>
        <v>#REF!</v>
      </c>
      <c r="BO9" s="31" t="e">
        <f t="shared" si="10"/>
        <v>#REF!</v>
      </c>
    </row>
    <row r="10" spans="1:67" ht="15.75" customHeight="1" x14ac:dyDescent="0.35">
      <c r="A10" s="2" t="s">
        <v>100</v>
      </c>
      <c r="B10" s="25" t="e">
        <f>SUMPRODUCT(('Phân công'!#REF!=$A10)*('Phân công'!#REF!="X")*(RIGHT('Phân công'!#REF!,3)="404"))</f>
        <v>#REF!</v>
      </c>
      <c r="C10" s="26" t="e">
        <f>SUMPRODUCT(('Phân công'!#REF!=$A10)*('Phân công'!#REF!="X")*(RIGHT('Phân công'!#REF!,3)="412"))</f>
        <v>#REF!</v>
      </c>
      <c r="D10" s="26" t="e">
        <f>SUMPRODUCT(('Phân công'!#REF!=$A10)*('Phân công'!#REF!="X")*(RIGHT('Phân công'!#REF!,3)="414"))</f>
        <v>#REF!</v>
      </c>
      <c r="E10" s="26" t="e">
        <f>SUMPRODUCT(('Phân công'!#REF!=$A10)*('Phân công'!#REF!="X")*(RIGHT('Phân công'!#REF!,4)="404C")*('Phân công'!#REF!="Tiếng Việt"))</f>
        <v>#REF!</v>
      </c>
      <c r="F10" s="26" t="e">
        <f>SUMPRODUCT(('Phân công'!#REF!=$A10)*('Phân công'!#REF!="X")*(RIGHT('Phân công'!#REF!,4)="404C")*('Phân công'!#REF!="Tiếng Anh"))</f>
        <v>#REF!</v>
      </c>
      <c r="G10" s="26" t="e">
        <f>SUMPRODUCT(('Phân công'!#REF!=$A10)*('Phân công'!#REF!="X")*(RIGHT('Phân công'!#REF!,4)="414C")*('Phân công'!#REF!="Tiếng Việt"))</f>
        <v>#REF!</v>
      </c>
      <c r="H10" s="27" t="e">
        <f>SUMPRODUCT(('Phân công'!#REF!=$A10)*('Phân công'!#REF!="X")*(RIGHT('Phân công'!#REF!,4)="414C")*('Phân công'!#REF!="Tiếng Anh"))</f>
        <v>#REF!</v>
      </c>
      <c r="I10" s="28" t="e">
        <f>SUMPRODUCT(('Phân công'!#REF!=$A10)*('Phân công'!#REF!="X")*(RIGHT('Phân công'!#REF!,5)="404CA"))</f>
        <v>#REF!</v>
      </c>
      <c r="J10" s="25" t="e">
        <f>SUMPRODUCT(('Phân công'!#REF!=$A10)*('Phân công'!#REF!="X")*(RIGHT('Phân công'!#REF!,3)="404"))</f>
        <v>#REF!</v>
      </c>
      <c r="K10" s="26" t="e">
        <f>SUMPRODUCT(('Phân công'!#REF!=$A10)*('Phân công'!#REF!="X")*(RIGHT('Phân công'!#REF!,3)="412"))</f>
        <v>#REF!</v>
      </c>
      <c r="L10" s="26" t="e">
        <f>SUMPRODUCT(('Phân công'!#REF!=$A10)*('Phân công'!#REF!="X")*(RIGHT('Phân công'!#REF!,3)="414"))</f>
        <v>#REF!</v>
      </c>
      <c r="M10" s="26" t="e">
        <f>SUMPRODUCT(('Phân công'!#REF!=$A10)*('Phân công'!#REF!="X")*(RIGHT('Phân công'!#REF!,3)="04C")*('Phân công'!#REF!="Tiếng Việt"))</f>
        <v>#REF!</v>
      </c>
      <c r="N10" s="26" t="e">
        <f>SUMPRODUCT(('Phân công'!#REF!=$A10)*('Phân công'!#REF!="X")*(RIGHT('Phân công'!#REF!,3)="04C")*('Phân công'!#REF!="Tiếng Anh"))</f>
        <v>#REF!</v>
      </c>
      <c r="O10" s="26" t="e">
        <f>SUMPRODUCT(('Phân công'!#REF!=$A10)*('Phân công'!#REF!="X")*(RIGHT('Phân công'!#REF!,3)="14C")*('Phân công'!#REF!="Tiếng Việt"))</f>
        <v>#REF!</v>
      </c>
      <c r="P10" s="27" t="e">
        <f>SUMPRODUCT(('Phân công'!#REF!=$A10)*('Phân công'!#REF!="X")*(RIGHT('Phân công'!#REF!,3)="14C")*('Phân công'!#REF!="Tiếng Anh"))</f>
        <v>#REF!</v>
      </c>
      <c r="Q10" s="28" t="e">
        <f>SUMPRODUCT(('Phân công'!#REF!=$A10)*('Phân công'!#REF!="X")*(RIGHT('Phân công'!#REF!,3)="4CA"))</f>
        <v>#REF!</v>
      </c>
      <c r="R10" s="25" t="e">
        <f>SUMPRODUCT(('Phân công'!#REF!='Thù lao'!A10)*(RIGHT('Phân công'!#REF!,3)="404"))</f>
        <v>#REF!</v>
      </c>
      <c r="S10" s="29" t="e">
        <f>SUMPRODUCT(('Phân công'!#REF!='Thù lao'!A10)*(RIGHT('Phân công'!#REF!,3)="412"))</f>
        <v>#REF!</v>
      </c>
      <c r="T10" s="29" t="e">
        <f>SUMPRODUCT(('Phân công'!#REF!='Thù lao'!A10)*(RIGHT('Phân công'!#REF!,3)="414"))</f>
        <v>#REF!</v>
      </c>
      <c r="U10" s="26" t="e">
        <f>SUMPRODUCT(('Phân công'!#REF!='Thù lao'!A10)*(RIGHT('Phân công'!#REF!,3)="04C")*('Phân công'!#REF!="Tiếng Việt"))</f>
        <v>#REF!</v>
      </c>
      <c r="V10" s="26" t="e">
        <f>SUMPRODUCT(('Phân công'!#REF!='Thù lao'!A10)*(RIGHT('Phân công'!#REF!,3)="04C")*('Phân công'!#REF!="Tiếng Anh"))</f>
        <v>#REF!</v>
      </c>
      <c r="W10" s="26" t="e">
        <f>SUMPRODUCT(('Phân công'!#REF!='Thù lao'!A10)*(RIGHT('Phân công'!#REF!,3)="14C")*('Phân công'!#REF!="Tiếng Việt"))</f>
        <v>#REF!</v>
      </c>
      <c r="X10" s="27" t="e">
        <f>SUMPRODUCT(('Phân công'!#REF!='Thù lao'!A10)*(RIGHT('Phân công'!#REF!,3)="14C")*('Phân công'!#REF!="Tiếng Anh"))</f>
        <v>#REF!</v>
      </c>
      <c r="Y10" s="26" t="e">
        <f>SUMPRODUCT(('Phân công'!#REF!='Thù lao'!A10)*(RIGHT('Phân công'!#REF!,3)="4CA"))</f>
        <v>#REF!</v>
      </c>
      <c r="Z10" s="25" t="e">
        <f>SUMPRODUCT(('Phân công'!#REF!='Thù lao'!A10)*(RIGHT('Phân công'!#REF!,3)="404"))</f>
        <v>#REF!</v>
      </c>
      <c r="AA10" s="29" t="e">
        <f>SUMPRODUCT(('Phân công'!#REF!='Thù lao'!A10)*(RIGHT('Phân công'!#REF!,3)="412"))</f>
        <v>#REF!</v>
      </c>
      <c r="AB10" s="29" t="e">
        <f>SUMPRODUCT(('Phân công'!#REF!='Thù lao'!A10)*(RIGHT('Phân công'!#REF!,3)="414"))</f>
        <v>#REF!</v>
      </c>
      <c r="AC10" s="26" t="e">
        <f>SUMPRODUCT(('Phân công'!#REF!='Thù lao'!A10)*(RIGHT('Phân công'!#REF!,3)="04C")*('Phân công'!#REF!="Tiếng Việt"))</f>
        <v>#REF!</v>
      </c>
      <c r="AD10" s="26" t="e">
        <f>SUMPRODUCT(('Phân công'!#REF!='Thù lao'!A10)*(RIGHT('Phân công'!#REF!,3)="04C")*('Phân công'!#REF!="Tiếng Anh"))</f>
        <v>#REF!</v>
      </c>
      <c r="AE10" s="26" t="e">
        <f>SUMPRODUCT(('Phân công'!#REF!='Thù lao'!A10)*(RIGHT('Phân công'!#REF!,3)="14C")*('Phân công'!#REF!="Tiếng Việt"))</f>
        <v>#REF!</v>
      </c>
      <c r="AF10" s="27" t="e">
        <f>SUMPRODUCT(('Phân công'!#REF!='Thù lao'!A10)*(RIGHT('Phân công'!#REF!,3)="14C")*('Phân công'!#REF!="Tiếng Anh"))</f>
        <v>#REF!</v>
      </c>
      <c r="AG10" s="26" t="e">
        <f>SUMPRODUCT(('Phân công'!#REF!='Thù lao'!A10)*(RIGHT('Phân công'!#REF!,3)="4CA"))</f>
        <v>#REF!</v>
      </c>
      <c r="AH10" s="25" t="e">
        <f>SUMPRODUCT(('Phân công'!#REF!='Thù lao'!A10)*(RIGHT('Phân công'!#REF!,3)="404"))</f>
        <v>#REF!</v>
      </c>
      <c r="AI10" s="29" t="e">
        <f>SUMPRODUCT(('Phân công'!#REF!='Thù lao'!A10)*(RIGHT('Phân công'!#REF!,3)="412"))</f>
        <v>#REF!</v>
      </c>
      <c r="AJ10" s="29" t="e">
        <f>SUMPRODUCT(('Phân công'!#REF!='Thù lao'!A10)*(RIGHT('Phân công'!#REF!,3)="414"))</f>
        <v>#REF!</v>
      </c>
      <c r="AK10" s="26" t="e">
        <f>SUMPRODUCT(('Phân công'!#REF!='Thù lao'!A10)*(RIGHT('Phân công'!#REF!,3)="04C")*('Phân công'!#REF!="Tiếng Việt"))</f>
        <v>#REF!</v>
      </c>
      <c r="AL10" s="26" t="e">
        <f>SUMPRODUCT(('Phân công'!#REF!='Thù lao'!A10)*(RIGHT('Phân công'!#REF!,3)="04C")*('Phân công'!#REF!="Tiếng Anh"))</f>
        <v>#REF!</v>
      </c>
      <c r="AM10" s="26" t="e">
        <f>SUMPRODUCT(('Phân công'!#REF!='Thù lao'!A10)*(RIGHT('Phân công'!#REF!,3)="14C")*('Phân công'!#REF!="Tiếng Việt"))</f>
        <v>#REF!</v>
      </c>
      <c r="AN10" s="27" t="e">
        <f>SUMPRODUCT(('Phân công'!#REF!='Thù lao'!A10)*(RIGHT('Phân công'!#REF!,3)="14C")*('Phân công'!#REF!="Tiếng Anh"))</f>
        <v>#REF!</v>
      </c>
      <c r="AO10" s="26" t="e">
        <f>SUMPRODUCT(('Phân công'!#REF!='Thù lao'!A10)*(RIGHT('Phân công'!#REF!,3)="4CA"))</f>
        <v>#REF!</v>
      </c>
      <c r="AP10" s="25" t="e">
        <f>SUMPRODUCT(('Phân công'!#REF!='Thù lao'!A10)*(RIGHT('Phân công'!#REF!,3)="404"))</f>
        <v>#REF!</v>
      </c>
      <c r="AQ10" s="29" t="e">
        <f>SUMPRODUCT(('Phân công'!#REF!='Thù lao'!A10)*(RIGHT('Phân công'!#REF!,3)="412"))</f>
        <v>#REF!</v>
      </c>
      <c r="AR10" s="29" t="e">
        <f>SUMPRODUCT(('Phân công'!#REF!='Thù lao'!A10)*(RIGHT('Phân công'!#REF!,3)="414"))</f>
        <v>#REF!</v>
      </c>
      <c r="AS10" s="26" t="e">
        <f>SUMPRODUCT(('Phân công'!#REF!='Thù lao'!A10)*(RIGHT('Phân công'!#REF!,3)="04C")*('Phân công'!#REF!="Tiếng Việt"))</f>
        <v>#REF!</v>
      </c>
      <c r="AT10" s="26" t="e">
        <f>SUMPRODUCT(('Phân công'!#REF!='Thù lao'!A10)*(RIGHT('Phân công'!#REF!,3)="04C")*('Phân công'!#REF!="Tiếng Anh"))</f>
        <v>#REF!</v>
      </c>
      <c r="AU10" s="26" t="e">
        <f>SUMPRODUCT(('Phân công'!#REF!='Thù lao'!A10)*(RIGHT('Phân công'!#REF!,3)="14C")*('Phân công'!#REF!="Tiếng Việt"))</f>
        <v>#REF!</v>
      </c>
      <c r="AV10" s="27" t="e">
        <f>SUMPRODUCT(('Phân công'!#REF!='Thù lao'!A10)*(RIGHT('Phân công'!#REF!,3)="14C")*('Phân công'!#REF!="Tiếng Anh"))</f>
        <v>#REF!</v>
      </c>
      <c r="AW10" s="26" t="e">
        <f>SUMPRODUCT(('Phân công'!#REF!='Thù lao'!A10)*(RIGHT('Phân công'!#REF!,3)="4CA"))</f>
        <v>#REF!</v>
      </c>
      <c r="AX10" s="25" t="e">
        <f t="shared" ref="AX10:BE10" si="16">AP10+AH10+Z10+R10</f>
        <v>#REF!</v>
      </c>
      <c r="AY10" s="25" t="e">
        <f t="shared" si="16"/>
        <v>#REF!</v>
      </c>
      <c r="AZ10" s="25" t="e">
        <f t="shared" si="16"/>
        <v>#REF!</v>
      </c>
      <c r="BA10" s="25" t="e">
        <f t="shared" si="16"/>
        <v>#REF!</v>
      </c>
      <c r="BB10" s="25" t="e">
        <f t="shared" si="16"/>
        <v>#REF!</v>
      </c>
      <c r="BC10" s="25" t="e">
        <f t="shared" si="16"/>
        <v>#REF!</v>
      </c>
      <c r="BD10" s="25" t="e">
        <f t="shared" si="16"/>
        <v>#REF!</v>
      </c>
      <c r="BE10" s="25" t="e">
        <f t="shared" si="16"/>
        <v>#REF!</v>
      </c>
      <c r="BF10" s="30" t="e">
        <f t="shared" si="1"/>
        <v>#REF!</v>
      </c>
      <c r="BG10" s="30" t="e">
        <f t="shared" si="2"/>
        <v>#REF!</v>
      </c>
      <c r="BH10" s="30" t="e">
        <f t="shared" si="3"/>
        <v>#REF!</v>
      </c>
      <c r="BI10" s="30" t="e">
        <f t="shared" si="4"/>
        <v>#REF!</v>
      </c>
      <c r="BJ10" s="30" t="e">
        <f t="shared" si="5"/>
        <v>#REF!</v>
      </c>
      <c r="BK10" s="30" t="e">
        <f t="shared" si="6"/>
        <v>#REF!</v>
      </c>
      <c r="BL10" s="31" t="e">
        <f t="shared" si="7"/>
        <v>#REF!</v>
      </c>
      <c r="BM10" s="31" t="e">
        <f t="shared" si="8"/>
        <v>#REF!</v>
      </c>
      <c r="BN10" s="31" t="e">
        <f t="shared" si="9"/>
        <v>#REF!</v>
      </c>
      <c r="BO10" s="31" t="e">
        <f t="shared" si="10"/>
        <v>#REF!</v>
      </c>
    </row>
    <row r="11" spans="1:67" ht="15.75" customHeight="1" x14ac:dyDescent="0.35">
      <c r="A11" s="2" t="s">
        <v>74</v>
      </c>
      <c r="B11" s="25" t="e">
        <f>SUMPRODUCT(('Phân công'!#REF!=$A11)*('Phân công'!#REF!="X")*(RIGHT('Phân công'!#REF!,3)="404"))</f>
        <v>#REF!</v>
      </c>
      <c r="C11" s="26" t="e">
        <f>SUMPRODUCT(('Phân công'!#REF!=$A11)*('Phân công'!#REF!="X")*(RIGHT('Phân công'!#REF!,3)="412"))</f>
        <v>#REF!</v>
      </c>
      <c r="D11" s="26" t="e">
        <f>SUMPRODUCT(('Phân công'!#REF!=$A11)*('Phân công'!#REF!="X")*(RIGHT('Phân công'!#REF!,3)="414"))</f>
        <v>#REF!</v>
      </c>
      <c r="E11" s="26" t="e">
        <f>SUMPRODUCT(('Phân công'!#REF!=$A11)*('Phân công'!#REF!="X")*(RIGHT('Phân công'!#REF!,4)="404C")*('Phân công'!#REF!="Tiếng Việt"))</f>
        <v>#REF!</v>
      </c>
      <c r="F11" s="26" t="e">
        <f>SUMPRODUCT(('Phân công'!#REF!=$A11)*('Phân công'!#REF!="X")*(RIGHT('Phân công'!#REF!,4)="404C")*('Phân công'!#REF!="Tiếng Anh"))</f>
        <v>#REF!</v>
      </c>
      <c r="G11" s="26" t="e">
        <f>SUMPRODUCT(('Phân công'!#REF!=$A11)*('Phân công'!#REF!="X")*(RIGHT('Phân công'!#REF!,4)="414C")*('Phân công'!#REF!="Tiếng Việt"))</f>
        <v>#REF!</v>
      </c>
      <c r="H11" s="27" t="e">
        <f>SUMPRODUCT(('Phân công'!#REF!=$A11)*('Phân công'!#REF!="X")*(RIGHT('Phân công'!#REF!,4)="414C")*('Phân công'!#REF!="Tiếng Anh"))</f>
        <v>#REF!</v>
      </c>
      <c r="I11" s="28" t="e">
        <f>SUMPRODUCT(('Phân công'!#REF!=$A11)*('Phân công'!#REF!="X")*(RIGHT('Phân công'!#REF!,5)="404CA"))</f>
        <v>#REF!</v>
      </c>
      <c r="J11" s="25" t="e">
        <f>SUMPRODUCT(('Phân công'!#REF!=$A11)*('Phân công'!#REF!="X")*(RIGHT('Phân công'!#REF!,3)="404"))</f>
        <v>#REF!</v>
      </c>
      <c r="K11" s="26" t="e">
        <f>SUMPRODUCT(('Phân công'!#REF!=$A11)*('Phân công'!#REF!="X")*(RIGHT('Phân công'!#REF!,3)="412"))</f>
        <v>#REF!</v>
      </c>
      <c r="L11" s="26" t="e">
        <f>SUMPRODUCT(('Phân công'!#REF!=$A11)*('Phân công'!#REF!="X")*(RIGHT('Phân công'!#REF!,3)="414"))</f>
        <v>#REF!</v>
      </c>
      <c r="M11" s="26" t="e">
        <f>SUMPRODUCT(('Phân công'!#REF!=$A11)*('Phân công'!#REF!="X")*(RIGHT('Phân công'!#REF!,3)="04C")*('Phân công'!#REF!="Tiếng Việt"))</f>
        <v>#REF!</v>
      </c>
      <c r="N11" s="26" t="e">
        <f>SUMPRODUCT(('Phân công'!#REF!=$A11)*('Phân công'!#REF!="X")*(RIGHT('Phân công'!#REF!,3)="04C")*('Phân công'!#REF!="Tiếng Anh"))</f>
        <v>#REF!</v>
      </c>
      <c r="O11" s="26" t="e">
        <f>SUMPRODUCT(('Phân công'!#REF!=$A11)*('Phân công'!#REF!="X")*(RIGHT('Phân công'!#REF!,3)="14C")*('Phân công'!#REF!="Tiếng Việt"))</f>
        <v>#REF!</v>
      </c>
      <c r="P11" s="27" t="e">
        <f>SUMPRODUCT(('Phân công'!#REF!=$A11)*('Phân công'!#REF!="X")*(RIGHT('Phân công'!#REF!,3)="14C")*('Phân công'!#REF!="Tiếng Anh"))</f>
        <v>#REF!</v>
      </c>
      <c r="Q11" s="28" t="e">
        <f>SUMPRODUCT(('Phân công'!#REF!=$A11)*('Phân công'!#REF!="X")*(RIGHT('Phân công'!#REF!,3)="4CA"))</f>
        <v>#REF!</v>
      </c>
      <c r="R11" s="25" t="e">
        <f>SUMPRODUCT(('Phân công'!#REF!='Thù lao'!A11)*(RIGHT('Phân công'!#REF!,3)="404"))</f>
        <v>#REF!</v>
      </c>
      <c r="S11" s="29" t="e">
        <f>SUMPRODUCT(('Phân công'!#REF!='Thù lao'!A11)*(RIGHT('Phân công'!#REF!,3)="412"))</f>
        <v>#REF!</v>
      </c>
      <c r="T11" s="29" t="e">
        <f>SUMPRODUCT(('Phân công'!#REF!='Thù lao'!A11)*(RIGHT('Phân công'!#REF!,3)="414"))</f>
        <v>#REF!</v>
      </c>
      <c r="U11" s="26" t="e">
        <f>SUMPRODUCT(('Phân công'!#REF!='Thù lao'!A11)*(RIGHT('Phân công'!#REF!,3)="04C")*('Phân công'!#REF!="Tiếng Việt"))</f>
        <v>#REF!</v>
      </c>
      <c r="V11" s="26" t="e">
        <f>SUMPRODUCT(('Phân công'!#REF!='Thù lao'!A11)*(RIGHT('Phân công'!#REF!,3)="04C")*('Phân công'!#REF!="Tiếng Anh"))</f>
        <v>#REF!</v>
      </c>
      <c r="W11" s="26" t="e">
        <f>SUMPRODUCT(('Phân công'!#REF!='Thù lao'!A11)*(RIGHT('Phân công'!#REF!,3)="14C")*('Phân công'!#REF!="Tiếng Việt"))</f>
        <v>#REF!</v>
      </c>
      <c r="X11" s="27" t="e">
        <f>SUMPRODUCT(('Phân công'!#REF!='Thù lao'!A11)*(RIGHT('Phân công'!#REF!,3)="14C")*('Phân công'!#REF!="Tiếng Anh"))</f>
        <v>#REF!</v>
      </c>
      <c r="Y11" s="26" t="e">
        <f>SUMPRODUCT(('Phân công'!#REF!='Thù lao'!A11)*(RIGHT('Phân công'!#REF!,3)="4CA"))</f>
        <v>#REF!</v>
      </c>
      <c r="Z11" s="25" t="e">
        <f>SUMPRODUCT(('Phân công'!#REF!='Thù lao'!A11)*(RIGHT('Phân công'!#REF!,3)="404"))</f>
        <v>#REF!</v>
      </c>
      <c r="AA11" s="29" t="e">
        <f>SUMPRODUCT(('Phân công'!#REF!='Thù lao'!A11)*(RIGHT('Phân công'!#REF!,3)="412"))</f>
        <v>#REF!</v>
      </c>
      <c r="AB11" s="29" t="e">
        <f>SUMPRODUCT(('Phân công'!#REF!='Thù lao'!A11)*(RIGHT('Phân công'!#REF!,3)="414"))</f>
        <v>#REF!</v>
      </c>
      <c r="AC11" s="26" t="e">
        <f>SUMPRODUCT(('Phân công'!#REF!='Thù lao'!A11)*(RIGHT('Phân công'!#REF!,3)="04C")*('Phân công'!#REF!="Tiếng Việt"))</f>
        <v>#REF!</v>
      </c>
      <c r="AD11" s="26" t="e">
        <f>SUMPRODUCT(('Phân công'!#REF!='Thù lao'!A11)*(RIGHT('Phân công'!#REF!,3)="04C")*('Phân công'!#REF!="Tiếng Anh"))</f>
        <v>#REF!</v>
      </c>
      <c r="AE11" s="26" t="e">
        <f>SUMPRODUCT(('Phân công'!#REF!='Thù lao'!A11)*(RIGHT('Phân công'!#REF!,3)="14C")*('Phân công'!#REF!="Tiếng Việt"))</f>
        <v>#REF!</v>
      </c>
      <c r="AF11" s="27" t="e">
        <f>SUMPRODUCT(('Phân công'!#REF!='Thù lao'!A11)*(RIGHT('Phân công'!#REF!,3)="14C")*('Phân công'!#REF!="Tiếng Anh"))</f>
        <v>#REF!</v>
      </c>
      <c r="AG11" s="26" t="e">
        <f>SUMPRODUCT(('Phân công'!#REF!='Thù lao'!A11)*(RIGHT('Phân công'!#REF!,3)="4CA"))</f>
        <v>#REF!</v>
      </c>
      <c r="AH11" s="25" t="e">
        <f>SUMPRODUCT(('Phân công'!#REF!='Thù lao'!A11)*(RIGHT('Phân công'!#REF!,3)="404"))</f>
        <v>#REF!</v>
      </c>
      <c r="AI11" s="29" t="e">
        <f>SUMPRODUCT(('Phân công'!#REF!='Thù lao'!A11)*(RIGHT('Phân công'!#REF!,3)="412"))</f>
        <v>#REF!</v>
      </c>
      <c r="AJ11" s="29" t="e">
        <f>SUMPRODUCT(('Phân công'!#REF!='Thù lao'!A11)*(RIGHT('Phân công'!#REF!,3)="414"))</f>
        <v>#REF!</v>
      </c>
      <c r="AK11" s="26" t="e">
        <f>SUMPRODUCT(('Phân công'!#REF!='Thù lao'!A11)*(RIGHT('Phân công'!#REF!,3)="04C")*('Phân công'!#REF!="Tiếng Việt"))</f>
        <v>#REF!</v>
      </c>
      <c r="AL11" s="26" t="e">
        <f>SUMPRODUCT(('Phân công'!#REF!='Thù lao'!A11)*(RIGHT('Phân công'!#REF!,3)="04C")*('Phân công'!#REF!="Tiếng Anh"))</f>
        <v>#REF!</v>
      </c>
      <c r="AM11" s="26" t="e">
        <f>SUMPRODUCT(('Phân công'!#REF!='Thù lao'!A11)*(RIGHT('Phân công'!#REF!,3)="14C")*('Phân công'!#REF!="Tiếng Việt"))</f>
        <v>#REF!</v>
      </c>
      <c r="AN11" s="27" t="e">
        <f>SUMPRODUCT(('Phân công'!#REF!='Thù lao'!A11)*(RIGHT('Phân công'!#REF!,3)="14C")*('Phân công'!#REF!="Tiếng Anh"))</f>
        <v>#REF!</v>
      </c>
      <c r="AO11" s="26" t="e">
        <f>SUMPRODUCT(('Phân công'!#REF!='Thù lao'!A11)*(RIGHT('Phân công'!#REF!,3)="4CA"))</f>
        <v>#REF!</v>
      </c>
      <c r="AP11" s="25" t="e">
        <f>SUMPRODUCT(('Phân công'!#REF!='Thù lao'!A11)*(RIGHT('Phân công'!#REF!,3)="404"))</f>
        <v>#REF!</v>
      </c>
      <c r="AQ11" s="29" t="e">
        <f>SUMPRODUCT(('Phân công'!#REF!='Thù lao'!A11)*(RIGHT('Phân công'!#REF!,3)="412"))</f>
        <v>#REF!</v>
      </c>
      <c r="AR11" s="29" t="e">
        <f>SUMPRODUCT(('Phân công'!#REF!='Thù lao'!A11)*(RIGHT('Phân công'!#REF!,3)="414"))</f>
        <v>#REF!</v>
      </c>
      <c r="AS11" s="26" t="e">
        <f>SUMPRODUCT(('Phân công'!#REF!='Thù lao'!A11)*(RIGHT('Phân công'!#REF!,3)="04C")*('Phân công'!#REF!="Tiếng Việt"))</f>
        <v>#REF!</v>
      </c>
      <c r="AT11" s="26" t="e">
        <f>SUMPRODUCT(('Phân công'!#REF!='Thù lao'!A11)*(RIGHT('Phân công'!#REF!,3)="04C")*('Phân công'!#REF!="Tiếng Anh"))</f>
        <v>#REF!</v>
      </c>
      <c r="AU11" s="26" t="e">
        <f>SUMPRODUCT(('Phân công'!#REF!='Thù lao'!A11)*(RIGHT('Phân công'!#REF!,3)="14C")*('Phân công'!#REF!="Tiếng Việt"))</f>
        <v>#REF!</v>
      </c>
      <c r="AV11" s="27" t="e">
        <f>SUMPRODUCT(('Phân công'!#REF!='Thù lao'!A11)*(RIGHT('Phân công'!#REF!,3)="14C")*('Phân công'!#REF!="Tiếng Anh"))</f>
        <v>#REF!</v>
      </c>
      <c r="AW11" s="26" t="e">
        <f>SUMPRODUCT(('Phân công'!#REF!='Thù lao'!A11)*(RIGHT('Phân công'!#REF!,3)="4CA"))</f>
        <v>#REF!</v>
      </c>
      <c r="AX11" s="25" t="e">
        <f t="shared" ref="AX11:BE11" si="17">AP11+AH11+Z11+R11</f>
        <v>#REF!</v>
      </c>
      <c r="AY11" s="25" t="e">
        <f t="shared" si="17"/>
        <v>#REF!</v>
      </c>
      <c r="AZ11" s="25" t="e">
        <f t="shared" si="17"/>
        <v>#REF!</v>
      </c>
      <c r="BA11" s="25" t="e">
        <f t="shared" si="17"/>
        <v>#REF!</v>
      </c>
      <c r="BB11" s="25" t="e">
        <f t="shared" si="17"/>
        <v>#REF!</v>
      </c>
      <c r="BC11" s="25" t="e">
        <f t="shared" si="17"/>
        <v>#REF!</v>
      </c>
      <c r="BD11" s="25" t="e">
        <f t="shared" si="17"/>
        <v>#REF!</v>
      </c>
      <c r="BE11" s="25" t="e">
        <f t="shared" si="17"/>
        <v>#REF!</v>
      </c>
      <c r="BF11" s="30" t="e">
        <f t="shared" si="1"/>
        <v>#REF!</v>
      </c>
      <c r="BG11" s="30" t="e">
        <f t="shared" si="2"/>
        <v>#REF!</v>
      </c>
      <c r="BH11" s="30" t="e">
        <f t="shared" si="3"/>
        <v>#REF!</v>
      </c>
      <c r="BI11" s="30" t="e">
        <f t="shared" si="4"/>
        <v>#REF!</v>
      </c>
      <c r="BJ11" s="30" t="e">
        <f t="shared" si="5"/>
        <v>#REF!</v>
      </c>
      <c r="BK11" s="30" t="e">
        <f t="shared" si="6"/>
        <v>#REF!</v>
      </c>
      <c r="BL11" s="31" t="e">
        <f t="shared" si="7"/>
        <v>#REF!</v>
      </c>
      <c r="BM11" s="31" t="e">
        <f t="shared" si="8"/>
        <v>#REF!</v>
      </c>
      <c r="BN11" s="31" t="e">
        <f t="shared" si="9"/>
        <v>#REF!</v>
      </c>
      <c r="BO11" s="31" t="e">
        <f t="shared" si="10"/>
        <v>#REF!</v>
      </c>
    </row>
    <row r="12" spans="1:67" ht="15.75" customHeight="1" x14ac:dyDescent="0.35">
      <c r="A12" s="2" t="s">
        <v>11</v>
      </c>
      <c r="B12" s="25" t="e">
        <f>SUMPRODUCT(('Phân công'!#REF!=$A12)*('Phân công'!#REF!="X")*(RIGHT('Phân công'!#REF!,3)="404"))</f>
        <v>#REF!</v>
      </c>
      <c r="C12" s="26" t="e">
        <f>SUMPRODUCT(('Phân công'!#REF!=$A12)*('Phân công'!#REF!="X")*(RIGHT('Phân công'!#REF!,3)="412"))</f>
        <v>#REF!</v>
      </c>
      <c r="D12" s="26" t="e">
        <f>SUMPRODUCT(('Phân công'!#REF!=$A12)*('Phân công'!#REF!="X")*(RIGHT('Phân công'!#REF!,3)="414"))</f>
        <v>#REF!</v>
      </c>
      <c r="E12" s="26" t="e">
        <f>SUMPRODUCT(('Phân công'!#REF!=$A12)*('Phân công'!#REF!="X")*(RIGHT('Phân công'!#REF!,4)="404C")*('Phân công'!#REF!="Tiếng Việt"))</f>
        <v>#REF!</v>
      </c>
      <c r="F12" s="26" t="e">
        <f>SUMPRODUCT(('Phân công'!#REF!=$A12)*('Phân công'!#REF!="X")*(RIGHT('Phân công'!#REF!,4)="404C")*('Phân công'!#REF!="Tiếng Anh"))</f>
        <v>#REF!</v>
      </c>
      <c r="G12" s="26" t="e">
        <f>SUMPRODUCT(('Phân công'!#REF!=$A12)*('Phân công'!#REF!="X")*(RIGHT('Phân công'!#REF!,4)="414C")*('Phân công'!#REF!="Tiếng Việt"))</f>
        <v>#REF!</v>
      </c>
      <c r="H12" s="27" t="e">
        <f>SUMPRODUCT(('Phân công'!#REF!=$A12)*('Phân công'!#REF!="X")*(RIGHT('Phân công'!#REF!,4)="414C")*('Phân công'!#REF!="Tiếng Anh"))</f>
        <v>#REF!</v>
      </c>
      <c r="I12" s="28" t="e">
        <f>SUMPRODUCT(('Phân công'!#REF!=$A12)*('Phân công'!#REF!="X")*(RIGHT('Phân công'!#REF!,5)="404CA"))</f>
        <v>#REF!</v>
      </c>
      <c r="J12" s="25" t="e">
        <f>SUMPRODUCT(('Phân công'!#REF!=$A12)*('Phân công'!#REF!="X")*(RIGHT('Phân công'!#REF!,3)="404"))</f>
        <v>#REF!</v>
      </c>
      <c r="K12" s="26" t="e">
        <f>SUMPRODUCT(('Phân công'!#REF!=$A12)*('Phân công'!#REF!="X")*(RIGHT('Phân công'!#REF!,3)="412"))</f>
        <v>#REF!</v>
      </c>
      <c r="L12" s="26" t="e">
        <f>SUMPRODUCT(('Phân công'!#REF!=$A12)*('Phân công'!#REF!="X")*(RIGHT('Phân công'!#REF!,3)="414"))</f>
        <v>#REF!</v>
      </c>
      <c r="M12" s="26" t="e">
        <f>SUMPRODUCT(('Phân công'!#REF!=$A12)*('Phân công'!#REF!="X")*(RIGHT('Phân công'!#REF!,3)="04C")*('Phân công'!#REF!="Tiếng Việt"))</f>
        <v>#REF!</v>
      </c>
      <c r="N12" s="26" t="e">
        <f>SUMPRODUCT(('Phân công'!#REF!=$A12)*('Phân công'!#REF!="X")*(RIGHT('Phân công'!#REF!,3)="04C")*('Phân công'!#REF!="Tiếng Anh"))</f>
        <v>#REF!</v>
      </c>
      <c r="O12" s="26" t="e">
        <f>SUMPRODUCT(('Phân công'!#REF!=$A12)*('Phân công'!#REF!="X")*(RIGHT('Phân công'!#REF!,3)="14C")*('Phân công'!#REF!="Tiếng Việt"))</f>
        <v>#REF!</v>
      </c>
      <c r="P12" s="27" t="e">
        <f>SUMPRODUCT(('Phân công'!#REF!=$A12)*('Phân công'!#REF!="X")*(RIGHT('Phân công'!#REF!,3)="14C")*('Phân công'!#REF!="Tiếng Anh"))</f>
        <v>#REF!</v>
      </c>
      <c r="Q12" s="28" t="e">
        <f>SUMPRODUCT(('Phân công'!#REF!=$A12)*('Phân công'!#REF!="X")*(RIGHT('Phân công'!#REF!,3)="4CA"))</f>
        <v>#REF!</v>
      </c>
      <c r="R12" s="25" t="e">
        <f>SUMPRODUCT(('Phân công'!#REF!='Thù lao'!A12)*(RIGHT('Phân công'!#REF!,3)="404"))</f>
        <v>#REF!</v>
      </c>
      <c r="S12" s="29" t="e">
        <f>SUMPRODUCT(('Phân công'!#REF!='Thù lao'!A12)*(RIGHT('Phân công'!#REF!,3)="412"))</f>
        <v>#REF!</v>
      </c>
      <c r="T12" s="29" t="e">
        <f>SUMPRODUCT(('Phân công'!#REF!='Thù lao'!A12)*(RIGHT('Phân công'!#REF!,3)="414"))</f>
        <v>#REF!</v>
      </c>
      <c r="U12" s="26" t="e">
        <f>SUMPRODUCT(('Phân công'!#REF!='Thù lao'!A12)*(RIGHT('Phân công'!#REF!,3)="04C")*('Phân công'!#REF!="Tiếng Việt"))</f>
        <v>#REF!</v>
      </c>
      <c r="V12" s="26" t="e">
        <f>SUMPRODUCT(('Phân công'!#REF!='Thù lao'!A12)*(RIGHT('Phân công'!#REF!,3)="04C")*('Phân công'!#REF!="Tiếng Anh"))</f>
        <v>#REF!</v>
      </c>
      <c r="W12" s="26" t="e">
        <f>SUMPRODUCT(('Phân công'!#REF!='Thù lao'!A12)*(RIGHT('Phân công'!#REF!,3)="14C")*('Phân công'!#REF!="Tiếng Việt"))</f>
        <v>#REF!</v>
      </c>
      <c r="X12" s="27" t="e">
        <f>SUMPRODUCT(('Phân công'!#REF!='Thù lao'!A12)*(RIGHT('Phân công'!#REF!,3)="14C")*('Phân công'!#REF!="Tiếng Anh"))</f>
        <v>#REF!</v>
      </c>
      <c r="Y12" s="26" t="e">
        <f>SUMPRODUCT(('Phân công'!#REF!='Thù lao'!A12)*(RIGHT('Phân công'!#REF!,3)="4CA"))</f>
        <v>#REF!</v>
      </c>
      <c r="Z12" s="25" t="e">
        <f>SUMPRODUCT(('Phân công'!#REF!='Thù lao'!A12)*(RIGHT('Phân công'!#REF!,3)="404"))</f>
        <v>#REF!</v>
      </c>
      <c r="AA12" s="29" t="e">
        <f>SUMPRODUCT(('Phân công'!#REF!='Thù lao'!A12)*(RIGHT('Phân công'!#REF!,3)="412"))</f>
        <v>#REF!</v>
      </c>
      <c r="AB12" s="29" t="e">
        <f>SUMPRODUCT(('Phân công'!#REF!='Thù lao'!A12)*(RIGHT('Phân công'!#REF!,3)="414"))</f>
        <v>#REF!</v>
      </c>
      <c r="AC12" s="26" t="e">
        <f>SUMPRODUCT(('Phân công'!#REF!='Thù lao'!A12)*(RIGHT('Phân công'!#REF!,3)="04C")*('Phân công'!#REF!="Tiếng Việt"))</f>
        <v>#REF!</v>
      </c>
      <c r="AD12" s="26" t="e">
        <f>SUMPRODUCT(('Phân công'!#REF!='Thù lao'!A12)*(RIGHT('Phân công'!#REF!,3)="04C")*('Phân công'!#REF!="Tiếng Anh"))</f>
        <v>#REF!</v>
      </c>
      <c r="AE12" s="26" t="e">
        <f>SUMPRODUCT(('Phân công'!#REF!='Thù lao'!A12)*(RIGHT('Phân công'!#REF!,3)="14C")*('Phân công'!#REF!="Tiếng Việt"))</f>
        <v>#REF!</v>
      </c>
      <c r="AF12" s="27" t="e">
        <f>SUMPRODUCT(('Phân công'!#REF!='Thù lao'!A12)*(RIGHT('Phân công'!#REF!,3)="14C")*('Phân công'!#REF!="Tiếng Anh"))</f>
        <v>#REF!</v>
      </c>
      <c r="AG12" s="26" t="e">
        <f>SUMPRODUCT(('Phân công'!#REF!='Thù lao'!A12)*(RIGHT('Phân công'!#REF!,3)="4CA"))</f>
        <v>#REF!</v>
      </c>
      <c r="AH12" s="25" t="e">
        <f>SUMPRODUCT(('Phân công'!#REF!='Thù lao'!A12)*(RIGHT('Phân công'!#REF!,3)="404"))</f>
        <v>#REF!</v>
      </c>
      <c r="AI12" s="29" t="e">
        <f>SUMPRODUCT(('Phân công'!#REF!='Thù lao'!A12)*(RIGHT('Phân công'!#REF!,3)="412"))</f>
        <v>#REF!</v>
      </c>
      <c r="AJ12" s="29" t="e">
        <f>SUMPRODUCT(('Phân công'!#REF!='Thù lao'!A12)*(RIGHT('Phân công'!#REF!,3)="414"))</f>
        <v>#REF!</v>
      </c>
      <c r="AK12" s="26" t="e">
        <f>SUMPRODUCT(('Phân công'!#REF!='Thù lao'!A12)*(RIGHT('Phân công'!#REF!,3)="04C")*('Phân công'!#REF!="Tiếng Việt"))</f>
        <v>#REF!</v>
      </c>
      <c r="AL12" s="26" t="e">
        <f>SUMPRODUCT(('Phân công'!#REF!='Thù lao'!A12)*(RIGHT('Phân công'!#REF!,3)="04C")*('Phân công'!#REF!="Tiếng Anh"))</f>
        <v>#REF!</v>
      </c>
      <c r="AM12" s="26" t="e">
        <f>SUMPRODUCT(('Phân công'!#REF!='Thù lao'!A12)*(RIGHT('Phân công'!#REF!,3)="14C")*('Phân công'!#REF!="Tiếng Việt"))</f>
        <v>#REF!</v>
      </c>
      <c r="AN12" s="27" t="e">
        <f>SUMPRODUCT(('Phân công'!#REF!='Thù lao'!A12)*(RIGHT('Phân công'!#REF!,3)="14C")*('Phân công'!#REF!="Tiếng Anh"))</f>
        <v>#REF!</v>
      </c>
      <c r="AO12" s="26" t="e">
        <f>SUMPRODUCT(('Phân công'!#REF!='Thù lao'!A12)*(RIGHT('Phân công'!#REF!,3)="4CA"))</f>
        <v>#REF!</v>
      </c>
      <c r="AP12" s="25" t="e">
        <f>SUMPRODUCT(('Phân công'!#REF!='Thù lao'!A12)*(RIGHT('Phân công'!#REF!,3)="404"))</f>
        <v>#REF!</v>
      </c>
      <c r="AQ12" s="29" t="e">
        <f>SUMPRODUCT(('Phân công'!#REF!='Thù lao'!A12)*(RIGHT('Phân công'!#REF!,3)="412"))</f>
        <v>#REF!</v>
      </c>
      <c r="AR12" s="29" t="e">
        <f>SUMPRODUCT(('Phân công'!#REF!='Thù lao'!A12)*(RIGHT('Phân công'!#REF!,3)="414"))</f>
        <v>#REF!</v>
      </c>
      <c r="AS12" s="26" t="e">
        <f>SUMPRODUCT(('Phân công'!#REF!='Thù lao'!A12)*(RIGHT('Phân công'!#REF!,3)="04C")*('Phân công'!#REF!="Tiếng Việt"))</f>
        <v>#REF!</v>
      </c>
      <c r="AT12" s="26" t="e">
        <f>SUMPRODUCT(('Phân công'!#REF!='Thù lao'!A12)*(RIGHT('Phân công'!#REF!,3)="04C")*('Phân công'!#REF!="Tiếng Anh"))</f>
        <v>#REF!</v>
      </c>
      <c r="AU12" s="26" t="e">
        <f>SUMPRODUCT(('Phân công'!#REF!='Thù lao'!A12)*(RIGHT('Phân công'!#REF!,3)="14C")*('Phân công'!#REF!="Tiếng Việt"))</f>
        <v>#REF!</v>
      </c>
      <c r="AV12" s="27" t="e">
        <f>SUMPRODUCT(('Phân công'!#REF!='Thù lao'!A12)*(RIGHT('Phân công'!#REF!,3)="14C")*('Phân công'!#REF!="Tiếng Anh"))</f>
        <v>#REF!</v>
      </c>
      <c r="AW12" s="26" t="e">
        <f>SUMPRODUCT(('Phân công'!#REF!='Thù lao'!A12)*(RIGHT('Phân công'!#REF!,3)="4CA"))</f>
        <v>#REF!</v>
      </c>
      <c r="AX12" s="25" t="e">
        <f t="shared" ref="AX12:BE12" si="18">AP12+AH12+Z12+R12</f>
        <v>#REF!</v>
      </c>
      <c r="AY12" s="25" t="e">
        <f t="shared" si="18"/>
        <v>#REF!</v>
      </c>
      <c r="AZ12" s="25" t="e">
        <f t="shared" si="18"/>
        <v>#REF!</v>
      </c>
      <c r="BA12" s="25" t="e">
        <f t="shared" si="18"/>
        <v>#REF!</v>
      </c>
      <c r="BB12" s="25" t="e">
        <f t="shared" si="18"/>
        <v>#REF!</v>
      </c>
      <c r="BC12" s="25" t="e">
        <f t="shared" si="18"/>
        <v>#REF!</v>
      </c>
      <c r="BD12" s="25" t="e">
        <f t="shared" si="18"/>
        <v>#REF!</v>
      </c>
      <c r="BE12" s="25" t="e">
        <f t="shared" si="18"/>
        <v>#REF!</v>
      </c>
      <c r="BF12" s="30" t="e">
        <f t="shared" si="1"/>
        <v>#REF!</v>
      </c>
      <c r="BG12" s="30" t="e">
        <f t="shared" si="2"/>
        <v>#REF!</v>
      </c>
      <c r="BH12" s="30" t="e">
        <f t="shared" si="3"/>
        <v>#REF!</v>
      </c>
      <c r="BI12" s="30" t="e">
        <f t="shared" si="4"/>
        <v>#REF!</v>
      </c>
      <c r="BJ12" s="30" t="e">
        <f t="shared" si="5"/>
        <v>#REF!</v>
      </c>
      <c r="BK12" s="30" t="e">
        <f t="shared" si="6"/>
        <v>#REF!</v>
      </c>
      <c r="BL12" s="31" t="e">
        <f t="shared" si="7"/>
        <v>#REF!</v>
      </c>
      <c r="BM12" s="31" t="e">
        <f t="shared" si="8"/>
        <v>#REF!</v>
      </c>
      <c r="BN12" s="31" t="e">
        <f t="shared" si="9"/>
        <v>#REF!</v>
      </c>
      <c r="BO12" s="31" t="e">
        <f t="shared" si="10"/>
        <v>#REF!</v>
      </c>
    </row>
    <row r="13" spans="1:67" ht="15.75" customHeight="1" x14ac:dyDescent="0.35">
      <c r="A13" s="2" t="s">
        <v>395</v>
      </c>
      <c r="B13" s="25" t="e">
        <f>SUMPRODUCT(('Phân công'!#REF!=$A13)*('Phân công'!#REF!="X")*(RIGHT('Phân công'!#REF!,3)="404"))</f>
        <v>#REF!</v>
      </c>
      <c r="C13" s="26" t="e">
        <f>SUMPRODUCT(('Phân công'!#REF!=$A13)*('Phân công'!#REF!="X")*(RIGHT('Phân công'!#REF!,3)="412"))</f>
        <v>#REF!</v>
      </c>
      <c r="D13" s="26" t="e">
        <f>SUMPRODUCT(('Phân công'!#REF!=$A13)*('Phân công'!#REF!="X")*(RIGHT('Phân công'!#REF!,3)="414"))</f>
        <v>#REF!</v>
      </c>
      <c r="E13" s="26" t="e">
        <f>SUMPRODUCT(('Phân công'!#REF!=$A13)*('Phân công'!#REF!="X")*(RIGHT('Phân công'!#REF!,4)="404C")*('Phân công'!#REF!="Tiếng Việt"))</f>
        <v>#REF!</v>
      </c>
      <c r="F13" s="26" t="e">
        <f>SUMPRODUCT(('Phân công'!#REF!=$A13)*('Phân công'!#REF!="X")*(RIGHT('Phân công'!#REF!,4)="404C")*('Phân công'!#REF!="Tiếng Anh"))</f>
        <v>#REF!</v>
      </c>
      <c r="G13" s="26" t="e">
        <f>SUMPRODUCT(('Phân công'!#REF!=$A13)*('Phân công'!#REF!="X")*(RIGHT('Phân công'!#REF!,4)="414C")*('Phân công'!#REF!="Tiếng Việt"))</f>
        <v>#REF!</v>
      </c>
      <c r="H13" s="27" t="e">
        <f>SUMPRODUCT(('Phân công'!#REF!=$A13)*('Phân công'!#REF!="X")*(RIGHT('Phân công'!#REF!,4)="414C")*('Phân công'!#REF!="Tiếng Anh"))</f>
        <v>#REF!</v>
      </c>
      <c r="I13" s="28" t="e">
        <f>SUMPRODUCT(('Phân công'!#REF!=$A13)*('Phân công'!#REF!="X")*(RIGHT('Phân công'!#REF!,5)="404CA"))</f>
        <v>#REF!</v>
      </c>
      <c r="J13" s="25" t="e">
        <f>SUMPRODUCT(('Phân công'!#REF!=$A13)*('Phân công'!#REF!="X")*(RIGHT('Phân công'!#REF!,3)="404"))</f>
        <v>#REF!</v>
      </c>
      <c r="K13" s="26" t="e">
        <f>SUMPRODUCT(('Phân công'!#REF!=$A13)*('Phân công'!#REF!="X")*(RIGHT('Phân công'!#REF!,3)="412"))</f>
        <v>#REF!</v>
      </c>
      <c r="L13" s="26" t="e">
        <f>SUMPRODUCT(('Phân công'!#REF!=$A13)*('Phân công'!#REF!="X")*(RIGHT('Phân công'!#REF!,3)="414"))</f>
        <v>#REF!</v>
      </c>
      <c r="M13" s="26" t="e">
        <f>SUMPRODUCT(('Phân công'!#REF!=$A13)*('Phân công'!#REF!="X")*(RIGHT('Phân công'!#REF!,3)="04C")*('Phân công'!#REF!="Tiếng Việt"))</f>
        <v>#REF!</v>
      </c>
      <c r="N13" s="26" t="e">
        <f>SUMPRODUCT(('Phân công'!#REF!=$A13)*('Phân công'!#REF!="X")*(RIGHT('Phân công'!#REF!,3)="04C")*('Phân công'!#REF!="Tiếng Anh"))</f>
        <v>#REF!</v>
      </c>
      <c r="O13" s="26" t="e">
        <f>SUMPRODUCT(('Phân công'!#REF!=$A13)*('Phân công'!#REF!="X")*(RIGHT('Phân công'!#REF!,3)="14C")*('Phân công'!#REF!="Tiếng Việt"))</f>
        <v>#REF!</v>
      </c>
      <c r="P13" s="27" t="e">
        <f>SUMPRODUCT(('Phân công'!#REF!=$A13)*('Phân công'!#REF!="X")*(RIGHT('Phân công'!#REF!,3)="14C")*('Phân công'!#REF!="Tiếng Anh"))</f>
        <v>#REF!</v>
      </c>
      <c r="Q13" s="28" t="e">
        <f>SUMPRODUCT(('Phân công'!#REF!=$A13)*('Phân công'!#REF!="X")*(RIGHT('Phân công'!#REF!,3)="4CA"))</f>
        <v>#REF!</v>
      </c>
      <c r="R13" s="25" t="e">
        <f>SUMPRODUCT(('Phân công'!#REF!='Thù lao'!A13)*(RIGHT('Phân công'!#REF!,3)="404"))</f>
        <v>#REF!</v>
      </c>
      <c r="S13" s="29" t="e">
        <f>SUMPRODUCT(('Phân công'!#REF!='Thù lao'!A13)*(RIGHT('Phân công'!#REF!,3)="412"))</f>
        <v>#REF!</v>
      </c>
      <c r="T13" s="29" t="e">
        <f>SUMPRODUCT(('Phân công'!#REF!='Thù lao'!A13)*(RIGHT('Phân công'!#REF!,3)="414"))</f>
        <v>#REF!</v>
      </c>
      <c r="U13" s="26" t="e">
        <f>SUMPRODUCT(('Phân công'!#REF!='Thù lao'!A13)*(RIGHT('Phân công'!#REF!,3)="04C")*('Phân công'!#REF!="Tiếng Việt"))</f>
        <v>#REF!</v>
      </c>
      <c r="V13" s="26" t="e">
        <f>SUMPRODUCT(('Phân công'!#REF!='Thù lao'!A13)*(RIGHT('Phân công'!#REF!,3)="04C")*('Phân công'!#REF!="Tiếng Anh"))</f>
        <v>#REF!</v>
      </c>
      <c r="W13" s="26" t="e">
        <f>SUMPRODUCT(('Phân công'!#REF!='Thù lao'!A13)*(RIGHT('Phân công'!#REF!,3)="14C")*('Phân công'!#REF!="Tiếng Việt"))</f>
        <v>#REF!</v>
      </c>
      <c r="X13" s="27" t="e">
        <f>SUMPRODUCT(('Phân công'!#REF!='Thù lao'!A13)*(RIGHT('Phân công'!#REF!,3)="14C")*('Phân công'!#REF!="Tiếng Anh"))</f>
        <v>#REF!</v>
      </c>
      <c r="Y13" s="26" t="e">
        <f>SUMPRODUCT(('Phân công'!#REF!='Thù lao'!A13)*(RIGHT('Phân công'!#REF!,3)="4CA"))</f>
        <v>#REF!</v>
      </c>
      <c r="Z13" s="25" t="e">
        <f>SUMPRODUCT(('Phân công'!#REF!='Thù lao'!A13)*(RIGHT('Phân công'!#REF!,3)="404"))</f>
        <v>#REF!</v>
      </c>
      <c r="AA13" s="29" t="e">
        <f>SUMPRODUCT(('Phân công'!#REF!='Thù lao'!A13)*(RIGHT('Phân công'!#REF!,3)="412"))</f>
        <v>#REF!</v>
      </c>
      <c r="AB13" s="29" t="e">
        <f>SUMPRODUCT(('Phân công'!#REF!='Thù lao'!A13)*(RIGHT('Phân công'!#REF!,3)="414"))</f>
        <v>#REF!</v>
      </c>
      <c r="AC13" s="26" t="e">
        <f>SUMPRODUCT(('Phân công'!#REF!='Thù lao'!A13)*(RIGHT('Phân công'!#REF!,3)="04C")*('Phân công'!#REF!="Tiếng Việt"))</f>
        <v>#REF!</v>
      </c>
      <c r="AD13" s="26" t="e">
        <f>SUMPRODUCT(('Phân công'!#REF!='Thù lao'!A13)*(RIGHT('Phân công'!#REF!,3)="04C")*('Phân công'!#REF!="Tiếng Anh"))</f>
        <v>#REF!</v>
      </c>
      <c r="AE13" s="26" t="e">
        <f>SUMPRODUCT(('Phân công'!#REF!='Thù lao'!A13)*(RIGHT('Phân công'!#REF!,3)="14C")*('Phân công'!#REF!="Tiếng Việt"))</f>
        <v>#REF!</v>
      </c>
      <c r="AF13" s="27" t="e">
        <f>SUMPRODUCT(('Phân công'!#REF!='Thù lao'!A13)*(RIGHT('Phân công'!#REF!,3)="14C")*('Phân công'!#REF!="Tiếng Anh"))</f>
        <v>#REF!</v>
      </c>
      <c r="AG13" s="26" t="e">
        <f>SUMPRODUCT(('Phân công'!#REF!='Thù lao'!A13)*(RIGHT('Phân công'!#REF!,3)="4CA"))</f>
        <v>#REF!</v>
      </c>
      <c r="AH13" s="25" t="e">
        <f>SUMPRODUCT(('Phân công'!#REF!='Thù lao'!A13)*(RIGHT('Phân công'!#REF!,3)="404"))</f>
        <v>#REF!</v>
      </c>
      <c r="AI13" s="29" t="e">
        <f>SUMPRODUCT(('Phân công'!#REF!='Thù lao'!A13)*(RIGHT('Phân công'!#REF!,3)="412"))</f>
        <v>#REF!</v>
      </c>
      <c r="AJ13" s="29" t="e">
        <f>SUMPRODUCT(('Phân công'!#REF!='Thù lao'!A13)*(RIGHT('Phân công'!#REF!,3)="414"))</f>
        <v>#REF!</v>
      </c>
      <c r="AK13" s="26" t="e">
        <f>SUMPRODUCT(('Phân công'!#REF!='Thù lao'!A13)*(RIGHT('Phân công'!#REF!,3)="04C")*('Phân công'!#REF!="Tiếng Việt"))</f>
        <v>#REF!</v>
      </c>
      <c r="AL13" s="26" t="e">
        <f>SUMPRODUCT(('Phân công'!#REF!='Thù lao'!A13)*(RIGHT('Phân công'!#REF!,3)="04C")*('Phân công'!#REF!="Tiếng Anh"))</f>
        <v>#REF!</v>
      </c>
      <c r="AM13" s="26" t="e">
        <f>SUMPRODUCT(('Phân công'!#REF!='Thù lao'!A13)*(RIGHT('Phân công'!#REF!,3)="14C")*('Phân công'!#REF!="Tiếng Việt"))</f>
        <v>#REF!</v>
      </c>
      <c r="AN13" s="27" t="e">
        <f>SUMPRODUCT(('Phân công'!#REF!='Thù lao'!A13)*(RIGHT('Phân công'!#REF!,3)="14C")*('Phân công'!#REF!="Tiếng Anh"))</f>
        <v>#REF!</v>
      </c>
      <c r="AO13" s="26" t="e">
        <f>SUMPRODUCT(('Phân công'!#REF!='Thù lao'!A13)*(RIGHT('Phân công'!#REF!,3)="4CA"))</f>
        <v>#REF!</v>
      </c>
      <c r="AP13" s="25" t="e">
        <f>SUMPRODUCT(('Phân công'!#REF!='Thù lao'!A13)*(RIGHT('Phân công'!#REF!,3)="404"))</f>
        <v>#REF!</v>
      </c>
      <c r="AQ13" s="29" t="e">
        <f>SUMPRODUCT(('Phân công'!#REF!='Thù lao'!A13)*(RIGHT('Phân công'!#REF!,3)="412"))</f>
        <v>#REF!</v>
      </c>
      <c r="AR13" s="29" t="e">
        <f>SUMPRODUCT(('Phân công'!#REF!='Thù lao'!A13)*(RIGHT('Phân công'!#REF!,3)="414"))</f>
        <v>#REF!</v>
      </c>
      <c r="AS13" s="26" t="e">
        <f>SUMPRODUCT(('Phân công'!#REF!='Thù lao'!A13)*(RIGHT('Phân công'!#REF!,3)="04C")*('Phân công'!#REF!="Tiếng Việt"))</f>
        <v>#REF!</v>
      </c>
      <c r="AT13" s="26" t="e">
        <f>SUMPRODUCT(('Phân công'!#REF!='Thù lao'!A13)*(RIGHT('Phân công'!#REF!,3)="04C")*('Phân công'!#REF!="Tiếng Anh"))</f>
        <v>#REF!</v>
      </c>
      <c r="AU13" s="26" t="e">
        <f>SUMPRODUCT(('Phân công'!#REF!='Thù lao'!A13)*(RIGHT('Phân công'!#REF!,3)="14C")*('Phân công'!#REF!="Tiếng Việt"))</f>
        <v>#REF!</v>
      </c>
      <c r="AV13" s="27" t="e">
        <f>SUMPRODUCT(('Phân công'!#REF!='Thù lao'!A13)*(RIGHT('Phân công'!#REF!,3)="14C")*('Phân công'!#REF!="Tiếng Anh"))</f>
        <v>#REF!</v>
      </c>
      <c r="AW13" s="26" t="e">
        <f>SUMPRODUCT(('Phân công'!#REF!='Thù lao'!A13)*(RIGHT('Phân công'!#REF!,3)="4CA"))</f>
        <v>#REF!</v>
      </c>
      <c r="AX13" s="25" t="e">
        <f t="shared" ref="AX13:BE13" si="19">AP13+AH13+Z13+R13</f>
        <v>#REF!</v>
      </c>
      <c r="AY13" s="25" t="e">
        <f t="shared" si="19"/>
        <v>#REF!</v>
      </c>
      <c r="AZ13" s="25" t="e">
        <f t="shared" si="19"/>
        <v>#REF!</v>
      </c>
      <c r="BA13" s="25" t="e">
        <f t="shared" si="19"/>
        <v>#REF!</v>
      </c>
      <c r="BB13" s="25" t="e">
        <f t="shared" si="19"/>
        <v>#REF!</v>
      </c>
      <c r="BC13" s="25" t="e">
        <f t="shared" si="19"/>
        <v>#REF!</v>
      </c>
      <c r="BD13" s="25" t="e">
        <f t="shared" si="19"/>
        <v>#REF!</v>
      </c>
      <c r="BE13" s="25" t="e">
        <f t="shared" si="19"/>
        <v>#REF!</v>
      </c>
      <c r="BF13" s="30" t="e">
        <f t="shared" si="1"/>
        <v>#REF!</v>
      </c>
      <c r="BG13" s="30" t="e">
        <f t="shared" si="2"/>
        <v>#REF!</v>
      </c>
      <c r="BH13" s="30" t="e">
        <f t="shared" si="3"/>
        <v>#REF!</v>
      </c>
      <c r="BI13" s="30" t="e">
        <f t="shared" si="4"/>
        <v>#REF!</v>
      </c>
      <c r="BJ13" s="30" t="e">
        <f t="shared" si="5"/>
        <v>#REF!</v>
      </c>
      <c r="BK13" s="30" t="e">
        <f t="shared" si="6"/>
        <v>#REF!</v>
      </c>
      <c r="BL13" s="31" t="e">
        <f t="shared" si="7"/>
        <v>#REF!</v>
      </c>
      <c r="BM13" s="31" t="e">
        <f t="shared" si="8"/>
        <v>#REF!</v>
      </c>
      <c r="BN13" s="31" t="e">
        <f t="shared" si="9"/>
        <v>#REF!</v>
      </c>
      <c r="BO13" s="31" t="e">
        <f t="shared" si="10"/>
        <v>#REF!</v>
      </c>
    </row>
    <row r="14" spans="1:67" ht="15.75" customHeight="1" x14ac:dyDescent="0.35">
      <c r="A14" s="2" t="s">
        <v>19</v>
      </c>
      <c r="B14" s="25" t="e">
        <f>SUMPRODUCT(('Phân công'!#REF!=$A14)*('Phân công'!#REF!="X")*(RIGHT('Phân công'!#REF!,3)="404"))</f>
        <v>#REF!</v>
      </c>
      <c r="C14" s="26" t="e">
        <f>SUMPRODUCT(('Phân công'!#REF!=$A14)*('Phân công'!#REF!="X")*(RIGHT('Phân công'!#REF!,3)="412"))</f>
        <v>#REF!</v>
      </c>
      <c r="D14" s="26" t="e">
        <f>SUMPRODUCT(('Phân công'!#REF!=$A14)*('Phân công'!#REF!="X")*(RIGHT('Phân công'!#REF!,3)="414"))</f>
        <v>#REF!</v>
      </c>
      <c r="E14" s="26" t="e">
        <f>SUMPRODUCT(('Phân công'!#REF!=$A14)*('Phân công'!#REF!="X")*(RIGHT('Phân công'!#REF!,4)="404C")*('Phân công'!#REF!="Tiếng Việt"))</f>
        <v>#REF!</v>
      </c>
      <c r="F14" s="26" t="e">
        <f>SUMPRODUCT(('Phân công'!#REF!=$A14)*('Phân công'!#REF!="X")*(RIGHT('Phân công'!#REF!,4)="404C")*('Phân công'!#REF!="Tiếng Anh"))</f>
        <v>#REF!</v>
      </c>
      <c r="G14" s="26" t="e">
        <f>SUMPRODUCT(('Phân công'!#REF!=$A14)*('Phân công'!#REF!="X")*(RIGHT('Phân công'!#REF!,4)="414C")*('Phân công'!#REF!="Tiếng Việt"))</f>
        <v>#REF!</v>
      </c>
      <c r="H14" s="27" t="e">
        <f>SUMPRODUCT(('Phân công'!#REF!=$A14)*('Phân công'!#REF!="X")*(RIGHT('Phân công'!#REF!,4)="414C")*('Phân công'!#REF!="Tiếng Anh"))</f>
        <v>#REF!</v>
      </c>
      <c r="I14" s="28" t="e">
        <f>SUMPRODUCT(('Phân công'!#REF!=$A14)*('Phân công'!#REF!="X")*(RIGHT('Phân công'!#REF!,5)="404CA"))</f>
        <v>#REF!</v>
      </c>
      <c r="J14" s="25" t="e">
        <f>SUMPRODUCT(('Phân công'!#REF!=$A14)*('Phân công'!#REF!="X")*(RIGHT('Phân công'!#REF!,3)="404"))</f>
        <v>#REF!</v>
      </c>
      <c r="K14" s="26" t="e">
        <f>SUMPRODUCT(('Phân công'!#REF!=$A14)*('Phân công'!#REF!="X")*(RIGHT('Phân công'!#REF!,3)="412"))</f>
        <v>#REF!</v>
      </c>
      <c r="L14" s="26" t="e">
        <f>SUMPRODUCT(('Phân công'!#REF!=$A14)*('Phân công'!#REF!="X")*(RIGHT('Phân công'!#REF!,3)="414"))</f>
        <v>#REF!</v>
      </c>
      <c r="M14" s="26" t="e">
        <f>SUMPRODUCT(('Phân công'!#REF!=$A14)*('Phân công'!#REF!="X")*(RIGHT('Phân công'!#REF!,3)="04C")*('Phân công'!#REF!="Tiếng Việt"))</f>
        <v>#REF!</v>
      </c>
      <c r="N14" s="26" t="e">
        <f>SUMPRODUCT(('Phân công'!#REF!=$A14)*('Phân công'!#REF!="X")*(RIGHT('Phân công'!#REF!,3)="04C")*('Phân công'!#REF!="Tiếng Anh"))</f>
        <v>#REF!</v>
      </c>
      <c r="O14" s="26" t="e">
        <f>SUMPRODUCT(('Phân công'!#REF!=$A14)*('Phân công'!#REF!="X")*(RIGHT('Phân công'!#REF!,3)="14C")*('Phân công'!#REF!="Tiếng Việt"))</f>
        <v>#REF!</v>
      </c>
      <c r="P14" s="27" t="e">
        <f>SUMPRODUCT(('Phân công'!#REF!=$A14)*('Phân công'!#REF!="X")*(RIGHT('Phân công'!#REF!,3)="14C")*('Phân công'!#REF!="Tiếng Anh"))</f>
        <v>#REF!</v>
      </c>
      <c r="Q14" s="28" t="e">
        <f>SUMPRODUCT(('Phân công'!#REF!=$A14)*('Phân công'!#REF!="X")*(RIGHT('Phân công'!#REF!,3)="4CA"))</f>
        <v>#REF!</v>
      </c>
      <c r="R14" s="25" t="e">
        <f>SUMPRODUCT(('Phân công'!#REF!='Thù lao'!A14)*(RIGHT('Phân công'!#REF!,3)="404"))</f>
        <v>#REF!</v>
      </c>
      <c r="S14" s="29" t="e">
        <f>SUMPRODUCT(('Phân công'!#REF!='Thù lao'!A14)*(RIGHT('Phân công'!#REF!,3)="412"))</f>
        <v>#REF!</v>
      </c>
      <c r="T14" s="29" t="e">
        <f>SUMPRODUCT(('Phân công'!#REF!='Thù lao'!A14)*(RIGHT('Phân công'!#REF!,3)="414"))</f>
        <v>#REF!</v>
      </c>
      <c r="U14" s="26" t="e">
        <f>SUMPRODUCT(('Phân công'!#REF!='Thù lao'!A14)*(RIGHT('Phân công'!#REF!,3)="04C")*('Phân công'!#REF!="Tiếng Việt"))</f>
        <v>#REF!</v>
      </c>
      <c r="V14" s="26" t="e">
        <f>SUMPRODUCT(('Phân công'!#REF!='Thù lao'!A14)*(RIGHT('Phân công'!#REF!,3)="04C")*('Phân công'!#REF!="Tiếng Anh"))</f>
        <v>#REF!</v>
      </c>
      <c r="W14" s="26" t="e">
        <f>SUMPRODUCT(('Phân công'!#REF!='Thù lao'!A14)*(RIGHT('Phân công'!#REF!,3)="14C")*('Phân công'!#REF!="Tiếng Việt"))</f>
        <v>#REF!</v>
      </c>
      <c r="X14" s="27" t="e">
        <f>SUMPRODUCT(('Phân công'!#REF!='Thù lao'!A14)*(RIGHT('Phân công'!#REF!,3)="14C")*('Phân công'!#REF!="Tiếng Anh"))</f>
        <v>#REF!</v>
      </c>
      <c r="Y14" s="26" t="e">
        <f>SUMPRODUCT(('Phân công'!#REF!='Thù lao'!A14)*(RIGHT('Phân công'!#REF!,3)="4CA"))</f>
        <v>#REF!</v>
      </c>
      <c r="Z14" s="25" t="e">
        <f>SUMPRODUCT(('Phân công'!#REF!='Thù lao'!A14)*(RIGHT('Phân công'!#REF!,3)="404"))</f>
        <v>#REF!</v>
      </c>
      <c r="AA14" s="29" t="e">
        <f>SUMPRODUCT(('Phân công'!#REF!='Thù lao'!A14)*(RIGHT('Phân công'!#REF!,3)="412"))</f>
        <v>#REF!</v>
      </c>
      <c r="AB14" s="29" t="e">
        <f>SUMPRODUCT(('Phân công'!#REF!='Thù lao'!A14)*(RIGHT('Phân công'!#REF!,3)="414"))</f>
        <v>#REF!</v>
      </c>
      <c r="AC14" s="26" t="e">
        <f>SUMPRODUCT(('Phân công'!#REF!='Thù lao'!A14)*(RIGHT('Phân công'!#REF!,3)="04C")*('Phân công'!#REF!="Tiếng Việt"))</f>
        <v>#REF!</v>
      </c>
      <c r="AD14" s="26" t="e">
        <f>SUMPRODUCT(('Phân công'!#REF!='Thù lao'!A14)*(RIGHT('Phân công'!#REF!,3)="04C")*('Phân công'!#REF!="Tiếng Anh"))</f>
        <v>#REF!</v>
      </c>
      <c r="AE14" s="26" t="e">
        <f>SUMPRODUCT(('Phân công'!#REF!='Thù lao'!A14)*(RIGHT('Phân công'!#REF!,3)="14C")*('Phân công'!#REF!="Tiếng Việt"))</f>
        <v>#REF!</v>
      </c>
      <c r="AF14" s="27" t="e">
        <f>SUMPRODUCT(('Phân công'!#REF!='Thù lao'!A14)*(RIGHT('Phân công'!#REF!,3)="14C")*('Phân công'!#REF!="Tiếng Anh"))</f>
        <v>#REF!</v>
      </c>
      <c r="AG14" s="26" t="e">
        <f>SUMPRODUCT(('Phân công'!#REF!='Thù lao'!A14)*(RIGHT('Phân công'!#REF!,3)="4CA"))</f>
        <v>#REF!</v>
      </c>
      <c r="AH14" s="25" t="e">
        <f>SUMPRODUCT(('Phân công'!#REF!='Thù lao'!A14)*(RIGHT('Phân công'!#REF!,3)="404"))</f>
        <v>#REF!</v>
      </c>
      <c r="AI14" s="29" t="e">
        <f>SUMPRODUCT(('Phân công'!#REF!='Thù lao'!A14)*(RIGHT('Phân công'!#REF!,3)="412"))</f>
        <v>#REF!</v>
      </c>
      <c r="AJ14" s="29" t="e">
        <f>SUMPRODUCT(('Phân công'!#REF!='Thù lao'!A14)*(RIGHT('Phân công'!#REF!,3)="414"))</f>
        <v>#REF!</v>
      </c>
      <c r="AK14" s="26" t="e">
        <f>SUMPRODUCT(('Phân công'!#REF!='Thù lao'!A14)*(RIGHT('Phân công'!#REF!,3)="04C")*('Phân công'!#REF!="Tiếng Việt"))</f>
        <v>#REF!</v>
      </c>
      <c r="AL14" s="26" t="e">
        <f>SUMPRODUCT(('Phân công'!#REF!='Thù lao'!A14)*(RIGHT('Phân công'!#REF!,3)="04C")*('Phân công'!#REF!="Tiếng Anh"))</f>
        <v>#REF!</v>
      </c>
      <c r="AM14" s="26" t="e">
        <f>SUMPRODUCT(('Phân công'!#REF!='Thù lao'!A14)*(RIGHT('Phân công'!#REF!,3)="14C")*('Phân công'!#REF!="Tiếng Việt"))</f>
        <v>#REF!</v>
      </c>
      <c r="AN14" s="27" t="e">
        <f>SUMPRODUCT(('Phân công'!#REF!='Thù lao'!A14)*(RIGHT('Phân công'!#REF!,3)="14C")*('Phân công'!#REF!="Tiếng Anh"))</f>
        <v>#REF!</v>
      </c>
      <c r="AO14" s="26" t="e">
        <f>SUMPRODUCT(('Phân công'!#REF!='Thù lao'!A14)*(RIGHT('Phân công'!#REF!,3)="4CA"))</f>
        <v>#REF!</v>
      </c>
      <c r="AP14" s="25" t="e">
        <f>SUMPRODUCT(('Phân công'!#REF!='Thù lao'!A14)*(RIGHT('Phân công'!#REF!,3)="404"))</f>
        <v>#REF!</v>
      </c>
      <c r="AQ14" s="29" t="e">
        <f>SUMPRODUCT(('Phân công'!#REF!='Thù lao'!A14)*(RIGHT('Phân công'!#REF!,3)="412"))</f>
        <v>#REF!</v>
      </c>
      <c r="AR14" s="29" t="e">
        <f>SUMPRODUCT(('Phân công'!#REF!='Thù lao'!A14)*(RIGHT('Phân công'!#REF!,3)="414"))</f>
        <v>#REF!</v>
      </c>
      <c r="AS14" s="26" t="e">
        <f>SUMPRODUCT(('Phân công'!#REF!='Thù lao'!A14)*(RIGHT('Phân công'!#REF!,3)="04C")*('Phân công'!#REF!="Tiếng Việt"))</f>
        <v>#REF!</v>
      </c>
      <c r="AT14" s="26" t="e">
        <f>SUMPRODUCT(('Phân công'!#REF!='Thù lao'!A14)*(RIGHT('Phân công'!#REF!,3)="04C")*('Phân công'!#REF!="Tiếng Anh"))</f>
        <v>#REF!</v>
      </c>
      <c r="AU14" s="26" t="e">
        <f>SUMPRODUCT(('Phân công'!#REF!='Thù lao'!A14)*(RIGHT('Phân công'!#REF!,3)="14C")*('Phân công'!#REF!="Tiếng Việt"))</f>
        <v>#REF!</v>
      </c>
      <c r="AV14" s="27" t="e">
        <f>SUMPRODUCT(('Phân công'!#REF!='Thù lao'!A14)*(RIGHT('Phân công'!#REF!,3)="14C")*('Phân công'!#REF!="Tiếng Anh"))</f>
        <v>#REF!</v>
      </c>
      <c r="AW14" s="26" t="e">
        <f>SUMPRODUCT(('Phân công'!#REF!='Thù lao'!A14)*(RIGHT('Phân công'!#REF!,3)="4CA"))</f>
        <v>#REF!</v>
      </c>
      <c r="AX14" s="25" t="e">
        <f t="shared" ref="AX14:BE14" si="20">AP14+AH14+Z14+R14</f>
        <v>#REF!</v>
      </c>
      <c r="AY14" s="25" t="e">
        <f t="shared" si="20"/>
        <v>#REF!</v>
      </c>
      <c r="AZ14" s="25" t="e">
        <f t="shared" si="20"/>
        <v>#REF!</v>
      </c>
      <c r="BA14" s="25" t="e">
        <f t="shared" si="20"/>
        <v>#REF!</v>
      </c>
      <c r="BB14" s="25" t="e">
        <f t="shared" si="20"/>
        <v>#REF!</v>
      </c>
      <c r="BC14" s="25" t="e">
        <f t="shared" si="20"/>
        <v>#REF!</v>
      </c>
      <c r="BD14" s="25" t="e">
        <f t="shared" si="20"/>
        <v>#REF!</v>
      </c>
      <c r="BE14" s="25" t="e">
        <f t="shared" si="20"/>
        <v>#REF!</v>
      </c>
      <c r="BF14" s="30" t="e">
        <f t="shared" si="1"/>
        <v>#REF!</v>
      </c>
      <c r="BG14" s="30" t="e">
        <f t="shared" si="2"/>
        <v>#REF!</v>
      </c>
      <c r="BH14" s="30" t="e">
        <f t="shared" si="3"/>
        <v>#REF!</v>
      </c>
      <c r="BI14" s="30" t="e">
        <f t="shared" si="4"/>
        <v>#REF!</v>
      </c>
      <c r="BJ14" s="30" t="e">
        <f t="shared" si="5"/>
        <v>#REF!</v>
      </c>
      <c r="BK14" s="30" t="e">
        <f t="shared" si="6"/>
        <v>#REF!</v>
      </c>
      <c r="BL14" s="31" t="e">
        <f t="shared" si="7"/>
        <v>#REF!</v>
      </c>
      <c r="BM14" s="31" t="e">
        <f t="shared" si="8"/>
        <v>#REF!</v>
      </c>
      <c r="BN14" s="31" t="e">
        <f t="shared" si="9"/>
        <v>#REF!</v>
      </c>
      <c r="BO14" s="31" t="e">
        <f t="shared" si="10"/>
        <v>#REF!</v>
      </c>
    </row>
    <row r="15" spans="1:67" ht="15.75" customHeight="1" x14ac:dyDescent="0.35">
      <c r="A15" s="2" t="s">
        <v>53</v>
      </c>
      <c r="B15" s="25" t="e">
        <f>SUMPRODUCT(('Phân công'!#REF!=$A15)*('Phân công'!#REF!="X")*(RIGHT('Phân công'!#REF!,3)="404"))</f>
        <v>#REF!</v>
      </c>
      <c r="C15" s="26" t="e">
        <f>SUMPRODUCT(('Phân công'!#REF!=$A15)*('Phân công'!#REF!="X")*(RIGHT('Phân công'!#REF!,3)="412"))</f>
        <v>#REF!</v>
      </c>
      <c r="D15" s="26" t="e">
        <f>SUMPRODUCT(('Phân công'!#REF!=$A15)*('Phân công'!#REF!="X")*(RIGHT('Phân công'!#REF!,3)="414"))</f>
        <v>#REF!</v>
      </c>
      <c r="E15" s="26" t="e">
        <f>SUMPRODUCT(('Phân công'!#REF!=$A15)*('Phân công'!#REF!="X")*(RIGHT('Phân công'!#REF!,4)="404C")*('Phân công'!#REF!="Tiếng Việt"))</f>
        <v>#REF!</v>
      </c>
      <c r="F15" s="26" t="e">
        <f>SUMPRODUCT(('Phân công'!#REF!=$A15)*('Phân công'!#REF!="X")*(RIGHT('Phân công'!#REF!,4)="404C")*('Phân công'!#REF!="Tiếng Anh"))</f>
        <v>#REF!</v>
      </c>
      <c r="G15" s="26" t="e">
        <f>SUMPRODUCT(('Phân công'!#REF!=$A15)*('Phân công'!#REF!="X")*(RIGHT('Phân công'!#REF!,4)="414C")*('Phân công'!#REF!="Tiếng Việt"))</f>
        <v>#REF!</v>
      </c>
      <c r="H15" s="27" t="e">
        <f>SUMPRODUCT(('Phân công'!#REF!=$A15)*('Phân công'!#REF!="X")*(RIGHT('Phân công'!#REF!,4)="414C")*('Phân công'!#REF!="Tiếng Anh"))</f>
        <v>#REF!</v>
      </c>
      <c r="I15" s="28" t="e">
        <f>SUMPRODUCT(('Phân công'!#REF!=$A15)*('Phân công'!#REF!="X")*(RIGHT('Phân công'!#REF!,5)="404CA"))</f>
        <v>#REF!</v>
      </c>
      <c r="J15" s="25" t="e">
        <f>SUMPRODUCT(('Phân công'!#REF!=$A15)*('Phân công'!#REF!="X")*(RIGHT('Phân công'!#REF!,3)="404"))</f>
        <v>#REF!</v>
      </c>
      <c r="K15" s="26" t="e">
        <f>SUMPRODUCT(('Phân công'!#REF!=$A15)*('Phân công'!#REF!="X")*(RIGHT('Phân công'!#REF!,3)="412"))</f>
        <v>#REF!</v>
      </c>
      <c r="L15" s="26" t="e">
        <f>SUMPRODUCT(('Phân công'!#REF!=$A15)*('Phân công'!#REF!="X")*(RIGHT('Phân công'!#REF!,3)="414"))</f>
        <v>#REF!</v>
      </c>
      <c r="M15" s="26" t="e">
        <f>SUMPRODUCT(('Phân công'!#REF!=$A15)*('Phân công'!#REF!="X")*(RIGHT('Phân công'!#REF!,3)="04C")*('Phân công'!#REF!="Tiếng Việt"))</f>
        <v>#REF!</v>
      </c>
      <c r="N15" s="26" t="e">
        <f>SUMPRODUCT(('Phân công'!#REF!=$A15)*('Phân công'!#REF!="X")*(RIGHT('Phân công'!#REF!,3)="04C")*('Phân công'!#REF!="Tiếng Anh"))</f>
        <v>#REF!</v>
      </c>
      <c r="O15" s="26" t="e">
        <f>SUMPRODUCT(('Phân công'!#REF!=$A15)*('Phân công'!#REF!="X")*(RIGHT('Phân công'!#REF!,3)="14C")*('Phân công'!#REF!="Tiếng Việt"))</f>
        <v>#REF!</v>
      </c>
      <c r="P15" s="27" t="e">
        <f>SUMPRODUCT(('Phân công'!#REF!=$A15)*('Phân công'!#REF!="X")*(RIGHT('Phân công'!#REF!,3)="14C")*('Phân công'!#REF!="Tiếng Anh"))</f>
        <v>#REF!</v>
      </c>
      <c r="Q15" s="28" t="e">
        <f>SUMPRODUCT(('Phân công'!#REF!=$A15)*('Phân công'!#REF!="X")*(RIGHT('Phân công'!#REF!,3)="4CA"))</f>
        <v>#REF!</v>
      </c>
      <c r="R15" s="25" t="e">
        <f>SUMPRODUCT(('Phân công'!#REF!='Thù lao'!A15)*(RIGHT('Phân công'!#REF!,3)="404"))</f>
        <v>#REF!</v>
      </c>
      <c r="S15" s="29" t="e">
        <f>SUMPRODUCT(('Phân công'!#REF!='Thù lao'!A15)*(RIGHT('Phân công'!#REF!,3)="412"))</f>
        <v>#REF!</v>
      </c>
      <c r="T15" s="29" t="e">
        <f>SUMPRODUCT(('Phân công'!#REF!='Thù lao'!A15)*(RIGHT('Phân công'!#REF!,3)="414"))</f>
        <v>#REF!</v>
      </c>
      <c r="U15" s="26" t="e">
        <f>SUMPRODUCT(('Phân công'!#REF!='Thù lao'!A15)*(RIGHT('Phân công'!#REF!,3)="04C")*('Phân công'!#REF!="Tiếng Việt"))</f>
        <v>#REF!</v>
      </c>
      <c r="V15" s="26" t="e">
        <f>SUMPRODUCT(('Phân công'!#REF!='Thù lao'!A15)*(RIGHT('Phân công'!#REF!,3)="04C")*('Phân công'!#REF!="Tiếng Anh"))</f>
        <v>#REF!</v>
      </c>
      <c r="W15" s="26" t="e">
        <f>SUMPRODUCT(('Phân công'!#REF!='Thù lao'!A15)*(RIGHT('Phân công'!#REF!,3)="14C")*('Phân công'!#REF!="Tiếng Việt"))</f>
        <v>#REF!</v>
      </c>
      <c r="X15" s="27" t="e">
        <f>SUMPRODUCT(('Phân công'!#REF!='Thù lao'!A15)*(RIGHT('Phân công'!#REF!,3)="14C")*('Phân công'!#REF!="Tiếng Anh"))</f>
        <v>#REF!</v>
      </c>
      <c r="Y15" s="26" t="e">
        <f>SUMPRODUCT(('Phân công'!#REF!='Thù lao'!A15)*(RIGHT('Phân công'!#REF!,3)="4CA"))</f>
        <v>#REF!</v>
      </c>
      <c r="Z15" s="25" t="e">
        <f>SUMPRODUCT(('Phân công'!#REF!='Thù lao'!A15)*(RIGHT('Phân công'!#REF!,3)="404"))</f>
        <v>#REF!</v>
      </c>
      <c r="AA15" s="29" t="e">
        <f>SUMPRODUCT(('Phân công'!#REF!='Thù lao'!A15)*(RIGHT('Phân công'!#REF!,3)="412"))</f>
        <v>#REF!</v>
      </c>
      <c r="AB15" s="29" t="e">
        <f>SUMPRODUCT(('Phân công'!#REF!='Thù lao'!A15)*(RIGHT('Phân công'!#REF!,3)="414"))</f>
        <v>#REF!</v>
      </c>
      <c r="AC15" s="26" t="e">
        <f>SUMPRODUCT(('Phân công'!#REF!='Thù lao'!A15)*(RIGHT('Phân công'!#REF!,3)="04C")*('Phân công'!#REF!="Tiếng Việt"))</f>
        <v>#REF!</v>
      </c>
      <c r="AD15" s="26" t="e">
        <f>SUMPRODUCT(('Phân công'!#REF!='Thù lao'!A15)*(RIGHT('Phân công'!#REF!,3)="04C")*('Phân công'!#REF!="Tiếng Anh"))</f>
        <v>#REF!</v>
      </c>
      <c r="AE15" s="26" t="e">
        <f>SUMPRODUCT(('Phân công'!#REF!='Thù lao'!A15)*(RIGHT('Phân công'!#REF!,3)="14C")*('Phân công'!#REF!="Tiếng Việt"))</f>
        <v>#REF!</v>
      </c>
      <c r="AF15" s="27" t="e">
        <f>SUMPRODUCT(('Phân công'!#REF!='Thù lao'!A15)*(RIGHT('Phân công'!#REF!,3)="14C")*('Phân công'!#REF!="Tiếng Anh"))</f>
        <v>#REF!</v>
      </c>
      <c r="AG15" s="26" t="e">
        <f>SUMPRODUCT(('Phân công'!#REF!='Thù lao'!A15)*(RIGHT('Phân công'!#REF!,3)="4CA"))</f>
        <v>#REF!</v>
      </c>
      <c r="AH15" s="25" t="e">
        <f>SUMPRODUCT(('Phân công'!#REF!='Thù lao'!A15)*(RIGHT('Phân công'!#REF!,3)="404"))</f>
        <v>#REF!</v>
      </c>
      <c r="AI15" s="29" t="e">
        <f>SUMPRODUCT(('Phân công'!#REF!='Thù lao'!A15)*(RIGHT('Phân công'!#REF!,3)="412"))</f>
        <v>#REF!</v>
      </c>
      <c r="AJ15" s="29" t="e">
        <f>SUMPRODUCT(('Phân công'!#REF!='Thù lao'!A15)*(RIGHT('Phân công'!#REF!,3)="414"))</f>
        <v>#REF!</v>
      </c>
      <c r="AK15" s="26" t="e">
        <f>SUMPRODUCT(('Phân công'!#REF!='Thù lao'!A15)*(RIGHT('Phân công'!#REF!,3)="04C")*('Phân công'!#REF!="Tiếng Việt"))</f>
        <v>#REF!</v>
      </c>
      <c r="AL15" s="26" t="e">
        <f>SUMPRODUCT(('Phân công'!#REF!='Thù lao'!A15)*(RIGHT('Phân công'!#REF!,3)="04C")*('Phân công'!#REF!="Tiếng Anh"))</f>
        <v>#REF!</v>
      </c>
      <c r="AM15" s="26" t="e">
        <f>SUMPRODUCT(('Phân công'!#REF!='Thù lao'!A15)*(RIGHT('Phân công'!#REF!,3)="14C")*('Phân công'!#REF!="Tiếng Việt"))</f>
        <v>#REF!</v>
      </c>
      <c r="AN15" s="27" t="e">
        <f>SUMPRODUCT(('Phân công'!#REF!='Thù lao'!A15)*(RIGHT('Phân công'!#REF!,3)="14C")*('Phân công'!#REF!="Tiếng Anh"))</f>
        <v>#REF!</v>
      </c>
      <c r="AO15" s="26" t="e">
        <f>SUMPRODUCT(('Phân công'!#REF!='Thù lao'!A15)*(RIGHT('Phân công'!#REF!,3)="4CA"))</f>
        <v>#REF!</v>
      </c>
      <c r="AP15" s="25" t="e">
        <f>SUMPRODUCT(('Phân công'!#REF!='Thù lao'!A15)*(RIGHT('Phân công'!#REF!,3)="404"))</f>
        <v>#REF!</v>
      </c>
      <c r="AQ15" s="29" t="e">
        <f>SUMPRODUCT(('Phân công'!#REF!='Thù lao'!A15)*(RIGHT('Phân công'!#REF!,3)="412"))</f>
        <v>#REF!</v>
      </c>
      <c r="AR15" s="29" t="e">
        <f>SUMPRODUCT(('Phân công'!#REF!='Thù lao'!A15)*(RIGHT('Phân công'!#REF!,3)="414"))</f>
        <v>#REF!</v>
      </c>
      <c r="AS15" s="26" t="e">
        <f>SUMPRODUCT(('Phân công'!#REF!='Thù lao'!A15)*(RIGHT('Phân công'!#REF!,3)="04C")*('Phân công'!#REF!="Tiếng Việt"))</f>
        <v>#REF!</v>
      </c>
      <c r="AT15" s="26" t="e">
        <f>SUMPRODUCT(('Phân công'!#REF!='Thù lao'!A15)*(RIGHT('Phân công'!#REF!,3)="04C")*('Phân công'!#REF!="Tiếng Anh"))</f>
        <v>#REF!</v>
      </c>
      <c r="AU15" s="26" t="e">
        <f>SUMPRODUCT(('Phân công'!#REF!='Thù lao'!A15)*(RIGHT('Phân công'!#REF!,3)="14C")*('Phân công'!#REF!="Tiếng Việt"))</f>
        <v>#REF!</v>
      </c>
      <c r="AV15" s="27" t="e">
        <f>SUMPRODUCT(('Phân công'!#REF!='Thù lao'!A15)*(RIGHT('Phân công'!#REF!,3)="14C")*('Phân công'!#REF!="Tiếng Anh"))</f>
        <v>#REF!</v>
      </c>
      <c r="AW15" s="26" t="e">
        <f>SUMPRODUCT(('Phân công'!#REF!='Thù lao'!A15)*(RIGHT('Phân công'!#REF!,3)="4CA"))</f>
        <v>#REF!</v>
      </c>
      <c r="AX15" s="25" t="e">
        <f t="shared" ref="AX15:BE15" si="21">AP15+AH15+Z15+R15</f>
        <v>#REF!</v>
      </c>
      <c r="AY15" s="25" t="e">
        <f t="shared" si="21"/>
        <v>#REF!</v>
      </c>
      <c r="AZ15" s="25" t="e">
        <f t="shared" si="21"/>
        <v>#REF!</v>
      </c>
      <c r="BA15" s="25" t="e">
        <f t="shared" si="21"/>
        <v>#REF!</v>
      </c>
      <c r="BB15" s="25" t="e">
        <f t="shared" si="21"/>
        <v>#REF!</v>
      </c>
      <c r="BC15" s="25" t="e">
        <f t="shared" si="21"/>
        <v>#REF!</v>
      </c>
      <c r="BD15" s="25" t="e">
        <f t="shared" si="21"/>
        <v>#REF!</v>
      </c>
      <c r="BE15" s="25" t="e">
        <f t="shared" si="21"/>
        <v>#REF!</v>
      </c>
      <c r="BF15" s="30" t="e">
        <f t="shared" si="1"/>
        <v>#REF!</v>
      </c>
      <c r="BG15" s="30" t="e">
        <f t="shared" si="2"/>
        <v>#REF!</v>
      </c>
      <c r="BH15" s="30" t="e">
        <f t="shared" si="3"/>
        <v>#REF!</v>
      </c>
      <c r="BI15" s="30" t="e">
        <f t="shared" si="4"/>
        <v>#REF!</v>
      </c>
      <c r="BJ15" s="30" t="e">
        <f t="shared" si="5"/>
        <v>#REF!</v>
      </c>
      <c r="BK15" s="30" t="e">
        <f t="shared" si="6"/>
        <v>#REF!</v>
      </c>
      <c r="BL15" s="31" t="e">
        <f t="shared" si="7"/>
        <v>#REF!</v>
      </c>
      <c r="BM15" s="31" t="e">
        <f t="shared" si="8"/>
        <v>#REF!</v>
      </c>
      <c r="BN15" s="31" t="e">
        <f t="shared" si="9"/>
        <v>#REF!</v>
      </c>
      <c r="BO15" s="31" t="e">
        <f t="shared" si="10"/>
        <v>#REF!</v>
      </c>
    </row>
    <row r="16" spans="1:67" ht="15.75" customHeight="1" x14ac:dyDescent="0.35">
      <c r="A16" s="2" t="s">
        <v>420</v>
      </c>
      <c r="B16" s="25" t="e">
        <f>SUMPRODUCT(('Phân công'!#REF!=$A16)*('Phân công'!#REF!="X")*(RIGHT('Phân công'!#REF!,3)="404"))</f>
        <v>#REF!</v>
      </c>
      <c r="C16" s="26" t="e">
        <f>SUMPRODUCT(('Phân công'!#REF!=$A16)*('Phân công'!#REF!="X")*(RIGHT('Phân công'!#REF!,3)="412"))</f>
        <v>#REF!</v>
      </c>
      <c r="D16" s="26" t="e">
        <f>SUMPRODUCT(('Phân công'!#REF!=$A16)*('Phân công'!#REF!="X")*(RIGHT('Phân công'!#REF!,3)="414"))</f>
        <v>#REF!</v>
      </c>
      <c r="E16" s="26" t="e">
        <f>SUMPRODUCT(('Phân công'!#REF!=$A16)*('Phân công'!#REF!="X")*(RIGHT('Phân công'!#REF!,4)="404C")*('Phân công'!#REF!="Tiếng Việt"))</f>
        <v>#REF!</v>
      </c>
      <c r="F16" s="26" t="e">
        <f>SUMPRODUCT(('Phân công'!#REF!=$A16)*('Phân công'!#REF!="X")*(RIGHT('Phân công'!#REF!,4)="404C")*('Phân công'!#REF!="Tiếng Anh"))</f>
        <v>#REF!</v>
      </c>
      <c r="G16" s="26" t="e">
        <f>SUMPRODUCT(('Phân công'!#REF!=$A16)*('Phân công'!#REF!="X")*(RIGHT('Phân công'!#REF!,4)="414C")*('Phân công'!#REF!="Tiếng Việt"))</f>
        <v>#REF!</v>
      </c>
      <c r="H16" s="27" t="e">
        <f>SUMPRODUCT(('Phân công'!#REF!=$A16)*('Phân công'!#REF!="X")*(RIGHT('Phân công'!#REF!,4)="414C")*('Phân công'!#REF!="Tiếng Anh"))</f>
        <v>#REF!</v>
      </c>
      <c r="I16" s="28" t="e">
        <f>SUMPRODUCT(('Phân công'!#REF!=$A16)*('Phân công'!#REF!="X")*(RIGHT('Phân công'!#REF!,5)="404CA"))</f>
        <v>#REF!</v>
      </c>
      <c r="J16" s="25" t="e">
        <f>SUMPRODUCT(('Phân công'!#REF!=$A16)*('Phân công'!#REF!="X")*(RIGHT('Phân công'!#REF!,3)="404"))</f>
        <v>#REF!</v>
      </c>
      <c r="K16" s="26" t="e">
        <f>SUMPRODUCT(('Phân công'!#REF!=$A16)*('Phân công'!#REF!="X")*(RIGHT('Phân công'!#REF!,3)="412"))</f>
        <v>#REF!</v>
      </c>
      <c r="L16" s="26" t="e">
        <f>SUMPRODUCT(('Phân công'!#REF!=$A16)*('Phân công'!#REF!="X")*(RIGHT('Phân công'!#REF!,3)="414"))</f>
        <v>#REF!</v>
      </c>
      <c r="M16" s="26" t="e">
        <f>SUMPRODUCT(('Phân công'!#REF!=$A16)*('Phân công'!#REF!="X")*(RIGHT('Phân công'!#REF!,3)="04C")*('Phân công'!#REF!="Tiếng Việt"))</f>
        <v>#REF!</v>
      </c>
      <c r="N16" s="26" t="e">
        <f>SUMPRODUCT(('Phân công'!#REF!=$A16)*('Phân công'!#REF!="X")*(RIGHT('Phân công'!#REF!,3)="04C")*('Phân công'!#REF!="Tiếng Anh"))</f>
        <v>#REF!</v>
      </c>
      <c r="O16" s="26" t="e">
        <f>SUMPRODUCT(('Phân công'!#REF!=$A16)*('Phân công'!#REF!="X")*(RIGHT('Phân công'!#REF!,3)="14C")*('Phân công'!#REF!="Tiếng Việt"))</f>
        <v>#REF!</v>
      </c>
      <c r="P16" s="27" t="e">
        <f>SUMPRODUCT(('Phân công'!#REF!=$A16)*('Phân công'!#REF!="X")*(RIGHT('Phân công'!#REF!,3)="14C")*('Phân công'!#REF!="Tiếng Anh"))</f>
        <v>#REF!</v>
      </c>
      <c r="Q16" s="28" t="e">
        <f>SUMPRODUCT(('Phân công'!#REF!=$A16)*('Phân công'!#REF!="X")*(RIGHT('Phân công'!#REF!,3)="4CA"))</f>
        <v>#REF!</v>
      </c>
      <c r="R16" s="25" t="e">
        <f>SUMPRODUCT(('Phân công'!#REF!='Thù lao'!A16)*(RIGHT('Phân công'!#REF!,3)="404"))</f>
        <v>#REF!</v>
      </c>
      <c r="S16" s="29" t="e">
        <f>SUMPRODUCT(('Phân công'!#REF!='Thù lao'!A16)*(RIGHT('Phân công'!#REF!,3)="412"))</f>
        <v>#REF!</v>
      </c>
      <c r="T16" s="29" t="e">
        <f>SUMPRODUCT(('Phân công'!#REF!='Thù lao'!A16)*(RIGHT('Phân công'!#REF!,3)="414"))</f>
        <v>#REF!</v>
      </c>
      <c r="U16" s="26" t="e">
        <f>SUMPRODUCT(('Phân công'!#REF!='Thù lao'!A16)*(RIGHT('Phân công'!#REF!,3)="04C")*('Phân công'!#REF!="Tiếng Việt"))</f>
        <v>#REF!</v>
      </c>
      <c r="V16" s="26" t="e">
        <f>SUMPRODUCT(('Phân công'!#REF!='Thù lao'!A16)*(RIGHT('Phân công'!#REF!,3)="04C")*('Phân công'!#REF!="Tiếng Anh"))</f>
        <v>#REF!</v>
      </c>
      <c r="W16" s="26" t="e">
        <f>SUMPRODUCT(('Phân công'!#REF!='Thù lao'!A16)*(RIGHT('Phân công'!#REF!,3)="14C")*('Phân công'!#REF!="Tiếng Việt"))</f>
        <v>#REF!</v>
      </c>
      <c r="X16" s="27" t="e">
        <f>SUMPRODUCT(('Phân công'!#REF!='Thù lao'!A16)*(RIGHT('Phân công'!#REF!,3)="14C")*('Phân công'!#REF!="Tiếng Anh"))</f>
        <v>#REF!</v>
      </c>
      <c r="Y16" s="26" t="e">
        <f>SUMPRODUCT(('Phân công'!#REF!='Thù lao'!A16)*(RIGHT('Phân công'!#REF!,3)="4CA"))</f>
        <v>#REF!</v>
      </c>
      <c r="Z16" s="25" t="e">
        <f>SUMPRODUCT(('Phân công'!#REF!='Thù lao'!A16)*(RIGHT('Phân công'!#REF!,3)="404"))</f>
        <v>#REF!</v>
      </c>
      <c r="AA16" s="29" t="e">
        <f>SUMPRODUCT(('Phân công'!#REF!='Thù lao'!A16)*(RIGHT('Phân công'!#REF!,3)="412"))</f>
        <v>#REF!</v>
      </c>
      <c r="AB16" s="29" t="e">
        <f>SUMPRODUCT(('Phân công'!#REF!='Thù lao'!A16)*(RIGHT('Phân công'!#REF!,3)="414"))</f>
        <v>#REF!</v>
      </c>
      <c r="AC16" s="26" t="e">
        <f>SUMPRODUCT(('Phân công'!#REF!='Thù lao'!A16)*(RIGHT('Phân công'!#REF!,3)="04C")*('Phân công'!#REF!="Tiếng Việt"))</f>
        <v>#REF!</v>
      </c>
      <c r="AD16" s="26" t="e">
        <f>SUMPRODUCT(('Phân công'!#REF!='Thù lao'!A16)*(RIGHT('Phân công'!#REF!,3)="04C")*('Phân công'!#REF!="Tiếng Anh"))</f>
        <v>#REF!</v>
      </c>
      <c r="AE16" s="26" t="e">
        <f>SUMPRODUCT(('Phân công'!#REF!='Thù lao'!A16)*(RIGHT('Phân công'!#REF!,3)="14C")*('Phân công'!#REF!="Tiếng Việt"))</f>
        <v>#REF!</v>
      </c>
      <c r="AF16" s="27" t="e">
        <f>SUMPRODUCT(('Phân công'!#REF!='Thù lao'!A16)*(RIGHT('Phân công'!#REF!,3)="14C")*('Phân công'!#REF!="Tiếng Anh"))</f>
        <v>#REF!</v>
      </c>
      <c r="AG16" s="26" t="e">
        <f>SUMPRODUCT(('Phân công'!#REF!='Thù lao'!A16)*(RIGHT('Phân công'!#REF!,3)="4CA"))</f>
        <v>#REF!</v>
      </c>
      <c r="AH16" s="25" t="e">
        <f>SUMPRODUCT(('Phân công'!#REF!='Thù lao'!A16)*(RIGHT('Phân công'!#REF!,3)="404"))</f>
        <v>#REF!</v>
      </c>
      <c r="AI16" s="29" t="e">
        <f>SUMPRODUCT(('Phân công'!#REF!='Thù lao'!A16)*(RIGHT('Phân công'!#REF!,3)="412"))</f>
        <v>#REF!</v>
      </c>
      <c r="AJ16" s="29" t="e">
        <f>SUMPRODUCT(('Phân công'!#REF!='Thù lao'!A16)*(RIGHT('Phân công'!#REF!,3)="414"))</f>
        <v>#REF!</v>
      </c>
      <c r="AK16" s="26" t="e">
        <f>SUMPRODUCT(('Phân công'!#REF!='Thù lao'!A16)*(RIGHT('Phân công'!#REF!,3)="04C")*('Phân công'!#REF!="Tiếng Việt"))</f>
        <v>#REF!</v>
      </c>
      <c r="AL16" s="26" t="e">
        <f>SUMPRODUCT(('Phân công'!#REF!='Thù lao'!A16)*(RIGHT('Phân công'!#REF!,3)="04C")*('Phân công'!#REF!="Tiếng Anh"))</f>
        <v>#REF!</v>
      </c>
      <c r="AM16" s="26" t="e">
        <f>SUMPRODUCT(('Phân công'!#REF!='Thù lao'!A16)*(RIGHT('Phân công'!#REF!,3)="14C")*('Phân công'!#REF!="Tiếng Việt"))</f>
        <v>#REF!</v>
      </c>
      <c r="AN16" s="27" t="e">
        <f>SUMPRODUCT(('Phân công'!#REF!='Thù lao'!A16)*(RIGHT('Phân công'!#REF!,3)="14C")*('Phân công'!#REF!="Tiếng Anh"))</f>
        <v>#REF!</v>
      </c>
      <c r="AO16" s="26" t="e">
        <f>SUMPRODUCT(('Phân công'!#REF!='Thù lao'!A16)*(RIGHT('Phân công'!#REF!,3)="4CA"))</f>
        <v>#REF!</v>
      </c>
      <c r="AP16" s="25" t="e">
        <f>SUMPRODUCT(('Phân công'!#REF!='Thù lao'!A16)*(RIGHT('Phân công'!#REF!,3)="404"))</f>
        <v>#REF!</v>
      </c>
      <c r="AQ16" s="29" t="e">
        <f>SUMPRODUCT(('Phân công'!#REF!='Thù lao'!A16)*(RIGHT('Phân công'!#REF!,3)="412"))</f>
        <v>#REF!</v>
      </c>
      <c r="AR16" s="29" t="e">
        <f>SUMPRODUCT(('Phân công'!#REF!='Thù lao'!A16)*(RIGHT('Phân công'!#REF!,3)="414"))</f>
        <v>#REF!</v>
      </c>
      <c r="AS16" s="26" t="e">
        <f>SUMPRODUCT(('Phân công'!#REF!='Thù lao'!A16)*(RIGHT('Phân công'!#REF!,3)="04C")*('Phân công'!#REF!="Tiếng Việt"))</f>
        <v>#REF!</v>
      </c>
      <c r="AT16" s="26" t="e">
        <f>SUMPRODUCT(('Phân công'!#REF!='Thù lao'!A16)*(RIGHT('Phân công'!#REF!,3)="04C")*('Phân công'!#REF!="Tiếng Anh"))</f>
        <v>#REF!</v>
      </c>
      <c r="AU16" s="26" t="e">
        <f>SUMPRODUCT(('Phân công'!#REF!='Thù lao'!A16)*(RIGHT('Phân công'!#REF!,3)="14C")*('Phân công'!#REF!="Tiếng Việt"))</f>
        <v>#REF!</v>
      </c>
      <c r="AV16" s="27" t="e">
        <f>SUMPRODUCT(('Phân công'!#REF!='Thù lao'!A16)*(RIGHT('Phân công'!#REF!,3)="14C")*('Phân công'!#REF!="Tiếng Anh"))</f>
        <v>#REF!</v>
      </c>
      <c r="AW16" s="26" t="e">
        <f>SUMPRODUCT(('Phân công'!#REF!='Thù lao'!A16)*(RIGHT('Phân công'!#REF!,3)="4CA"))</f>
        <v>#REF!</v>
      </c>
      <c r="AX16" s="25" t="e">
        <f t="shared" ref="AX16:BE16" si="22">AP16+AH16+Z16+R16</f>
        <v>#REF!</v>
      </c>
      <c r="AY16" s="25" t="e">
        <f t="shared" si="22"/>
        <v>#REF!</v>
      </c>
      <c r="AZ16" s="25" t="e">
        <f t="shared" si="22"/>
        <v>#REF!</v>
      </c>
      <c r="BA16" s="25" t="e">
        <f t="shared" si="22"/>
        <v>#REF!</v>
      </c>
      <c r="BB16" s="25" t="e">
        <f t="shared" si="22"/>
        <v>#REF!</v>
      </c>
      <c r="BC16" s="25" t="e">
        <f t="shared" si="22"/>
        <v>#REF!</v>
      </c>
      <c r="BD16" s="25" t="e">
        <f t="shared" si="22"/>
        <v>#REF!</v>
      </c>
      <c r="BE16" s="25" t="e">
        <f t="shared" si="22"/>
        <v>#REF!</v>
      </c>
      <c r="BF16" s="30" t="e">
        <f t="shared" si="1"/>
        <v>#REF!</v>
      </c>
      <c r="BG16" s="30" t="e">
        <f t="shared" si="2"/>
        <v>#REF!</v>
      </c>
      <c r="BH16" s="30" t="e">
        <f t="shared" si="3"/>
        <v>#REF!</v>
      </c>
      <c r="BI16" s="30" t="e">
        <f t="shared" si="4"/>
        <v>#REF!</v>
      </c>
      <c r="BJ16" s="30" t="e">
        <f t="shared" si="5"/>
        <v>#REF!</v>
      </c>
      <c r="BK16" s="30" t="e">
        <f t="shared" si="6"/>
        <v>#REF!</v>
      </c>
      <c r="BL16" s="31" t="e">
        <f t="shared" si="7"/>
        <v>#REF!</v>
      </c>
      <c r="BM16" s="31" t="e">
        <f t="shared" si="8"/>
        <v>#REF!</v>
      </c>
      <c r="BN16" s="31" t="e">
        <f t="shared" si="9"/>
        <v>#REF!</v>
      </c>
      <c r="BO16" s="31" t="e">
        <f t="shared" si="10"/>
        <v>#REF!</v>
      </c>
    </row>
    <row r="17" spans="1:67" ht="15.75" customHeight="1" x14ac:dyDescent="0.35">
      <c r="A17" s="2" t="s">
        <v>151</v>
      </c>
      <c r="B17" s="25" t="e">
        <f>SUMPRODUCT(('Phân công'!#REF!=$A17)*('Phân công'!#REF!="X")*(RIGHT('Phân công'!#REF!,3)="404"))</f>
        <v>#REF!</v>
      </c>
      <c r="C17" s="26" t="e">
        <f>SUMPRODUCT(('Phân công'!#REF!=$A17)*('Phân công'!#REF!="X")*(RIGHT('Phân công'!#REF!,3)="412"))</f>
        <v>#REF!</v>
      </c>
      <c r="D17" s="26" t="e">
        <f>SUMPRODUCT(('Phân công'!#REF!=$A17)*('Phân công'!#REF!="X")*(RIGHT('Phân công'!#REF!,3)="414"))</f>
        <v>#REF!</v>
      </c>
      <c r="E17" s="26" t="e">
        <f>SUMPRODUCT(('Phân công'!#REF!=$A17)*('Phân công'!#REF!="X")*(RIGHT('Phân công'!#REF!,4)="404C")*('Phân công'!#REF!="Tiếng Việt"))</f>
        <v>#REF!</v>
      </c>
      <c r="F17" s="26" t="e">
        <f>SUMPRODUCT(('Phân công'!#REF!=$A17)*('Phân công'!#REF!="X")*(RIGHT('Phân công'!#REF!,4)="404C")*('Phân công'!#REF!="Tiếng Anh"))</f>
        <v>#REF!</v>
      </c>
      <c r="G17" s="26" t="e">
        <f>SUMPRODUCT(('Phân công'!#REF!=$A17)*('Phân công'!#REF!="X")*(RIGHT('Phân công'!#REF!,4)="414C")*('Phân công'!#REF!="Tiếng Việt"))</f>
        <v>#REF!</v>
      </c>
      <c r="H17" s="27" t="e">
        <f>SUMPRODUCT(('Phân công'!#REF!=$A17)*('Phân công'!#REF!="X")*(RIGHT('Phân công'!#REF!,4)="414C")*('Phân công'!#REF!="Tiếng Anh"))</f>
        <v>#REF!</v>
      </c>
      <c r="I17" s="28" t="e">
        <f>SUMPRODUCT(('Phân công'!#REF!=$A17)*('Phân công'!#REF!="X")*(RIGHT('Phân công'!#REF!,5)="404CA"))</f>
        <v>#REF!</v>
      </c>
      <c r="J17" s="25" t="e">
        <f>SUMPRODUCT(('Phân công'!#REF!=$A17)*('Phân công'!#REF!="X")*(RIGHT('Phân công'!#REF!,3)="404"))</f>
        <v>#REF!</v>
      </c>
      <c r="K17" s="26" t="e">
        <f>SUMPRODUCT(('Phân công'!#REF!=$A17)*('Phân công'!#REF!="X")*(RIGHT('Phân công'!#REF!,3)="412"))</f>
        <v>#REF!</v>
      </c>
      <c r="L17" s="26" t="e">
        <f>SUMPRODUCT(('Phân công'!#REF!=$A17)*('Phân công'!#REF!="X")*(RIGHT('Phân công'!#REF!,3)="414"))</f>
        <v>#REF!</v>
      </c>
      <c r="M17" s="26" t="e">
        <f>SUMPRODUCT(('Phân công'!#REF!=$A17)*('Phân công'!#REF!="X")*(RIGHT('Phân công'!#REF!,3)="04C")*('Phân công'!#REF!="Tiếng Việt"))</f>
        <v>#REF!</v>
      </c>
      <c r="N17" s="26" t="e">
        <f>SUMPRODUCT(('Phân công'!#REF!=$A17)*('Phân công'!#REF!="X")*(RIGHT('Phân công'!#REF!,3)="04C")*('Phân công'!#REF!="Tiếng Anh"))</f>
        <v>#REF!</v>
      </c>
      <c r="O17" s="26" t="e">
        <f>SUMPRODUCT(('Phân công'!#REF!=$A17)*('Phân công'!#REF!="X")*(RIGHT('Phân công'!#REF!,3)="14C")*('Phân công'!#REF!="Tiếng Việt"))</f>
        <v>#REF!</v>
      </c>
      <c r="P17" s="27" t="e">
        <f>SUMPRODUCT(('Phân công'!#REF!=$A17)*('Phân công'!#REF!="X")*(RIGHT('Phân công'!#REF!,3)="14C")*('Phân công'!#REF!="Tiếng Anh"))</f>
        <v>#REF!</v>
      </c>
      <c r="Q17" s="28" t="e">
        <f>SUMPRODUCT(('Phân công'!#REF!=$A17)*('Phân công'!#REF!="X")*(RIGHT('Phân công'!#REF!,3)="4CA"))</f>
        <v>#REF!</v>
      </c>
      <c r="R17" s="25" t="e">
        <f>SUMPRODUCT(('Phân công'!#REF!='Thù lao'!A17)*(RIGHT('Phân công'!#REF!,3)="404"))</f>
        <v>#REF!</v>
      </c>
      <c r="S17" s="29" t="e">
        <f>SUMPRODUCT(('Phân công'!#REF!='Thù lao'!A17)*(RIGHT('Phân công'!#REF!,3)="412"))</f>
        <v>#REF!</v>
      </c>
      <c r="T17" s="29" t="e">
        <f>SUMPRODUCT(('Phân công'!#REF!='Thù lao'!A17)*(RIGHT('Phân công'!#REF!,3)="414"))</f>
        <v>#REF!</v>
      </c>
      <c r="U17" s="26" t="e">
        <f>SUMPRODUCT(('Phân công'!#REF!='Thù lao'!A17)*(RIGHT('Phân công'!#REF!,3)="04C")*('Phân công'!#REF!="Tiếng Việt"))</f>
        <v>#REF!</v>
      </c>
      <c r="V17" s="26" t="e">
        <f>SUMPRODUCT(('Phân công'!#REF!='Thù lao'!A17)*(RIGHT('Phân công'!#REF!,3)="04C")*('Phân công'!#REF!="Tiếng Anh"))</f>
        <v>#REF!</v>
      </c>
      <c r="W17" s="26" t="e">
        <f>SUMPRODUCT(('Phân công'!#REF!='Thù lao'!A17)*(RIGHT('Phân công'!#REF!,3)="14C")*('Phân công'!#REF!="Tiếng Việt"))</f>
        <v>#REF!</v>
      </c>
      <c r="X17" s="27" t="e">
        <f>SUMPRODUCT(('Phân công'!#REF!='Thù lao'!A17)*(RIGHT('Phân công'!#REF!,3)="14C")*('Phân công'!#REF!="Tiếng Anh"))</f>
        <v>#REF!</v>
      </c>
      <c r="Y17" s="26" t="e">
        <f>SUMPRODUCT(('Phân công'!#REF!='Thù lao'!A17)*(RIGHT('Phân công'!#REF!,3)="4CA"))</f>
        <v>#REF!</v>
      </c>
      <c r="Z17" s="25" t="e">
        <f>SUMPRODUCT(('Phân công'!#REF!='Thù lao'!A17)*(RIGHT('Phân công'!#REF!,3)="404"))</f>
        <v>#REF!</v>
      </c>
      <c r="AA17" s="29" t="e">
        <f>SUMPRODUCT(('Phân công'!#REF!='Thù lao'!A17)*(RIGHT('Phân công'!#REF!,3)="412"))</f>
        <v>#REF!</v>
      </c>
      <c r="AB17" s="29" t="e">
        <f>SUMPRODUCT(('Phân công'!#REF!='Thù lao'!A17)*(RIGHT('Phân công'!#REF!,3)="414"))</f>
        <v>#REF!</v>
      </c>
      <c r="AC17" s="26" t="e">
        <f>SUMPRODUCT(('Phân công'!#REF!='Thù lao'!A17)*(RIGHT('Phân công'!#REF!,3)="04C")*('Phân công'!#REF!="Tiếng Việt"))</f>
        <v>#REF!</v>
      </c>
      <c r="AD17" s="26" t="e">
        <f>SUMPRODUCT(('Phân công'!#REF!='Thù lao'!A17)*(RIGHT('Phân công'!#REF!,3)="04C")*('Phân công'!#REF!="Tiếng Anh"))</f>
        <v>#REF!</v>
      </c>
      <c r="AE17" s="26" t="e">
        <f>SUMPRODUCT(('Phân công'!#REF!='Thù lao'!A17)*(RIGHT('Phân công'!#REF!,3)="14C")*('Phân công'!#REF!="Tiếng Việt"))</f>
        <v>#REF!</v>
      </c>
      <c r="AF17" s="27" t="e">
        <f>SUMPRODUCT(('Phân công'!#REF!='Thù lao'!A17)*(RIGHT('Phân công'!#REF!,3)="14C")*('Phân công'!#REF!="Tiếng Anh"))</f>
        <v>#REF!</v>
      </c>
      <c r="AG17" s="26" t="e">
        <f>SUMPRODUCT(('Phân công'!#REF!='Thù lao'!A17)*(RIGHT('Phân công'!#REF!,3)="4CA"))</f>
        <v>#REF!</v>
      </c>
      <c r="AH17" s="25" t="e">
        <f>SUMPRODUCT(('Phân công'!#REF!='Thù lao'!A17)*(RIGHT('Phân công'!#REF!,3)="404"))</f>
        <v>#REF!</v>
      </c>
      <c r="AI17" s="29" t="e">
        <f>SUMPRODUCT(('Phân công'!#REF!='Thù lao'!A17)*(RIGHT('Phân công'!#REF!,3)="412"))</f>
        <v>#REF!</v>
      </c>
      <c r="AJ17" s="29" t="e">
        <f>SUMPRODUCT(('Phân công'!#REF!='Thù lao'!A17)*(RIGHT('Phân công'!#REF!,3)="414"))</f>
        <v>#REF!</v>
      </c>
      <c r="AK17" s="26" t="e">
        <f>SUMPRODUCT(('Phân công'!#REF!='Thù lao'!A17)*(RIGHT('Phân công'!#REF!,3)="04C")*('Phân công'!#REF!="Tiếng Việt"))</f>
        <v>#REF!</v>
      </c>
      <c r="AL17" s="26" t="e">
        <f>SUMPRODUCT(('Phân công'!#REF!='Thù lao'!A17)*(RIGHT('Phân công'!#REF!,3)="04C")*('Phân công'!#REF!="Tiếng Anh"))</f>
        <v>#REF!</v>
      </c>
      <c r="AM17" s="26" t="e">
        <f>SUMPRODUCT(('Phân công'!#REF!='Thù lao'!A17)*(RIGHT('Phân công'!#REF!,3)="14C")*('Phân công'!#REF!="Tiếng Việt"))</f>
        <v>#REF!</v>
      </c>
      <c r="AN17" s="27" t="e">
        <f>SUMPRODUCT(('Phân công'!#REF!='Thù lao'!A17)*(RIGHT('Phân công'!#REF!,3)="14C")*('Phân công'!#REF!="Tiếng Anh"))</f>
        <v>#REF!</v>
      </c>
      <c r="AO17" s="26" t="e">
        <f>SUMPRODUCT(('Phân công'!#REF!='Thù lao'!A17)*(RIGHT('Phân công'!#REF!,3)="4CA"))</f>
        <v>#REF!</v>
      </c>
      <c r="AP17" s="25" t="e">
        <f>SUMPRODUCT(('Phân công'!#REF!='Thù lao'!A17)*(RIGHT('Phân công'!#REF!,3)="404"))</f>
        <v>#REF!</v>
      </c>
      <c r="AQ17" s="29" t="e">
        <f>SUMPRODUCT(('Phân công'!#REF!='Thù lao'!A17)*(RIGHT('Phân công'!#REF!,3)="412"))</f>
        <v>#REF!</v>
      </c>
      <c r="AR17" s="29" t="e">
        <f>SUMPRODUCT(('Phân công'!#REF!='Thù lao'!A17)*(RIGHT('Phân công'!#REF!,3)="414"))</f>
        <v>#REF!</v>
      </c>
      <c r="AS17" s="26" t="e">
        <f>SUMPRODUCT(('Phân công'!#REF!='Thù lao'!A17)*(RIGHT('Phân công'!#REF!,3)="04C")*('Phân công'!#REF!="Tiếng Việt"))</f>
        <v>#REF!</v>
      </c>
      <c r="AT17" s="26" t="e">
        <f>SUMPRODUCT(('Phân công'!#REF!='Thù lao'!A17)*(RIGHT('Phân công'!#REF!,3)="04C")*('Phân công'!#REF!="Tiếng Anh"))</f>
        <v>#REF!</v>
      </c>
      <c r="AU17" s="26" t="e">
        <f>SUMPRODUCT(('Phân công'!#REF!='Thù lao'!A17)*(RIGHT('Phân công'!#REF!,3)="14C")*('Phân công'!#REF!="Tiếng Việt"))</f>
        <v>#REF!</v>
      </c>
      <c r="AV17" s="27" t="e">
        <f>SUMPRODUCT(('Phân công'!#REF!='Thù lao'!A17)*(RIGHT('Phân công'!#REF!,3)="14C")*('Phân công'!#REF!="Tiếng Anh"))</f>
        <v>#REF!</v>
      </c>
      <c r="AW17" s="26" t="e">
        <f>SUMPRODUCT(('Phân công'!#REF!='Thù lao'!A17)*(RIGHT('Phân công'!#REF!,3)="4CA"))</f>
        <v>#REF!</v>
      </c>
      <c r="AX17" s="25" t="e">
        <f t="shared" ref="AX17:BE17" si="23">AP17+AH17+Z17+R17</f>
        <v>#REF!</v>
      </c>
      <c r="AY17" s="25" t="e">
        <f t="shared" si="23"/>
        <v>#REF!</v>
      </c>
      <c r="AZ17" s="25" t="e">
        <f t="shared" si="23"/>
        <v>#REF!</v>
      </c>
      <c r="BA17" s="25" t="e">
        <f t="shared" si="23"/>
        <v>#REF!</v>
      </c>
      <c r="BB17" s="25" t="e">
        <f t="shared" si="23"/>
        <v>#REF!</v>
      </c>
      <c r="BC17" s="25" t="e">
        <f t="shared" si="23"/>
        <v>#REF!</v>
      </c>
      <c r="BD17" s="25" t="e">
        <f t="shared" si="23"/>
        <v>#REF!</v>
      </c>
      <c r="BE17" s="25" t="e">
        <f t="shared" si="23"/>
        <v>#REF!</v>
      </c>
      <c r="BF17" s="30" t="e">
        <f t="shared" si="1"/>
        <v>#REF!</v>
      </c>
      <c r="BG17" s="30" t="e">
        <f t="shared" si="2"/>
        <v>#REF!</v>
      </c>
      <c r="BH17" s="30" t="e">
        <f t="shared" si="3"/>
        <v>#REF!</v>
      </c>
      <c r="BI17" s="30" t="e">
        <f t="shared" si="4"/>
        <v>#REF!</v>
      </c>
      <c r="BJ17" s="30" t="e">
        <f t="shared" si="5"/>
        <v>#REF!</v>
      </c>
      <c r="BK17" s="30" t="e">
        <f t="shared" si="6"/>
        <v>#REF!</v>
      </c>
      <c r="BL17" s="31" t="e">
        <f t="shared" si="7"/>
        <v>#REF!</v>
      </c>
      <c r="BM17" s="31" t="e">
        <f t="shared" si="8"/>
        <v>#REF!</v>
      </c>
      <c r="BN17" s="31" t="e">
        <f t="shared" si="9"/>
        <v>#REF!</v>
      </c>
      <c r="BO17" s="31" t="e">
        <f t="shared" si="10"/>
        <v>#REF!</v>
      </c>
    </row>
    <row r="18" spans="1:67" ht="15.75" customHeight="1" x14ac:dyDescent="0.35">
      <c r="A18" s="2" t="s">
        <v>8</v>
      </c>
      <c r="B18" s="25" t="e">
        <f>SUMPRODUCT(('Phân công'!#REF!=$A18)*('Phân công'!#REF!="X")*(RIGHT('Phân công'!#REF!,3)="404"))</f>
        <v>#REF!</v>
      </c>
      <c r="C18" s="26" t="e">
        <f>SUMPRODUCT(('Phân công'!#REF!=$A18)*('Phân công'!#REF!="X")*(RIGHT('Phân công'!#REF!,3)="412"))</f>
        <v>#REF!</v>
      </c>
      <c r="D18" s="26" t="e">
        <f>SUMPRODUCT(('Phân công'!#REF!=$A18)*('Phân công'!#REF!="X")*(RIGHT('Phân công'!#REF!,3)="414"))</f>
        <v>#REF!</v>
      </c>
      <c r="E18" s="26" t="e">
        <f>SUMPRODUCT(('Phân công'!#REF!=$A18)*('Phân công'!#REF!="X")*(RIGHT('Phân công'!#REF!,4)="404C")*('Phân công'!#REF!="Tiếng Việt"))</f>
        <v>#REF!</v>
      </c>
      <c r="F18" s="26" t="e">
        <f>SUMPRODUCT(('Phân công'!#REF!=$A18)*('Phân công'!#REF!="X")*(RIGHT('Phân công'!#REF!,4)="404C")*('Phân công'!#REF!="Tiếng Anh"))</f>
        <v>#REF!</v>
      </c>
      <c r="G18" s="26" t="e">
        <f>SUMPRODUCT(('Phân công'!#REF!=$A18)*('Phân công'!#REF!="X")*(RIGHT('Phân công'!#REF!,4)="414C")*('Phân công'!#REF!="Tiếng Việt"))</f>
        <v>#REF!</v>
      </c>
      <c r="H18" s="27" t="e">
        <f>SUMPRODUCT(('Phân công'!#REF!=$A18)*('Phân công'!#REF!="X")*(RIGHT('Phân công'!#REF!,4)="414C")*('Phân công'!#REF!="Tiếng Anh"))</f>
        <v>#REF!</v>
      </c>
      <c r="I18" s="28" t="e">
        <f>SUMPRODUCT(('Phân công'!#REF!=$A18)*('Phân công'!#REF!="X")*(RIGHT('Phân công'!#REF!,5)="404CA"))</f>
        <v>#REF!</v>
      </c>
      <c r="J18" s="25" t="e">
        <f>SUMPRODUCT(('Phân công'!#REF!=$A18)*('Phân công'!#REF!="X")*(RIGHT('Phân công'!#REF!,3)="404"))</f>
        <v>#REF!</v>
      </c>
      <c r="K18" s="26" t="e">
        <f>SUMPRODUCT(('Phân công'!#REF!=$A18)*('Phân công'!#REF!="X")*(RIGHT('Phân công'!#REF!,3)="412"))</f>
        <v>#REF!</v>
      </c>
      <c r="L18" s="26" t="e">
        <f>SUMPRODUCT(('Phân công'!#REF!=$A18)*('Phân công'!#REF!="X")*(RIGHT('Phân công'!#REF!,3)="414"))</f>
        <v>#REF!</v>
      </c>
      <c r="M18" s="26" t="e">
        <f>SUMPRODUCT(('Phân công'!#REF!=$A18)*('Phân công'!#REF!="X")*(RIGHT('Phân công'!#REF!,3)="04C")*('Phân công'!#REF!="Tiếng Việt"))</f>
        <v>#REF!</v>
      </c>
      <c r="N18" s="26" t="e">
        <f>SUMPRODUCT(('Phân công'!#REF!=$A18)*('Phân công'!#REF!="X")*(RIGHT('Phân công'!#REF!,3)="04C")*('Phân công'!#REF!="Tiếng Anh"))</f>
        <v>#REF!</v>
      </c>
      <c r="O18" s="26" t="e">
        <f>SUMPRODUCT(('Phân công'!#REF!=$A18)*('Phân công'!#REF!="X")*(RIGHT('Phân công'!#REF!,3)="14C")*('Phân công'!#REF!="Tiếng Việt"))</f>
        <v>#REF!</v>
      </c>
      <c r="P18" s="27" t="e">
        <f>SUMPRODUCT(('Phân công'!#REF!=$A18)*('Phân công'!#REF!="X")*(RIGHT('Phân công'!#REF!,3)="14C")*('Phân công'!#REF!="Tiếng Anh"))</f>
        <v>#REF!</v>
      </c>
      <c r="Q18" s="28" t="e">
        <f>SUMPRODUCT(('Phân công'!#REF!=$A18)*('Phân công'!#REF!="X")*(RIGHT('Phân công'!#REF!,3)="4CA"))</f>
        <v>#REF!</v>
      </c>
      <c r="R18" s="25" t="e">
        <f>SUMPRODUCT(('Phân công'!#REF!='Thù lao'!A18)*(RIGHT('Phân công'!#REF!,3)="404"))</f>
        <v>#REF!</v>
      </c>
      <c r="S18" s="29" t="e">
        <f>SUMPRODUCT(('Phân công'!#REF!='Thù lao'!A18)*(RIGHT('Phân công'!#REF!,3)="412"))</f>
        <v>#REF!</v>
      </c>
      <c r="T18" s="29" t="e">
        <f>SUMPRODUCT(('Phân công'!#REF!='Thù lao'!A18)*(RIGHT('Phân công'!#REF!,3)="414"))</f>
        <v>#REF!</v>
      </c>
      <c r="U18" s="26" t="e">
        <f>SUMPRODUCT(('Phân công'!#REF!='Thù lao'!A18)*(RIGHT('Phân công'!#REF!,3)="04C")*('Phân công'!#REF!="Tiếng Việt"))</f>
        <v>#REF!</v>
      </c>
      <c r="V18" s="26" t="e">
        <f>SUMPRODUCT(('Phân công'!#REF!='Thù lao'!A18)*(RIGHT('Phân công'!#REF!,3)="04C")*('Phân công'!#REF!="Tiếng Anh"))</f>
        <v>#REF!</v>
      </c>
      <c r="W18" s="26" t="e">
        <f>SUMPRODUCT(('Phân công'!#REF!='Thù lao'!A18)*(RIGHT('Phân công'!#REF!,3)="14C")*('Phân công'!#REF!="Tiếng Việt"))</f>
        <v>#REF!</v>
      </c>
      <c r="X18" s="27" t="e">
        <f>SUMPRODUCT(('Phân công'!#REF!='Thù lao'!A18)*(RIGHT('Phân công'!#REF!,3)="14C")*('Phân công'!#REF!="Tiếng Anh"))</f>
        <v>#REF!</v>
      </c>
      <c r="Y18" s="26" t="e">
        <f>SUMPRODUCT(('Phân công'!#REF!='Thù lao'!A18)*(RIGHT('Phân công'!#REF!,3)="4CA"))</f>
        <v>#REF!</v>
      </c>
      <c r="Z18" s="25" t="e">
        <f>SUMPRODUCT(('Phân công'!#REF!='Thù lao'!A18)*(RIGHT('Phân công'!#REF!,3)="404"))</f>
        <v>#REF!</v>
      </c>
      <c r="AA18" s="29" t="e">
        <f>SUMPRODUCT(('Phân công'!#REF!='Thù lao'!A18)*(RIGHT('Phân công'!#REF!,3)="412"))</f>
        <v>#REF!</v>
      </c>
      <c r="AB18" s="29" t="e">
        <f>SUMPRODUCT(('Phân công'!#REF!='Thù lao'!A18)*(RIGHT('Phân công'!#REF!,3)="414"))</f>
        <v>#REF!</v>
      </c>
      <c r="AC18" s="26" t="e">
        <f>SUMPRODUCT(('Phân công'!#REF!='Thù lao'!A18)*(RIGHT('Phân công'!#REF!,3)="04C")*('Phân công'!#REF!="Tiếng Việt"))</f>
        <v>#REF!</v>
      </c>
      <c r="AD18" s="26" t="e">
        <f>SUMPRODUCT(('Phân công'!#REF!='Thù lao'!A18)*(RIGHT('Phân công'!#REF!,3)="04C")*('Phân công'!#REF!="Tiếng Anh"))</f>
        <v>#REF!</v>
      </c>
      <c r="AE18" s="26" t="e">
        <f>SUMPRODUCT(('Phân công'!#REF!='Thù lao'!A18)*(RIGHT('Phân công'!#REF!,3)="14C")*('Phân công'!#REF!="Tiếng Việt"))</f>
        <v>#REF!</v>
      </c>
      <c r="AF18" s="27" t="e">
        <f>SUMPRODUCT(('Phân công'!#REF!='Thù lao'!A18)*(RIGHT('Phân công'!#REF!,3)="14C")*('Phân công'!#REF!="Tiếng Anh"))</f>
        <v>#REF!</v>
      </c>
      <c r="AG18" s="26" t="e">
        <f>SUMPRODUCT(('Phân công'!#REF!='Thù lao'!A18)*(RIGHT('Phân công'!#REF!,3)="4CA"))</f>
        <v>#REF!</v>
      </c>
      <c r="AH18" s="25" t="e">
        <f>SUMPRODUCT(('Phân công'!#REF!='Thù lao'!A18)*(RIGHT('Phân công'!#REF!,3)="404"))</f>
        <v>#REF!</v>
      </c>
      <c r="AI18" s="29" t="e">
        <f>SUMPRODUCT(('Phân công'!#REF!='Thù lao'!A18)*(RIGHT('Phân công'!#REF!,3)="412"))</f>
        <v>#REF!</v>
      </c>
      <c r="AJ18" s="29" t="e">
        <f>SUMPRODUCT(('Phân công'!#REF!='Thù lao'!A18)*(RIGHT('Phân công'!#REF!,3)="414"))</f>
        <v>#REF!</v>
      </c>
      <c r="AK18" s="26" t="e">
        <f>SUMPRODUCT(('Phân công'!#REF!='Thù lao'!A18)*(RIGHT('Phân công'!#REF!,3)="04C")*('Phân công'!#REF!="Tiếng Việt"))</f>
        <v>#REF!</v>
      </c>
      <c r="AL18" s="26" t="e">
        <f>SUMPRODUCT(('Phân công'!#REF!='Thù lao'!A18)*(RIGHT('Phân công'!#REF!,3)="04C")*('Phân công'!#REF!="Tiếng Anh"))</f>
        <v>#REF!</v>
      </c>
      <c r="AM18" s="26" t="e">
        <f>SUMPRODUCT(('Phân công'!#REF!='Thù lao'!A18)*(RIGHT('Phân công'!#REF!,3)="14C")*('Phân công'!#REF!="Tiếng Việt"))</f>
        <v>#REF!</v>
      </c>
      <c r="AN18" s="27" t="e">
        <f>SUMPRODUCT(('Phân công'!#REF!='Thù lao'!A18)*(RIGHT('Phân công'!#REF!,3)="14C")*('Phân công'!#REF!="Tiếng Anh"))</f>
        <v>#REF!</v>
      </c>
      <c r="AO18" s="26" t="e">
        <f>SUMPRODUCT(('Phân công'!#REF!='Thù lao'!A18)*(RIGHT('Phân công'!#REF!,3)="4CA"))</f>
        <v>#REF!</v>
      </c>
      <c r="AP18" s="25" t="e">
        <f>SUMPRODUCT(('Phân công'!#REF!='Thù lao'!A18)*(RIGHT('Phân công'!#REF!,3)="404"))</f>
        <v>#REF!</v>
      </c>
      <c r="AQ18" s="29" t="e">
        <f>SUMPRODUCT(('Phân công'!#REF!='Thù lao'!A18)*(RIGHT('Phân công'!#REF!,3)="412"))</f>
        <v>#REF!</v>
      </c>
      <c r="AR18" s="29" t="e">
        <f>SUMPRODUCT(('Phân công'!#REF!='Thù lao'!A18)*(RIGHT('Phân công'!#REF!,3)="414"))</f>
        <v>#REF!</v>
      </c>
      <c r="AS18" s="26" t="e">
        <f>SUMPRODUCT(('Phân công'!#REF!='Thù lao'!A18)*(RIGHT('Phân công'!#REF!,3)="04C")*('Phân công'!#REF!="Tiếng Việt"))</f>
        <v>#REF!</v>
      </c>
      <c r="AT18" s="26" t="e">
        <f>SUMPRODUCT(('Phân công'!#REF!='Thù lao'!A18)*(RIGHT('Phân công'!#REF!,3)="04C")*('Phân công'!#REF!="Tiếng Anh"))</f>
        <v>#REF!</v>
      </c>
      <c r="AU18" s="26" t="e">
        <f>SUMPRODUCT(('Phân công'!#REF!='Thù lao'!A18)*(RIGHT('Phân công'!#REF!,3)="14C")*('Phân công'!#REF!="Tiếng Việt"))</f>
        <v>#REF!</v>
      </c>
      <c r="AV18" s="27" t="e">
        <f>SUMPRODUCT(('Phân công'!#REF!='Thù lao'!A18)*(RIGHT('Phân công'!#REF!,3)="14C")*('Phân công'!#REF!="Tiếng Anh"))</f>
        <v>#REF!</v>
      </c>
      <c r="AW18" s="26" t="e">
        <f>SUMPRODUCT(('Phân công'!#REF!='Thù lao'!A18)*(RIGHT('Phân công'!#REF!,3)="4CA"))</f>
        <v>#REF!</v>
      </c>
      <c r="AX18" s="25" t="e">
        <f t="shared" ref="AX18:BE18" si="24">AP18+AH18+Z18+R18</f>
        <v>#REF!</v>
      </c>
      <c r="AY18" s="25" t="e">
        <f t="shared" si="24"/>
        <v>#REF!</v>
      </c>
      <c r="AZ18" s="25" t="e">
        <f t="shared" si="24"/>
        <v>#REF!</v>
      </c>
      <c r="BA18" s="25" t="e">
        <f t="shared" si="24"/>
        <v>#REF!</v>
      </c>
      <c r="BB18" s="25" t="e">
        <f t="shared" si="24"/>
        <v>#REF!</v>
      </c>
      <c r="BC18" s="25" t="e">
        <f t="shared" si="24"/>
        <v>#REF!</v>
      </c>
      <c r="BD18" s="25" t="e">
        <f t="shared" si="24"/>
        <v>#REF!</v>
      </c>
      <c r="BE18" s="25" t="e">
        <f t="shared" si="24"/>
        <v>#REF!</v>
      </c>
      <c r="BF18" s="30" t="e">
        <f t="shared" si="1"/>
        <v>#REF!</v>
      </c>
      <c r="BG18" s="30" t="e">
        <f t="shared" si="2"/>
        <v>#REF!</v>
      </c>
      <c r="BH18" s="30" t="e">
        <f t="shared" si="3"/>
        <v>#REF!</v>
      </c>
      <c r="BI18" s="30" t="e">
        <f t="shared" si="4"/>
        <v>#REF!</v>
      </c>
      <c r="BJ18" s="30" t="e">
        <f t="shared" si="5"/>
        <v>#REF!</v>
      </c>
      <c r="BK18" s="30" t="e">
        <f t="shared" si="6"/>
        <v>#REF!</v>
      </c>
      <c r="BL18" s="31" t="e">
        <f t="shared" si="7"/>
        <v>#REF!</v>
      </c>
      <c r="BM18" s="31" t="e">
        <f t="shared" si="8"/>
        <v>#REF!</v>
      </c>
      <c r="BN18" s="31" t="e">
        <f t="shared" si="9"/>
        <v>#REF!</v>
      </c>
      <c r="BO18" s="31" t="e">
        <f t="shared" si="10"/>
        <v>#REF!</v>
      </c>
    </row>
    <row r="19" spans="1:67" ht="15.75" customHeight="1" x14ac:dyDescent="0.35">
      <c r="A19" s="2" t="s">
        <v>42</v>
      </c>
      <c r="B19" s="25" t="e">
        <f>SUMPRODUCT(('Phân công'!#REF!=$A19)*('Phân công'!#REF!="X")*(RIGHT('Phân công'!#REF!,3)="404"))</f>
        <v>#REF!</v>
      </c>
      <c r="C19" s="26" t="e">
        <f>SUMPRODUCT(('Phân công'!#REF!=$A19)*('Phân công'!#REF!="X")*(RIGHT('Phân công'!#REF!,3)="412"))</f>
        <v>#REF!</v>
      </c>
      <c r="D19" s="26" t="e">
        <f>SUMPRODUCT(('Phân công'!#REF!=$A19)*('Phân công'!#REF!="X")*(RIGHT('Phân công'!#REF!,3)="414"))</f>
        <v>#REF!</v>
      </c>
      <c r="E19" s="26" t="e">
        <f>SUMPRODUCT(('Phân công'!#REF!=$A19)*('Phân công'!#REF!="X")*(RIGHT('Phân công'!#REF!,4)="404C")*('Phân công'!#REF!="Tiếng Việt"))</f>
        <v>#REF!</v>
      </c>
      <c r="F19" s="26" t="e">
        <f>SUMPRODUCT(('Phân công'!#REF!=$A19)*('Phân công'!#REF!="X")*(RIGHT('Phân công'!#REF!,4)="404C")*('Phân công'!#REF!="Tiếng Anh"))</f>
        <v>#REF!</v>
      </c>
      <c r="G19" s="26" t="e">
        <f>SUMPRODUCT(('Phân công'!#REF!=$A19)*('Phân công'!#REF!="X")*(RIGHT('Phân công'!#REF!,4)="414C")*('Phân công'!#REF!="Tiếng Việt"))</f>
        <v>#REF!</v>
      </c>
      <c r="H19" s="27" t="e">
        <f>SUMPRODUCT(('Phân công'!#REF!=$A19)*('Phân công'!#REF!="X")*(RIGHT('Phân công'!#REF!,4)="414C")*('Phân công'!#REF!="Tiếng Anh"))</f>
        <v>#REF!</v>
      </c>
      <c r="I19" s="28" t="e">
        <f>SUMPRODUCT(('Phân công'!#REF!=$A19)*('Phân công'!#REF!="X")*(RIGHT('Phân công'!#REF!,5)="404CA"))</f>
        <v>#REF!</v>
      </c>
      <c r="J19" s="25" t="e">
        <f>SUMPRODUCT(('Phân công'!#REF!=$A19)*('Phân công'!#REF!="X")*(RIGHT('Phân công'!#REF!,3)="404"))</f>
        <v>#REF!</v>
      </c>
      <c r="K19" s="26" t="e">
        <f>SUMPRODUCT(('Phân công'!#REF!=$A19)*('Phân công'!#REF!="X")*(RIGHT('Phân công'!#REF!,3)="412"))</f>
        <v>#REF!</v>
      </c>
      <c r="L19" s="26" t="e">
        <f>SUMPRODUCT(('Phân công'!#REF!=$A19)*('Phân công'!#REF!="X")*(RIGHT('Phân công'!#REF!,3)="414"))</f>
        <v>#REF!</v>
      </c>
      <c r="M19" s="26" t="e">
        <f>SUMPRODUCT(('Phân công'!#REF!=$A19)*('Phân công'!#REF!="X")*(RIGHT('Phân công'!#REF!,3)="04C")*('Phân công'!#REF!="Tiếng Việt"))</f>
        <v>#REF!</v>
      </c>
      <c r="N19" s="26" t="e">
        <f>SUMPRODUCT(('Phân công'!#REF!=$A19)*('Phân công'!#REF!="X")*(RIGHT('Phân công'!#REF!,3)="04C")*('Phân công'!#REF!="Tiếng Anh"))</f>
        <v>#REF!</v>
      </c>
      <c r="O19" s="26" t="e">
        <f>SUMPRODUCT(('Phân công'!#REF!=$A19)*('Phân công'!#REF!="X")*(RIGHT('Phân công'!#REF!,3)="14C")*('Phân công'!#REF!="Tiếng Việt"))</f>
        <v>#REF!</v>
      </c>
      <c r="P19" s="27" t="e">
        <f>SUMPRODUCT(('Phân công'!#REF!=$A19)*('Phân công'!#REF!="X")*(RIGHT('Phân công'!#REF!,3)="14C")*('Phân công'!#REF!="Tiếng Anh"))</f>
        <v>#REF!</v>
      </c>
      <c r="Q19" s="28" t="e">
        <f>SUMPRODUCT(('Phân công'!#REF!=$A19)*('Phân công'!#REF!="X")*(RIGHT('Phân công'!#REF!,3)="4CA"))</f>
        <v>#REF!</v>
      </c>
      <c r="R19" s="25" t="e">
        <f>SUMPRODUCT(('Phân công'!#REF!='Thù lao'!A19)*(RIGHT('Phân công'!#REF!,3)="404"))</f>
        <v>#REF!</v>
      </c>
      <c r="S19" s="29" t="e">
        <f>SUMPRODUCT(('Phân công'!#REF!='Thù lao'!A19)*(RIGHT('Phân công'!#REF!,3)="412"))</f>
        <v>#REF!</v>
      </c>
      <c r="T19" s="29" t="e">
        <f>SUMPRODUCT(('Phân công'!#REF!='Thù lao'!A19)*(RIGHT('Phân công'!#REF!,3)="414"))</f>
        <v>#REF!</v>
      </c>
      <c r="U19" s="26" t="e">
        <f>SUMPRODUCT(('Phân công'!#REF!='Thù lao'!A19)*(RIGHT('Phân công'!#REF!,3)="04C")*('Phân công'!#REF!="Tiếng Việt"))</f>
        <v>#REF!</v>
      </c>
      <c r="V19" s="26" t="e">
        <f>SUMPRODUCT(('Phân công'!#REF!='Thù lao'!A19)*(RIGHT('Phân công'!#REF!,3)="04C")*('Phân công'!#REF!="Tiếng Anh"))</f>
        <v>#REF!</v>
      </c>
      <c r="W19" s="26" t="e">
        <f>SUMPRODUCT(('Phân công'!#REF!='Thù lao'!A19)*(RIGHT('Phân công'!#REF!,3)="14C")*('Phân công'!#REF!="Tiếng Việt"))</f>
        <v>#REF!</v>
      </c>
      <c r="X19" s="27" t="e">
        <f>SUMPRODUCT(('Phân công'!#REF!='Thù lao'!A19)*(RIGHT('Phân công'!#REF!,3)="14C")*('Phân công'!#REF!="Tiếng Anh"))</f>
        <v>#REF!</v>
      </c>
      <c r="Y19" s="26" t="e">
        <f>SUMPRODUCT(('Phân công'!#REF!='Thù lao'!A19)*(RIGHT('Phân công'!#REF!,3)="4CA"))</f>
        <v>#REF!</v>
      </c>
      <c r="Z19" s="25" t="e">
        <f>SUMPRODUCT(('Phân công'!#REF!='Thù lao'!A19)*(RIGHT('Phân công'!#REF!,3)="404"))</f>
        <v>#REF!</v>
      </c>
      <c r="AA19" s="29" t="e">
        <f>SUMPRODUCT(('Phân công'!#REF!='Thù lao'!A19)*(RIGHT('Phân công'!#REF!,3)="412"))</f>
        <v>#REF!</v>
      </c>
      <c r="AB19" s="29" t="e">
        <f>SUMPRODUCT(('Phân công'!#REF!='Thù lao'!A19)*(RIGHT('Phân công'!#REF!,3)="414"))</f>
        <v>#REF!</v>
      </c>
      <c r="AC19" s="26" t="e">
        <f>SUMPRODUCT(('Phân công'!#REF!='Thù lao'!A19)*(RIGHT('Phân công'!#REF!,3)="04C")*('Phân công'!#REF!="Tiếng Việt"))</f>
        <v>#REF!</v>
      </c>
      <c r="AD19" s="26" t="e">
        <f>SUMPRODUCT(('Phân công'!#REF!='Thù lao'!A19)*(RIGHT('Phân công'!#REF!,3)="04C")*('Phân công'!#REF!="Tiếng Anh"))</f>
        <v>#REF!</v>
      </c>
      <c r="AE19" s="26" t="e">
        <f>SUMPRODUCT(('Phân công'!#REF!='Thù lao'!A19)*(RIGHT('Phân công'!#REF!,3)="14C")*('Phân công'!#REF!="Tiếng Việt"))</f>
        <v>#REF!</v>
      </c>
      <c r="AF19" s="27" t="e">
        <f>SUMPRODUCT(('Phân công'!#REF!='Thù lao'!A19)*(RIGHT('Phân công'!#REF!,3)="14C")*('Phân công'!#REF!="Tiếng Anh"))</f>
        <v>#REF!</v>
      </c>
      <c r="AG19" s="26" t="e">
        <f>SUMPRODUCT(('Phân công'!#REF!='Thù lao'!A19)*(RIGHT('Phân công'!#REF!,3)="4CA"))</f>
        <v>#REF!</v>
      </c>
      <c r="AH19" s="25" t="e">
        <f>SUMPRODUCT(('Phân công'!#REF!='Thù lao'!A19)*(RIGHT('Phân công'!#REF!,3)="404"))</f>
        <v>#REF!</v>
      </c>
      <c r="AI19" s="29" t="e">
        <f>SUMPRODUCT(('Phân công'!#REF!='Thù lao'!A19)*(RIGHT('Phân công'!#REF!,3)="412"))</f>
        <v>#REF!</v>
      </c>
      <c r="AJ19" s="29" t="e">
        <f>SUMPRODUCT(('Phân công'!#REF!='Thù lao'!A19)*(RIGHT('Phân công'!#REF!,3)="414"))</f>
        <v>#REF!</v>
      </c>
      <c r="AK19" s="26" t="e">
        <f>SUMPRODUCT(('Phân công'!#REF!='Thù lao'!A19)*(RIGHT('Phân công'!#REF!,3)="04C")*('Phân công'!#REF!="Tiếng Việt"))</f>
        <v>#REF!</v>
      </c>
      <c r="AL19" s="26" t="e">
        <f>SUMPRODUCT(('Phân công'!#REF!='Thù lao'!A19)*(RIGHT('Phân công'!#REF!,3)="04C")*('Phân công'!#REF!="Tiếng Anh"))</f>
        <v>#REF!</v>
      </c>
      <c r="AM19" s="26" t="e">
        <f>SUMPRODUCT(('Phân công'!#REF!='Thù lao'!A19)*(RIGHT('Phân công'!#REF!,3)="14C")*('Phân công'!#REF!="Tiếng Việt"))</f>
        <v>#REF!</v>
      </c>
      <c r="AN19" s="27" t="e">
        <f>SUMPRODUCT(('Phân công'!#REF!='Thù lao'!A19)*(RIGHT('Phân công'!#REF!,3)="14C")*('Phân công'!#REF!="Tiếng Anh"))</f>
        <v>#REF!</v>
      </c>
      <c r="AO19" s="26" t="e">
        <f>SUMPRODUCT(('Phân công'!#REF!='Thù lao'!A19)*(RIGHT('Phân công'!#REF!,3)="4CA"))</f>
        <v>#REF!</v>
      </c>
      <c r="AP19" s="25" t="e">
        <f>SUMPRODUCT(('Phân công'!#REF!='Thù lao'!A19)*(RIGHT('Phân công'!#REF!,3)="404"))</f>
        <v>#REF!</v>
      </c>
      <c r="AQ19" s="29" t="e">
        <f>SUMPRODUCT(('Phân công'!#REF!='Thù lao'!A19)*(RIGHT('Phân công'!#REF!,3)="412"))</f>
        <v>#REF!</v>
      </c>
      <c r="AR19" s="29" t="e">
        <f>SUMPRODUCT(('Phân công'!#REF!='Thù lao'!A19)*(RIGHT('Phân công'!#REF!,3)="414"))</f>
        <v>#REF!</v>
      </c>
      <c r="AS19" s="26" t="e">
        <f>SUMPRODUCT(('Phân công'!#REF!='Thù lao'!A19)*(RIGHT('Phân công'!#REF!,3)="04C")*('Phân công'!#REF!="Tiếng Việt"))</f>
        <v>#REF!</v>
      </c>
      <c r="AT19" s="26" t="e">
        <f>SUMPRODUCT(('Phân công'!#REF!='Thù lao'!A19)*(RIGHT('Phân công'!#REF!,3)="04C")*('Phân công'!#REF!="Tiếng Anh"))</f>
        <v>#REF!</v>
      </c>
      <c r="AU19" s="26" t="e">
        <f>SUMPRODUCT(('Phân công'!#REF!='Thù lao'!A19)*(RIGHT('Phân công'!#REF!,3)="14C")*('Phân công'!#REF!="Tiếng Việt"))</f>
        <v>#REF!</v>
      </c>
      <c r="AV19" s="27" t="e">
        <f>SUMPRODUCT(('Phân công'!#REF!='Thù lao'!A19)*(RIGHT('Phân công'!#REF!,3)="14C")*('Phân công'!#REF!="Tiếng Anh"))</f>
        <v>#REF!</v>
      </c>
      <c r="AW19" s="26" t="e">
        <f>SUMPRODUCT(('Phân công'!#REF!='Thù lao'!A19)*(RIGHT('Phân công'!#REF!,3)="4CA"))</f>
        <v>#REF!</v>
      </c>
      <c r="AX19" s="25" t="e">
        <f t="shared" ref="AX19:BE19" si="25">AP19+AH19+Z19+R19</f>
        <v>#REF!</v>
      </c>
      <c r="AY19" s="25" t="e">
        <f t="shared" si="25"/>
        <v>#REF!</v>
      </c>
      <c r="AZ19" s="25" t="e">
        <f t="shared" si="25"/>
        <v>#REF!</v>
      </c>
      <c r="BA19" s="25" t="e">
        <f t="shared" si="25"/>
        <v>#REF!</v>
      </c>
      <c r="BB19" s="25" t="e">
        <f t="shared" si="25"/>
        <v>#REF!</v>
      </c>
      <c r="BC19" s="25" t="e">
        <f t="shared" si="25"/>
        <v>#REF!</v>
      </c>
      <c r="BD19" s="25" t="e">
        <f t="shared" si="25"/>
        <v>#REF!</v>
      </c>
      <c r="BE19" s="25" t="e">
        <f t="shared" si="25"/>
        <v>#REF!</v>
      </c>
      <c r="BF19" s="30" t="e">
        <f t="shared" si="1"/>
        <v>#REF!</v>
      </c>
      <c r="BG19" s="30" t="e">
        <f t="shared" si="2"/>
        <v>#REF!</v>
      </c>
      <c r="BH19" s="30" t="e">
        <f t="shared" si="3"/>
        <v>#REF!</v>
      </c>
      <c r="BI19" s="30" t="e">
        <f t="shared" si="4"/>
        <v>#REF!</v>
      </c>
      <c r="BJ19" s="30" t="e">
        <f t="shared" si="5"/>
        <v>#REF!</v>
      </c>
      <c r="BK19" s="30" t="e">
        <f t="shared" si="6"/>
        <v>#REF!</v>
      </c>
      <c r="BL19" s="31" t="e">
        <f t="shared" si="7"/>
        <v>#REF!</v>
      </c>
      <c r="BM19" s="31" t="e">
        <f t="shared" si="8"/>
        <v>#REF!</v>
      </c>
      <c r="BN19" s="31" t="e">
        <f t="shared" si="9"/>
        <v>#REF!</v>
      </c>
      <c r="BO19" s="31" t="e">
        <f t="shared" si="10"/>
        <v>#REF!</v>
      </c>
    </row>
    <row r="20" spans="1:67" ht="15.75" customHeight="1" x14ac:dyDescent="0.35">
      <c r="A20" s="2" t="s">
        <v>50</v>
      </c>
      <c r="B20" s="25" t="e">
        <f>SUMPRODUCT(('Phân công'!#REF!=$A20)*('Phân công'!#REF!="X")*(RIGHT('Phân công'!#REF!,3)="404"))</f>
        <v>#REF!</v>
      </c>
      <c r="C20" s="26" t="e">
        <f>SUMPRODUCT(('Phân công'!#REF!=$A20)*('Phân công'!#REF!="X")*(RIGHT('Phân công'!#REF!,3)="412"))</f>
        <v>#REF!</v>
      </c>
      <c r="D20" s="26" t="e">
        <f>SUMPRODUCT(('Phân công'!#REF!=$A20)*('Phân công'!#REF!="X")*(RIGHT('Phân công'!#REF!,3)="414"))</f>
        <v>#REF!</v>
      </c>
      <c r="E20" s="26" t="e">
        <f>SUMPRODUCT(('Phân công'!#REF!=$A20)*('Phân công'!#REF!="X")*(RIGHT('Phân công'!#REF!,4)="404C")*('Phân công'!#REF!="Tiếng Việt"))</f>
        <v>#REF!</v>
      </c>
      <c r="F20" s="26" t="e">
        <f>SUMPRODUCT(('Phân công'!#REF!=$A20)*('Phân công'!#REF!="X")*(RIGHT('Phân công'!#REF!,4)="404C")*('Phân công'!#REF!="Tiếng Anh"))</f>
        <v>#REF!</v>
      </c>
      <c r="G20" s="26" t="e">
        <f>SUMPRODUCT(('Phân công'!#REF!=$A20)*('Phân công'!#REF!="X")*(RIGHT('Phân công'!#REF!,4)="414C")*('Phân công'!#REF!="Tiếng Việt"))</f>
        <v>#REF!</v>
      </c>
      <c r="H20" s="27" t="e">
        <f>SUMPRODUCT(('Phân công'!#REF!=$A20)*('Phân công'!#REF!="X")*(RIGHT('Phân công'!#REF!,4)="414C")*('Phân công'!#REF!="Tiếng Anh"))</f>
        <v>#REF!</v>
      </c>
      <c r="I20" s="28" t="e">
        <f>SUMPRODUCT(('Phân công'!#REF!=$A20)*('Phân công'!#REF!="X")*(RIGHT('Phân công'!#REF!,5)="404CA"))</f>
        <v>#REF!</v>
      </c>
      <c r="J20" s="25" t="e">
        <f>SUMPRODUCT(('Phân công'!#REF!=$A20)*('Phân công'!#REF!="X")*(RIGHT('Phân công'!#REF!,3)="404"))</f>
        <v>#REF!</v>
      </c>
      <c r="K20" s="26" t="e">
        <f>SUMPRODUCT(('Phân công'!#REF!=$A20)*('Phân công'!#REF!="X")*(RIGHT('Phân công'!#REF!,3)="412"))</f>
        <v>#REF!</v>
      </c>
      <c r="L20" s="26" t="e">
        <f>SUMPRODUCT(('Phân công'!#REF!=$A20)*('Phân công'!#REF!="X")*(RIGHT('Phân công'!#REF!,3)="414"))</f>
        <v>#REF!</v>
      </c>
      <c r="M20" s="26" t="e">
        <f>SUMPRODUCT(('Phân công'!#REF!=$A20)*('Phân công'!#REF!="X")*(RIGHT('Phân công'!#REF!,3)="04C")*('Phân công'!#REF!="Tiếng Việt"))</f>
        <v>#REF!</v>
      </c>
      <c r="N20" s="26" t="e">
        <f>SUMPRODUCT(('Phân công'!#REF!=$A20)*('Phân công'!#REF!="X")*(RIGHT('Phân công'!#REF!,3)="04C")*('Phân công'!#REF!="Tiếng Anh"))</f>
        <v>#REF!</v>
      </c>
      <c r="O20" s="26" t="e">
        <f>SUMPRODUCT(('Phân công'!#REF!=$A20)*('Phân công'!#REF!="X")*(RIGHT('Phân công'!#REF!,3)="14C")*('Phân công'!#REF!="Tiếng Việt"))</f>
        <v>#REF!</v>
      </c>
      <c r="P20" s="27" t="e">
        <f>SUMPRODUCT(('Phân công'!#REF!=$A20)*('Phân công'!#REF!="X")*(RIGHT('Phân công'!#REF!,3)="14C")*('Phân công'!#REF!="Tiếng Anh"))</f>
        <v>#REF!</v>
      </c>
      <c r="Q20" s="28" t="e">
        <f>SUMPRODUCT(('Phân công'!#REF!=$A20)*('Phân công'!#REF!="X")*(RIGHT('Phân công'!#REF!,3)="4CA"))</f>
        <v>#REF!</v>
      </c>
      <c r="R20" s="25" t="e">
        <f>SUMPRODUCT(('Phân công'!#REF!='Thù lao'!A20)*(RIGHT('Phân công'!#REF!,3)="404"))</f>
        <v>#REF!</v>
      </c>
      <c r="S20" s="29" t="e">
        <f>SUMPRODUCT(('Phân công'!#REF!='Thù lao'!A20)*(RIGHT('Phân công'!#REF!,3)="412"))</f>
        <v>#REF!</v>
      </c>
      <c r="T20" s="29" t="e">
        <f>SUMPRODUCT(('Phân công'!#REF!='Thù lao'!A20)*(RIGHT('Phân công'!#REF!,3)="414"))</f>
        <v>#REF!</v>
      </c>
      <c r="U20" s="26" t="e">
        <f>SUMPRODUCT(('Phân công'!#REF!='Thù lao'!A20)*(RIGHT('Phân công'!#REF!,3)="04C")*('Phân công'!#REF!="Tiếng Việt"))</f>
        <v>#REF!</v>
      </c>
      <c r="V20" s="26" t="e">
        <f>SUMPRODUCT(('Phân công'!#REF!='Thù lao'!A20)*(RIGHT('Phân công'!#REF!,3)="04C")*('Phân công'!#REF!="Tiếng Anh"))</f>
        <v>#REF!</v>
      </c>
      <c r="W20" s="26" t="e">
        <f>SUMPRODUCT(('Phân công'!#REF!='Thù lao'!A20)*(RIGHT('Phân công'!#REF!,3)="14C")*('Phân công'!#REF!="Tiếng Việt"))</f>
        <v>#REF!</v>
      </c>
      <c r="X20" s="27" t="e">
        <f>SUMPRODUCT(('Phân công'!#REF!='Thù lao'!A20)*(RIGHT('Phân công'!#REF!,3)="14C")*('Phân công'!#REF!="Tiếng Anh"))</f>
        <v>#REF!</v>
      </c>
      <c r="Y20" s="26" t="e">
        <f>SUMPRODUCT(('Phân công'!#REF!='Thù lao'!A20)*(RIGHT('Phân công'!#REF!,3)="4CA"))</f>
        <v>#REF!</v>
      </c>
      <c r="Z20" s="25" t="e">
        <f>SUMPRODUCT(('Phân công'!#REF!='Thù lao'!A20)*(RIGHT('Phân công'!#REF!,3)="404"))</f>
        <v>#REF!</v>
      </c>
      <c r="AA20" s="29" t="e">
        <f>SUMPRODUCT(('Phân công'!#REF!='Thù lao'!A20)*(RIGHT('Phân công'!#REF!,3)="412"))</f>
        <v>#REF!</v>
      </c>
      <c r="AB20" s="29" t="e">
        <f>SUMPRODUCT(('Phân công'!#REF!='Thù lao'!A20)*(RIGHT('Phân công'!#REF!,3)="414"))</f>
        <v>#REF!</v>
      </c>
      <c r="AC20" s="26" t="e">
        <f>SUMPRODUCT(('Phân công'!#REF!='Thù lao'!A20)*(RIGHT('Phân công'!#REF!,3)="04C")*('Phân công'!#REF!="Tiếng Việt"))</f>
        <v>#REF!</v>
      </c>
      <c r="AD20" s="26" t="e">
        <f>SUMPRODUCT(('Phân công'!#REF!='Thù lao'!A20)*(RIGHT('Phân công'!#REF!,3)="04C")*('Phân công'!#REF!="Tiếng Anh"))</f>
        <v>#REF!</v>
      </c>
      <c r="AE20" s="26" t="e">
        <f>SUMPRODUCT(('Phân công'!#REF!='Thù lao'!A20)*(RIGHT('Phân công'!#REF!,3)="14C")*('Phân công'!#REF!="Tiếng Việt"))</f>
        <v>#REF!</v>
      </c>
      <c r="AF20" s="27" t="e">
        <f>SUMPRODUCT(('Phân công'!#REF!='Thù lao'!A20)*(RIGHT('Phân công'!#REF!,3)="14C")*('Phân công'!#REF!="Tiếng Anh"))</f>
        <v>#REF!</v>
      </c>
      <c r="AG20" s="26" t="e">
        <f>SUMPRODUCT(('Phân công'!#REF!='Thù lao'!A20)*(RIGHT('Phân công'!#REF!,3)="4CA"))</f>
        <v>#REF!</v>
      </c>
      <c r="AH20" s="25" t="e">
        <f>SUMPRODUCT(('Phân công'!#REF!='Thù lao'!A20)*(RIGHT('Phân công'!#REF!,3)="404"))</f>
        <v>#REF!</v>
      </c>
      <c r="AI20" s="29" t="e">
        <f>SUMPRODUCT(('Phân công'!#REF!='Thù lao'!A20)*(RIGHT('Phân công'!#REF!,3)="412"))</f>
        <v>#REF!</v>
      </c>
      <c r="AJ20" s="29" t="e">
        <f>SUMPRODUCT(('Phân công'!#REF!='Thù lao'!A20)*(RIGHT('Phân công'!#REF!,3)="414"))</f>
        <v>#REF!</v>
      </c>
      <c r="AK20" s="26" t="e">
        <f>SUMPRODUCT(('Phân công'!#REF!='Thù lao'!A20)*(RIGHT('Phân công'!#REF!,3)="04C")*('Phân công'!#REF!="Tiếng Việt"))</f>
        <v>#REF!</v>
      </c>
      <c r="AL20" s="26" t="e">
        <f>SUMPRODUCT(('Phân công'!#REF!='Thù lao'!A20)*(RIGHT('Phân công'!#REF!,3)="04C")*('Phân công'!#REF!="Tiếng Anh"))</f>
        <v>#REF!</v>
      </c>
      <c r="AM20" s="26" t="e">
        <f>SUMPRODUCT(('Phân công'!#REF!='Thù lao'!A20)*(RIGHT('Phân công'!#REF!,3)="14C")*('Phân công'!#REF!="Tiếng Việt"))</f>
        <v>#REF!</v>
      </c>
      <c r="AN20" s="27" t="e">
        <f>SUMPRODUCT(('Phân công'!#REF!='Thù lao'!A20)*(RIGHT('Phân công'!#REF!,3)="14C")*('Phân công'!#REF!="Tiếng Anh"))</f>
        <v>#REF!</v>
      </c>
      <c r="AO20" s="26" t="e">
        <f>SUMPRODUCT(('Phân công'!#REF!='Thù lao'!A20)*(RIGHT('Phân công'!#REF!,3)="4CA"))</f>
        <v>#REF!</v>
      </c>
      <c r="AP20" s="25" t="e">
        <f>SUMPRODUCT(('Phân công'!#REF!='Thù lao'!A20)*(RIGHT('Phân công'!#REF!,3)="404"))</f>
        <v>#REF!</v>
      </c>
      <c r="AQ20" s="29" t="e">
        <f>SUMPRODUCT(('Phân công'!#REF!='Thù lao'!A20)*(RIGHT('Phân công'!#REF!,3)="412"))</f>
        <v>#REF!</v>
      </c>
      <c r="AR20" s="29" t="e">
        <f>SUMPRODUCT(('Phân công'!#REF!='Thù lao'!A20)*(RIGHT('Phân công'!#REF!,3)="414"))</f>
        <v>#REF!</v>
      </c>
      <c r="AS20" s="26" t="e">
        <f>SUMPRODUCT(('Phân công'!#REF!='Thù lao'!A20)*(RIGHT('Phân công'!#REF!,3)="04C")*('Phân công'!#REF!="Tiếng Việt"))</f>
        <v>#REF!</v>
      </c>
      <c r="AT20" s="26" t="e">
        <f>SUMPRODUCT(('Phân công'!#REF!='Thù lao'!A20)*(RIGHT('Phân công'!#REF!,3)="04C")*('Phân công'!#REF!="Tiếng Anh"))</f>
        <v>#REF!</v>
      </c>
      <c r="AU20" s="26" t="e">
        <f>SUMPRODUCT(('Phân công'!#REF!='Thù lao'!A20)*(RIGHT('Phân công'!#REF!,3)="14C")*('Phân công'!#REF!="Tiếng Việt"))</f>
        <v>#REF!</v>
      </c>
      <c r="AV20" s="27" t="e">
        <f>SUMPRODUCT(('Phân công'!#REF!='Thù lao'!A20)*(RIGHT('Phân công'!#REF!,3)="14C")*('Phân công'!#REF!="Tiếng Anh"))</f>
        <v>#REF!</v>
      </c>
      <c r="AW20" s="26" t="e">
        <f>SUMPRODUCT(('Phân công'!#REF!='Thù lao'!A20)*(RIGHT('Phân công'!#REF!,3)="4CA"))</f>
        <v>#REF!</v>
      </c>
      <c r="AX20" s="25" t="e">
        <f t="shared" ref="AX20:BE20" si="26">AP20+AH20+Z20+R20</f>
        <v>#REF!</v>
      </c>
      <c r="AY20" s="25" t="e">
        <f t="shared" si="26"/>
        <v>#REF!</v>
      </c>
      <c r="AZ20" s="25" t="e">
        <f t="shared" si="26"/>
        <v>#REF!</v>
      </c>
      <c r="BA20" s="25" t="e">
        <f t="shared" si="26"/>
        <v>#REF!</v>
      </c>
      <c r="BB20" s="25" t="e">
        <f t="shared" si="26"/>
        <v>#REF!</v>
      </c>
      <c r="BC20" s="25" t="e">
        <f t="shared" si="26"/>
        <v>#REF!</v>
      </c>
      <c r="BD20" s="25" t="e">
        <f t="shared" si="26"/>
        <v>#REF!</v>
      </c>
      <c r="BE20" s="25" t="e">
        <f t="shared" si="26"/>
        <v>#REF!</v>
      </c>
      <c r="BF20" s="30" t="e">
        <f t="shared" si="1"/>
        <v>#REF!</v>
      </c>
      <c r="BG20" s="30" t="e">
        <f t="shared" si="2"/>
        <v>#REF!</v>
      </c>
      <c r="BH20" s="30" t="e">
        <f t="shared" si="3"/>
        <v>#REF!</v>
      </c>
      <c r="BI20" s="30" t="e">
        <f t="shared" si="4"/>
        <v>#REF!</v>
      </c>
      <c r="BJ20" s="30" t="e">
        <f t="shared" si="5"/>
        <v>#REF!</v>
      </c>
      <c r="BK20" s="30" t="e">
        <f t="shared" si="6"/>
        <v>#REF!</v>
      </c>
      <c r="BL20" s="31" t="e">
        <f t="shared" si="7"/>
        <v>#REF!</v>
      </c>
      <c r="BM20" s="31" t="e">
        <f t="shared" si="8"/>
        <v>#REF!</v>
      </c>
      <c r="BN20" s="31" t="e">
        <f t="shared" si="9"/>
        <v>#REF!</v>
      </c>
      <c r="BO20" s="31" t="e">
        <f t="shared" si="10"/>
        <v>#REF!</v>
      </c>
    </row>
    <row r="21" spans="1:67" ht="15.75" customHeight="1" x14ac:dyDescent="0.35">
      <c r="A21" s="32" t="s">
        <v>434</v>
      </c>
      <c r="B21" s="25" t="e">
        <f>SUMPRODUCT(('Phân công'!#REF!=$A21)*('Phân công'!#REF!="X")*(RIGHT('Phân công'!#REF!,3)="404"))</f>
        <v>#REF!</v>
      </c>
      <c r="C21" s="26" t="e">
        <f>SUMPRODUCT(('Phân công'!#REF!=$A21)*('Phân công'!#REF!="X")*(RIGHT('Phân công'!#REF!,3)="412"))</f>
        <v>#REF!</v>
      </c>
      <c r="D21" s="26" t="e">
        <f>SUMPRODUCT(('Phân công'!#REF!=$A21)*('Phân công'!#REF!="X")*(RIGHT('Phân công'!#REF!,3)="414"))</f>
        <v>#REF!</v>
      </c>
      <c r="E21" s="26" t="e">
        <f>SUMPRODUCT(('Phân công'!#REF!=$A21)*('Phân công'!#REF!="X")*(RIGHT('Phân công'!#REF!,4)="404C")*('Phân công'!#REF!="Tiếng Việt"))</f>
        <v>#REF!</v>
      </c>
      <c r="F21" s="26" t="e">
        <f>SUMPRODUCT(('Phân công'!#REF!=$A21)*('Phân công'!#REF!="X")*(RIGHT('Phân công'!#REF!,4)="404C")*('Phân công'!#REF!="Tiếng Anh"))</f>
        <v>#REF!</v>
      </c>
      <c r="G21" s="26" t="e">
        <f>SUMPRODUCT(('Phân công'!#REF!=$A21)*('Phân công'!#REF!="X")*(RIGHT('Phân công'!#REF!,4)="414C")*('Phân công'!#REF!="Tiếng Việt"))</f>
        <v>#REF!</v>
      </c>
      <c r="H21" s="27" t="e">
        <f>SUMPRODUCT(('Phân công'!#REF!=$A21)*('Phân công'!#REF!="X")*(RIGHT('Phân công'!#REF!,4)="414C")*('Phân công'!#REF!="Tiếng Anh"))</f>
        <v>#REF!</v>
      </c>
      <c r="I21" s="28" t="e">
        <f>SUMPRODUCT(('Phân công'!#REF!=$A21)*('Phân công'!#REF!="X")*(RIGHT('Phân công'!#REF!,5)="404CA"))</f>
        <v>#REF!</v>
      </c>
      <c r="J21" s="25" t="e">
        <f>SUMPRODUCT(('Phân công'!#REF!=$A21)*('Phân công'!#REF!="X")*(RIGHT('Phân công'!#REF!,3)="404"))</f>
        <v>#REF!</v>
      </c>
      <c r="K21" s="26" t="e">
        <f>SUMPRODUCT(('Phân công'!#REF!=$A21)*('Phân công'!#REF!="X")*(RIGHT('Phân công'!#REF!,3)="412"))</f>
        <v>#REF!</v>
      </c>
      <c r="L21" s="26" t="e">
        <f>SUMPRODUCT(('Phân công'!#REF!=$A21)*('Phân công'!#REF!="X")*(RIGHT('Phân công'!#REF!,3)="414"))</f>
        <v>#REF!</v>
      </c>
      <c r="M21" s="26" t="e">
        <f>SUMPRODUCT(('Phân công'!#REF!=$A21)*('Phân công'!#REF!="X")*(RIGHT('Phân công'!#REF!,3)="04C")*('Phân công'!#REF!="Tiếng Việt"))</f>
        <v>#REF!</v>
      </c>
      <c r="N21" s="26" t="e">
        <f>SUMPRODUCT(('Phân công'!#REF!=$A21)*('Phân công'!#REF!="X")*(RIGHT('Phân công'!#REF!,3)="04C")*('Phân công'!#REF!="Tiếng Anh"))</f>
        <v>#REF!</v>
      </c>
      <c r="O21" s="26" t="e">
        <f>SUMPRODUCT(('Phân công'!#REF!=$A21)*('Phân công'!#REF!="X")*(RIGHT('Phân công'!#REF!,3)="14C")*('Phân công'!#REF!="Tiếng Việt"))</f>
        <v>#REF!</v>
      </c>
      <c r="P21" s="27" t="e">
        <f>SUMPRODUCT(('Phân công'!#REF!=$A21)*('Phân công'!#REF!="X")*(RIGHT('Phân công'!#REF!,3)="14C")*('Phân công'!#REF!="Tiếng Anh"))</f>
        <v>#REF!</v>
      </c>
      <c r="Q21" s="28" t="e">
        <f>SUMPRODUCT(('Phân công'!#REF!=$A21)*('Phân công'!#REF!="X")*(RIGHT('Phân công'!#REF!,3)="4CA"))</f>
        <v>#REF!</v>
      </c>
      <c r="R21" s="25" t="e">
        <f>SUMPRODUCT(('Phân công'!#REF!='Thù lao'!A21)*(RIGHT('Phân công'!#REF!,3)="404"))</f>
        <v>#REF!</v>
      </c>
      <c r="S21" s="29" t="e">
        <f>SUMPRODUCT(('Phân công'!#REF!='Thù lao'!A21)*(RIGHT('Phân công'!#REF!,3)="412"))</f>
        <v>#REF!</v>
      </c>
      <c r="T21" s="29" t="e">
        <f>SUMPRODUCT(('Phân công'!#REF!='Thù lao'!A21)*(RIGHT('Phân công'!#REF!,3)="414"))</f>
        <v>#REF!</v>
      </c>
      <c r="U21" s="26" t="e">
        <f>SUMPRODUCT(('Phân công'!#REF!='Thù lao'!A21)*(RIGHT('Phân công'!#REF!,3)="04C")*('Phân công'!#REF!="Tiếng Việt"))</f>
        <v>#REF!</v>
      </c>
      <c r="V21" s="26" t="e">
        <f>SUMPRODUCT(('Phân công'!#REF!='Thù lao'!A21)*(RIGHT('Phân công'!#REF!,3)="04C")*('Phân công'!#REF!="Tiếng Anh"))</f>
        <v>#REF!</v>
      </c>
      <c r="W21" s="26" t="e">
        <f>SUMPRODUCT(('Phân công'!#REF!='Thù lao'!A21)*(RIGHT('Phân công'!#REF!,3)="14C")*('Phân công'!#REF!="Tiếng Việt"))</f>
        <v>#REF!</v>
      </c>
      <c r="X21" s="27" t="e">
        <f>SUMPRODUCT(('Phân công'!#REF!='Thù lao'!A21)*(RIGHT('Phân công'!#REF!,3)="14C")*('Phân công'!#REF!="Tiếng Anh"))</f>
        <v>#REF!</v>
      </c>
      <c r="Y21" s="26" t="e">
        <f>SUMPRODUCT(('Phân công'!#REF!='Thù lao'!A21)*(RIGHT('Phân công'!#REF!,3)="4CA"))</f>
        <v>#REF!</v>
      </c>
      <c r="Z21" s="25" t="e">
        <f>SUMPRODUCT(('Phân công'!#REF!='Thù lao'!A21)*(RIGHT('Phân công'!#REF!,3)="404"))</f>
        <v>#REF!</v>
      </c>
      <c r="AA21" s="29" t="e">
        <f>SUMPRODUCT(('Phân công'!#REF!='Thù lao'!A21)*(RIGHT('Phân công'!#REF!,3)="412"))</f>
        <v>#REF!</v>
      </c>
      <c r="AB21" s="29" t="e">
        <f>SUMPRODUCT(('Phân công'!#REF!='Thù lao'!A21)*(RIGHT('Phân công'!#REF!,3)="414"))</f>
        <v>#REF!</v>
      </c>
      <c r="AC21" s="26" t="e">
        <f>SUMPRODUCT(('Phân công'!#REF!='Thù lao'!A21)*(RIGHT('Phân công'!#REF!,3)="04C")*('Phân công'!#REF!="Tiếng Việt"))</f>
        <v>#REF!</v>
      </c>
      <c r="AD21" s="26" t="e">
        <f>SUMPRODUCT(('Phân công'!#REF!='Thù lao'!A21)*(RIGHT('Phân công'!#REF!,3)="04C")*('Phân công'!#REF!="Tiếng Anh"))</f>
        <v>#REF!</v>
      </c>
      <c r="AE21" s="26" t="e">
        <f>SUMPRODUCT(('Phân công'!#REF!='Thù lao'!A21)*(RIGHT('Phân công'!#REF!,3)="14C")*('Phân công'!#REF!="Tiếng Việt"))</f>
        <v>#REF!</v>
      </c>
      <c r="AF21" s="27" t="e">
        <f>SUMPRODUCT(('Phân công'!#REF!='Thù lao'!A21)*(RIGHT('Phân công'!#REF!,3)="14C")*('Phân công'!#REF!="Tiếng Anh"))</f>
        <v>#REF!</v>
      </c>
      <c r="AG21" s="26" t="e">
        <f>SUMPRODUCT(('Phân công'!#REF!='Thù lao'!A21)*(RIGHT('Phân công'!#REF!,3)="4CA"))</f>
        <v>#REF!</v>
      </c>
      <c r="AH21" s="25" t="e">
        <f>SUMPRODUCT(('Phân công'!#REF!='Thù lao'!A21)*(RIGHT('Phân công'!#REF!,3)="404"))</f>
        <v>#REF!</v>
      </c>
      <c r="AI21" s="29" t="e">
        <f>SUMPRODUCT(('Phân công'!#REF!='Thù lao'!A21)*(RIGHT('Phân công'!#REF!,3)="412"))</f>
        <v>#REF!</v>
      </c>
      <c r="AJ21" s="29" t="e">
        <f>SUMPRODUCT(('Phân công'!#REF!='Thù lao'!A21)*(RIGHT('Phân công'!#REF!,3)="414"))</f>
        <v>#REF!</v>
      </c>
      <c r="AK21" s="26" t="e">
        <f>SUMPRODUCT(('Phân công'!#REF!='Thù lao'!A21)*(RIGHT('Phân công'!#REF!,3)="04C")*('Phân công'!#REF!="Tiếng Việt"))</f>
        <v>#REF!</v>
      </c>
      <c r="AL21" s="26" t="e">
        <f>SUMPRODUCT(('Phân công'!#REF!='Thù lao'!A21)*(RIGHT('Phân công'!#REF!,3)="04C")*('Phân công'!#REF!="Tiếng Anh"))</f>
        <v>#REF!</v>
      </c>
      <c r="AM21" s="26" t="e">
        <f>SUMPRODUCT(('Phân công'!#REF!='Thù lao'!A21)*(RIGHT('Phân công'!#REF!,3)="14C")*('Phân công'!#REF!="Tiếng Việt"))</f>
        <v>#REF!</v>
      </c>
      <c r="AN21" s="27" t="e">
        <f>SUMPRODUCT(('Phân công'!#REF!='Thù lao'!A21)*(RIGHT('Phân công'!#REF!,3)="14C")*('Phân công'!#REF!="Tiếng Anh"))</f>
        <v>#REF!</v>
      </c>
      <c r="AO21" s="26" t="e">
        <f>SUMPRODUCT(('Phân công'!#REF!='Thù lao'!A21)*(RIGHT('Phân công'!#REF!,3)="4CA"))</f>
        <v>#REF!</v>
      </c>
      <c r="AP21" s="25" t="e">
        <f>SUMPRODUCT(('Phân công'!#REF!='Thù lao'!A21)*(RIGHT('Phân công'!#REF!,3)="404"))</f>
        <v>#REF!</v>
      </c>
      <c r="AQ21" s="29" t="e">
        <f>SUMPRODUCT(('Phân công'!#REF!='Thù lao'!A21)*(RIGHT('Phân công'!#REF!,3)="412"))</f>
        <v>#REF!</v>
      </c>
      <c r="AR21" s="29" t="e">
        <f>SUMPRODUCT(('Phân công'!#REF!='Thù lao'!A21)*(RIGHT('Phân công'!#REF!,3)="414"))</f>
        <v>#REF!</v>
      </c>
      <c r="AS21" s="26" t="e">
        <f>SUMPRODUCT(('Phân công'!#REF!='Thù lao'!A21)*(RIGHT('Phân công'!#REF!,3)="04C")*('Phân công'!#REF!="Tiếng Việt"))</f>
        <v>#REF!</v>
      </c>
      <c r="AT21" s="26" t="e">
        <f>SUMPRODUCT(('Phân công'!#REF!='Thù lao'!A21)*(RIGHT('Phân công'!#REF!,3)="04C")*('Phân công'!#REF!="Tiếng Anh"))</f>
        <v>#REF!</v>
      </c>
      <c r="AU21" s="26" t="e">
        <f>SUMPRODUCT(('Phân công'!#REF!='Thù lao'!A21)*(RIGHT('Phân công'!#REF!,3)="14C")*('Phân công'!#REF!="Tiếng Việt"))</f>
        <v>#REF!</v>
      </c>
      <c r="AV21" s="27" t="e">
        <f>SUMPRODUCT(('Phân công'!#REF!='Thù lao'!A21)*(RIGHT('Phân công'!#REF!,3)="14C")*('Phân công'!#REF!="Tiếng Anh"))</f>
        <v>#REF!</v>
      </c>
      <c r="AW21" s="26" t="e">
        <f>SUMPRODUCT(('Phân công'!#REF!='Thù lao'!A21)*(RIGHT('Phân công'!#REF!,3)="4CA"))</f>
        <v>#REF!</v>
      </c>
      <c r="AX21" s="25" t="e">
        <f t="shared" ref="AX21:BE21" si="27">AP21+AH21+Z21+R21</f>
        <v>#REF!</v>
      </c>
      <c r="AY21" s="25" t="e">
        <f t="shared" si="27"/>
        <v>#REF!</v>
      </c>
      <c r="AZ21" s="25" t="e">
        <f t="shared" si="27"/>
        <v>#REF!</v>
      </c>
      <c r="BA21" s="25" t="e">
        <f t="shared" si="27"/>
        <v>#REF!</v>
      </c>
      <c r="BB21" s="25" t="e">
        <f t="shared" si="27"/>
        <v>#REF!</v>
      </c>
      <c r="BC21" s="25" t="e">
        <f t="shared" si="27"/>
        <v>#REF!</v>
      </c>
      <c r="BD21" s="25" t="e">
        <f t="shared" si="27"/>
        <v>#REF!</v>
      </c>
      <c r="BE21" s="25" t="e">
        <f t="shared" si="27"/>
        <v>#REF!</v>
      </c>
      <c r="BF21" s="30" t="e">
        <f t="shared" si="1"/>
        <v>#REF!</v>
      </c>
      <c r="BG21" s="30" t="e">
        <f t="shared" si="2"/>
        <v>#REF!</v>
      </c>
      <c r="BH21" s="30" t="e">
        <f t="shared" si="3"/>
        <v>#REF!</v>
      </c>
      <c r="BI21" s="30" t="e">
        <f t="shared" si="4"/>
        <v>#REF!</v>
      </c>
      <c r="BJ21" s="30" t="e">
        <f t="shared" si="5"/>
        <v>#REF!</v>
      </c>
      <c r="BK21" s="30" t="e">
        <f t="shared" si="6"/>
        <v>#REF!</v>
      </c>
      <c r="BL21" s="31" t="e">
        <f t="shared" si="7"/>
        <v>#REF!</v>
      </c>
      <c r="BM21" s="31" t="e">
        <f t="shared" si="8"/>
        <v>#REF!</v>
      </c>
      <c r="BN21" s="31" t="e">
        <f t="shared" si="9"/>
        <v>#REF!</v>
      </c>
      <c r="BO21" s="31" t="e">
        <f t="shared" si="10"/>
        <v>#REF!</v>
      </c>
    </row>
    <row r="22" spans="1:67" ht="15.75" customHeight="1" x14ac:dyDescent="0.35">
      <c r="A22" s="32" t="s">
        <v>171</v>
      </c>
      <c r="B22" s="25" t="e">
        <f>SUMPRODUCT(('Phân công'!#REF!=$A22)*('Phân công'!#REF!="X")*(RIGHT('Phân công'!#REF!,3)="404"))</f>
        <v>#REF!</v>
      </c>
      <c r="C22" s="26" t="e">
        <f>SUMPRODUCT(('Phân công'!#REF!=$A22)*('Phân công'!#REF!="X")*(RIGHT('Phân công'!#REF!,3)="412"))</f>
        <v>#REF!</v>
      </c>
      <c r="D22" s="26" t="e">
        <f>SUMPRODUCT(('Phân công'!#REF!=$A22)*('Phân công'!#REF!="X")*(RIGHT('Phân công'!#REF!,3)="414"))</f>
        <v>#REF!</v>
      </c>
      <c r="E22" s="26" t="e">
        <f>SUMPRODUCT(('Phân công'!#REF!=$A22)*('Phân công'!#REF!="X")*(RIGHT('Phân công'!#REF!,4)="404C")*('Phân công'!#REF!="Tiếng Việt"))</f>
        <v>#REF!</v>
      </c>
      <c r="F22" s="26" t="e">
        <f>SUMPRODUCT(('Phân công'!#REF!=$A22)*('Phân công'!#REF!="X")*(RIGHT('Phân công'!#REF!,4)="404C")*('Phân công'!#REF!="Tiếng Anh"))</f>
        <v>#REF!</v>
      </c>
      <c r="G22" s="26" t="e">
        <f>SUMPRODUCT(('Phân công'!#REF!=$A22)*('Phân công'!#REF!="X")*(RIGHT('Phân công'!#REF!,4)="414C")*('Phân công'!#REF!="Tiếng Việt"))</f>
        <v>#REF!</v>
      </c>
      <c r="H22" s="27" t="e">
        <f>SUMPRODUCT(('Phân công'!#REF!=$A22)*('Phân công'!#REF!="X")*(RIGHT('Phân công'!#REF!,4)="414C")*('Phân công'!#REF!="Tiếng Anh"))</f>
        <v>#REF!</v>
      </c>
      <c r="I22" s="28" t="e">
        <f>SUMPRODUCT(('Phân công'!#REF!=$A22)*('Phân công'!#REF!="X")*(RIGHT('Phân công'!#REF!,5)="404CA"))</f>
        <v>#REF!</v>
      </c>
      <c r="J22" s="25" t="e">
        <f>SUMPRODUCT(('Phân công'!#REF!=$A22)*('Phân công'!#REF!="X")*(RIGHT('Phân công'!#REF!,3)="404"))</f>
        <v>#REF!</v>
      </c>
      <c r="K22" s="26" t="e">
        <f>SUMPRODUCT(('Phân công'!#REF!=$A22)*('Phân công'!#REF!="X")*(RIGHT('Phân công'!#REF!,3)="412"))</f>
        <v>#REF!</v>
      </c>
      <c r="L22" s="26" t="e">
        <f>SUMPRODUCT(('Phân công'!#REF!=$A22)*('Phân công'!#REF!="X")*(RIGHT('Phân công'!#REF!,3)="414"))</f>
        <v>#REF!</v>
      </c>
      <c r="M22" s="26" t="e">
        <f>SUMPRODUCT(('Phân công'!#REF!=$A22)*('Phân công'!#REF!="X")*(RIGHT('Phân công'!#REF!,3)="04C")*('Phân công'!#REF!="Tiếng Việt"))</f>
        <v>#REF!</v>
      </c>
      <c r="N22" s="26" t="e">
        <f>SUMPRODUCT(('Phân công'!#REF!=$A22)*('Phân công'!#REF!="X")*(RIGHT('Phân công'!#REF!,3)="04C")*('Phân công'!#REF!="Tiếng Anh"))</f>
        <v>#REF!</v>
      </c>
      <c r="O22" s="26" t="e">
        <f>SUMPRODUCT(('Phân công'!#REF!=$A22)*('Phân công'!#REF!="X")*(RIGHT('Phân công'!#REF!,3)="14C")*('Phân công'!#REF!="Tiếng Việt"))</f>
        <v>#REF!</v>
      </c>
      <c r="P22" s="27" t="e">
        <f>SUMPRODUCT(('Phân công'!#REF!=$A22)*('Phân công'!#REF!="X")*(RIGHT('Phân công'!#REF!,3)="14C")*('Phân công'!#REF!="Tiếng Anh"))</f>
        <v>#REF!</v>
      </c>
      <c r="Q22" s="28" t="e">
        <f>SUMPRODUCT(('Phân công'!#REF!=$A22)*('Phân công'!#REF!="X")*(RIGHT('Phân công'!#REF!,3)="4CA"))</f>
        <v>#REF!</v>
      </c>
      <c r="R22" s="25" t="e">
        <f>SUMPRODUCT(('Phân công'!#REF!='Thù lao'!A22)*(RIGHT('Phân công'!#REF!,3)="404"))</f>
        <v>#REF!</v>
      </c>
      <c r="S22" s="29" t="e">
        <f>SUMPRODUCT(('Phân công'!#REF!='Thù lao'!A22)*(RIGHT('Phân công'!#REF!,3)="412"))</f>
        <v>#REF!</v>
      </c>
      <c r="T22" s="29" t="e">
        <f>SUMPRODUCT(('Phân công'!#REF!='Thù lao'!A22)*(RIGHT('Phân công'!#REF!,3)="414"))</f>
        <v>#REF!</v>
      </c>
      <c r="U22" s="26" t="e">
        <f>SUMPRODUCT(('Phân công'!#REF!='Thù lao'!A22)*(RIGHT('Phân công'!#REF!,3)="04C")*('Phân công'!#REF!="Tiếng Việt"))</f>
        <v>#REF!</v>
      </c>
      <c r="V22" s="26" t="e">
        <f>SUMPRODUCT(('Phân công'!#REF!='Thù lao'!A22)*(RIGHT('Phân công'!#REF!,3)="04C")*('Phân công'!#REF!="Tiếng Anh"))</f>
        <v>#REF!</v>
      </c>
      <c r="W22" s="26" t="e">
        <f>SUMPRODUCT(('Phân công'!#REF!='Thù lao'!A22)*(RIGHT('Phân công'!#REF!,3)="14C")*('Phân công'!#REF!="Tiếng Việt"))</f>
        <v>#REF!</v>
      </c>
      <c r="X22" s="27" t="e">
        <f>SUMPRODUCT(('Phân công'!#REF!='Thù lao'!A22)*(RIGHT('Phân công'!#REF!,3)="14C")*('Phân công'!#REF!="Tiếng Anh"))</f>
        <v>#REF!</v>
      </c>
      <c r="Y22" s="26" t="e">
        <f>SUMPRODUCT(('Phân công'!#REF!='Thù lao'!A22)*(RIGHT('Phân công'!#REF!,3)="4CA"))</f>
        <v>#REF!</v>
      </c>
      <c r="Z22" s="25" t="e">
        <f>SUMPRODUCT(('Phân công'!#REF!='Thù lao'!A22)*(RIGHT('Phân công'!#REF!,3)="404"))</f>
        <v>#REF!</v>
      </c>
      <c r="AA22" s="29" t="e">
        <f>SUMPRODUCT(('Phân công'!#REF!='Thù lao'!A22)*(RIGHT('Phân công'!#REF!,3)="412"))</f>
        <v>#REF!</v>
      </c>
      <c r="AB22" s="29" t="e">
        <f>SUMPRODUCT(('Phân công'!#REF!='Thù lao'!A22)*(RIGHT('Phân công'!#REF!,3)="414"))</f>
        <v>#REF!</v>
      </c>
      <c r="AC22" s="26" t="e">
        <f>SUMPRODUCT(('Phân công'!#REF!='Thù lao'!A22)*(RIGHT('Phân công'!#REF!,3)="04C")*('Phân công'!#REF!="Tiếng Việt"))</f>
        <v>#REF!</v>
      </c>
      <c r="AD22" s="26" t="e">
        <f>SUMPRODUCT(('Phân công'!#REF!='Thù lao'!A22)*(RIGHT('Phân công'!#REF!,3)="04C")*('Phân công'!#REF!="Tiếng Anh"))</f>
        <v>#REF!</v>
      </c>
      <c r="AE22" s="26" t="e">
        <f>SUMPRODUCT(('Phân công'!#REF!='Thù lao'!A22)*(RIGHT('Phân công'!#REF!,3)="14C")*('Phân công'!#REF!="Tiếng Việt"))</f>
        <v>#REF!</v>
      </c>
      <c r="AF22" s="27" t="e">
        <f>SUMPRODUCT(('Phân công'!#REF!='Thù lao'!A22)*(RIGHT('Phân công'!#REF!,3)="14C")*('Phân công'!#REF!="Tiếng Anh"))</f>
        <v>#REF!</v>
      </c>
      <c r="AG22" s="26" t="e">
        <f>SUMPRODUCT(('Phân công'!#REF!='Thù lao'!A22)*(RIGHT('Phân công'!#REF!,3)="4CA"))</f>
        <v>#REF!</v>
      </c>
      <c r="AH22" s="25" t="e">
        <f>SUMPRODUCT(('Phân công'!#REF!='Thù lao'!A22)*(RIGHT('Phân công'!#REF!,3)="404"))</f>
        <v>#REF!</v>
      </c>
      <c r="AI22" s="29" t="e">
        <f>SUMPRODUCT(('Phân công'!#REF!='Thù lao'!A22)*(RIGHT('Phân công'!#REF!,3)="412"))</f>
        <v>#REF!</v>
      </c>
      <c r="AJ22" s="29" t="e">
        <f>SUMPRODUCT(('Phân công'!#REF!='Thù lao'!A22)*(RIGHT('Phân công'!#REF!,3)="414"))</f>
        <v>#REF!</v>
      </c>
      <c r="AK22" s="26" t="e">
        <f>SUMPRODUCT(('Phân công'!#REF!='Thù lao'!A22)*(RIGHT('Phân công'!#REF!,3)="04C")*('Phân công'!#REF!="Tiếng Việt"))</f>
        <v>#REF!</v>
      </c>
      <c r="AL22" s="26" t="e">
        <f>SUMPRODUCT(('Phân công'!#REF!='Thù lao'!A22)*(RIGHT('Phân công'!#REF!,3)="04C")*('Phân công'!#REF!="Tiếng Anh"))</f>
        <v>#REF!</v>
      </c>
      <c r="AM22" s="26" t="e">
        <f>SUMPRODUCT(('Phân công'!#REF!='Thù lao'!A22)*(RIGHT('Phân công'!#REF!,3)="14C")*('Phân công'!#REF!="Tiếng Việt"))</f>
        <v>#REF!</v>
      </c>
      <c r="AN22" s="27" t="e">
        <f>SUMPRODUCT(('Phân công'!#REF!='Thù lao'!A22)*(RIGHT('Phân công'!#REF!,3)="14C")*('Phân công'!#REF!="Tiếng Anh"))</f>
        <v>#REF!</v>
      </c>
      <c r="AO22" s="26" t="e">
        <f>SUMPRODUCT(('Phân công'!#REF!='Thù lao'!A22)*(RIGHT('Phân công'!#REF!,3)="4CA"))</f>
        <v>#REF!</v>
      </c>
      <c r="AP22" s="25" t="e">
        <f>SUMPRODUCT(('Phân công'!#REF!='Thù lao'!A22)*(RIGHT('Phân công'!#REF!,3)="404"))</f>
        <v>#REF!</v>
      </c>
      <c r="AQ22" s="29" t="e">
        <f>SUMPRODUCT(('Phân công'!#REF!='Thù lao'!A22)*(RIGHT('Phân công'!#REF!,3)="412"))</f>
        <v>#REF!</v>
      </c>
      <c r="AR22" s="29" t="e">
        <f>SUMPRODUCT(('Phân công'!#REF!='Thù lao'!A22)*(RIGHT('Phân công'!#REF!,3)="414"))</f>
        <v>#REF!</v>
      </c>
      <c r="AS22" s="26" t="e">
        <f>SUMPRODUCT(('Phân công'!#REF!='Thù lao'!A22)*(RIGHT('Phân công'!#REF!,3)="04C")*('Phân công'!#REF!="Tiếng Việt"))</f>
        <v>#REF!</v>
      </c>
      <c r="AT22" s="26" t="e">
        <f>SUMPRODUCT(('Phân công'!#REF!='Thù lao'!A22)*(RIGHT('Phân công'!#REF!,3)="04C")*('Phân công'!#REF!="Tiếng Anh"))</f>
        <v>#REF!</v>
      </c>
      <c r="AU22" s="26" t="e">
        <f>SUMPRODUCT(('Phân công'!#REF!='Thù lao'!A22)*(RIGHT('Phân công'!#REF!,3)="14C")*('Phân công'!#REF!="Tiếng Việt"))</f>
        <v>#REF!</v>
      </c>
      <c r="AV22" s="27" t="e">
        <f>SUMPRODUCT(('Phân công'!#REF!='Thù lao'!A22)*(RIGHT('Phân công'!#REF!,3)="14C")*('Phân công'!#REF!="Tiếng Anh"))</f>
        <v>#REF!</v>
      </c>
      <c r="AW22" s="26" t="e">
        <f>SUMPRODUCT(('Phân công'!#REF!='Thù lao'!A22)*(RIGHT('Phân công'!#REF!,3)="4CA"))</f>
        <v>#REF!</v>
      </c>
      <c r="AX22" s="25" t="e">
        <f t="shared" ref="AX22:BE22" si="28">AP22+AH22+Z22+R22</f>
        <v>#REF!</v>
      </c>
      <c r="AY22" s="25" t="e">
        <f t="shared" si="28"/>
        <v>#REF!</v>
      </c>
      <c r="AZ22" s="25" t="e">
        <f t="shared" si="28"/>
        <v>#REF!</v>
      </c>
      <c r="BA22" s="25" t="e">
        <f t="shared" si="28"/>
        <v>#REF!</v>
      </c>
      <c r="BB22" s="25" t="e">
        <f t="shared" si="28"/>
        <v>#REF!</v>
      </c>
      <c r="BC22" s="25" t="e">
        <f t="shared" si="28"/>
        <v>#REF!</v>
      </c>
      <c r="BD22" s="25" t="e">
        <f t="shared" si="28"/>
        <v>#REF!</v>
      </c>
      <c r="BE22" s="25" t="e">
        <f t="shared" si="28"/>
        <v>#REF!</v>
      </c>
      <c r="BF22" s="30" t="e">
        <f t="shared" si="1"/>
        <v>#REF!</v>
      </c>
      <c r="BG22" s="30" t="e">
        <f t="shared" si="2"/>
        <v>#REF!</v>
      </c>
      <c r="BH22" s="30" t="e">
        <f t="shared" si="3"/>
        <v>#REF!</v>
      </c>
      <c r="BI22" s="30" t="e">
        <f t="shared" si="4"/>
        <v>#REF!</v>
      </c>
      <c r="BJ22" s="30" t="e">
        <f t="shared" si="5"/>
        <v>#REF!</v>
      </c>
      <c r="BK22" s="30" t="e">
        <f t="shared" si="6"/>
        <v>#REF!</v>
      </c>
      <c r="BL22" s="31" t="e">
        <f t="shared" si="7"/>
        <v>#REF!</v>
      </c>
      <c r="BM22" s="31" t="e">
        <f t="shared" si="8"/>
        <v>#REF!</v>
      </c>
      <c r="BN22" s="31" t="e">
        <f t="shared" si="9"/>
        <v>#REF!</v>
      </c>
      <c r="BO22" s="31" t="e">
        <f t="shared" si="10"/>
        <v>#REF!</v>
      </c>
    </row>
    <row r="23" spans="1:67" ht="15.75" customHeight="1" x14ac:dyDescent="0.35">
      <c r="A23" s="1"/>
      <c r="B23" s="33" t="e">
        <f t="shared" ref="B23:BO23" si="29">SUM(B4:B22)</f>
        <v>#REF!</v>
      </c>
      <c r="C23" s="33" t="e">
        <f t="shared" si="29"/>
        <v>#REF!</v>
      </c>
      <c r="D23" s="33" t="e">
        <f t="shared" si="29"/>
        <v>#REF!</v>
      </c>
      <c r="E23" s="33" t="e">
        <f t="shared" si="29"/>
        <v>#REF!</v>
      </c>
      <c r="F23" s="33" t="e">
        <f t="shared" si="29"/>
        <v>#REF!</v>
      </c>
      <c r="G23" s="33" t="e">
        <f t="shared" si="29"/>
        <v>#REF!</v>
      </c>
      <c r="H23" s="33" t="e">
        <f t="shared" si="29"/>
        <v>#REF!</v>
      </c>
      <c r="I23" s="33" t="e">
        <f t="shared" si="29"/>
        <v>#REF!</v>
      </c>
      <c r="J23" s="33" t="e">
        <f t="shared" si="29"/>
        <v>#REF!</v>
      </c>
      <c r="K23" s="33" t="e">
        <f t="shared" si="29"/>
        <v>#REF!</v>
      </c>
      <c r="L23" s="33" t="e">
        <f t="shared" si="29"/>
        <v>#REF!</v>
      </c>
      <c r="M23" s="33" t="e">
        <f t="shared" si="29"/>
        <v>#REF!</v>
      </c>
      <c r="N23" s="33" t="e">
        <f t="shared" si="29"/>
        <v>#REF!</v>
      </c>
      <c r="O23" s="33" t="e">
        <f t="shared" si="29"/>
        <v>#REF!</v>
      </c>
      <c r="P23" s="33" t="e">
        <f t="shared" si="29"/>
        <v>#REF!</v>
      </c>
      <c r="Q23" s="33" t="e">
        <f t="shared" si="29"/>
        <v>#REF!</v>
      </c>
      <c r="R23" s="33" t="e">
        <f t="shared" si="29"/>
        <v>#REF!</v>
      </c>
      <c r="S23" s="33" t="e">
        <f t="shared" si="29"/>
        <v>#REF!</v>
      </c>
      <c r="T23" s="33" t="e">
        <f t="shared" si="29"/>
        <v>#REF!</v>
      </c>
      <c r="U23" s="33" t="e">
        <f t="shared" si="29"/>
        <v>#REF!</v>
      </c>
      <c r="V23" s="33" t="e">
        <f t="shared" si="29"/>
        <v>#REF!</v>
      </c>
      <c r="W23" s="33" t="e">
        <f t="shared" si="29"/>
        <v>#REF!</v>
      </c>
      <c r="X23" s="33" t="e">
        <f t="shared" si="29"/>
        <v>#REF!</v>
      </c>
      <c r="Y23" s="33" t="e">
        <f t="shared" si="29"/>
        <v>#REF!</v>
      </c>
      <c r="Z23" s="33" t="e">
        <f t="shared" si="29"/>
        <v>#REF!</v>
      </c>
      <c r="AA23" s="33" t="e">
        <f t="shared" si="29"/>
        <v>#REF!</v>
      </c>
      <c r="AB23" s="33" t="e">
        <f t="shared" si="29"/>
        <v>#REF!</v>
      </c>
      <c r="AC23" s="33" t="e">
        <f t="shared" si="29"/>
        <v>#REF!</v>
      </c>
      <c r="AD23" s="33" t="e">
        <f t="shared" si="29"/>
        <v>#REF!</v>
      </c>
      <c r="AE23" s="33" t="e">
        <f t="shared" si="29"/>
        <v>#REF!</v>
      </c>
      <c r="AF23" s="33" t="e">
        <f t="shared" si="29"/>
        <v>#REF!</v>
      </c>
      <c r="AG23" s="33" t="e">
        <f t="shared" si="29"/>
        <v>#REF!</v>
      </c>
      <c r="AH23" s="33" t="e">
        <f t="shared" si="29"/>
        <v>#REF!</v>
      </c>
      <c r="AI23" s="33" t="e">
        <f t="shared" si="29"/>
        <v>#REF!</v>
      </c>
      <c r="AJ23" s="33" t="e">
        <f t="shared" si="29"/>
        <v>#REF!</v>
      </c>
      <c r="AK23" s="33" t="e">
        <f t="shared" si="29"/>
        <v>#REF!</v>
      </c>
      <c r="AL23" s="33" t="e">
        <f t="shared" si="29"/>
        <v>#REF!</v>
      </c>
      <c r="AM23" s="33" t="e">
        <f t="shared" si="29"/>
        <v>#REF!</v>
      </c>
      <c r="AN23" s="33" t="e">
        <f t="shared" si="29"/>
        <v>#REF!</v>
      </c>
      <c r="AO23" s="33" t="e">
        <f t="shared" si="29"/>
        <v>#REF!</v>
      </c>
      <c r="AP23" s="33" t="e">
        <f t="shared" si="29"/>
        <v>#REF!</v>
      </c>
      <c r="AQ23" s="33" t="e">
        <f t="shared" si="29"/>
        <v>#REF!</v>
      </c>
      <c r="AR23" s="33" t="e">
        <f t="shared" si="29"/>
        <v>#REF!</v>
      </c>
      <c r="AS23" s="33" t="e">
        <f t="shared" si="29"/>
        <v>#REF!</v>
      </c>
      <c r="AT23" s="33" t="e">
        <f t="shared" si="29"/>
        <v>#REF!</v>
      </c>
      <c r="AU23" s="33" t="e">
        <f t="shared" si="29"/>
        <v>#REF!</v>
      </c>
      <c r="AV23" s="33" t="e">
        <f t="shared" si="29"/>
        <v>#REF!</v>
      </c>
      <c r="AW23" s="33" t="e">
        <f t="shared" si="29"/>
        <v>#REF!</v>
      </c>
      <c r="AX23" s="33" t="e">
        <f t="shared" si="29"/>
        <v>#REF!</v>
      </c>
      <c r="AY23" s="33" t="e">
        <f t="shared" si="29"/>
        <v>#REF!</v>
      </c>
      <c r="AZ23" s="33" t="e">
        <f t="shared" si="29"/>
        <v>#REF!</v>
      </c>
      <c r="BA23" s="33" t="e">
        <f t="shared" si="29"/>
        <v>#REF!</v>
      </c>
      <c r="BB23" s="33" t="e">
        <f t="shared" si="29"/>
        <v>#REF!</v>
      </c>
      <c r="BC23" s="33" t="e">
        <f t="shared" si="29"/>
        <v>#REF!</v>
      </c>
      <c r="BD23" s="33" t="e">
        <f t="shared" si="29"/>
        <v>#REF!</v>
      </c>
      <c r="BE23" s="33" t="e">
        <f t="shared" si="29"/>
        <v>#REF!</v>
      </c>
      <c r="BF23" s="34" t="e">
        <f t="shared" si="29"/>
        <v>#REF!</v>
      </c>
      <c r="BG23" s="34" t="e">
        <f t="shared" si="29"/>
        <v>#REF!</v>
      </c>
      <c r="BH23" s="34" t="e">
        <f t="shared" si="29"/>
        <v>#REF!</v>
      </c>
      <c r="BI23" s="34" t="e">
        <f t="shared" si="29"/>
        <v>#REF!</v>
      </c>
      <c r="BJ23" s="34" t="e">
        <f t="shared" si="29"/>
        <v>#REF!</v>
      </c>
      <c r="BK23" s="34" t="e">
        <f t="shared" si="29"/>
        <v>#REF!</v>
      </c>
      <c r="BL23" s="34" t="e">
        <f t="shared" si="29"/>
        <v>#REF!</v>
      </c>
      <c r="BM23" s="34" t="e">
        <f t="shared" si="29"/>
        <v>#REF!</v>
      </c>
      <c r="BN23" s="34" t="e">
        <f t="shared" si="29"/>
        <v>#REF!</v>
      </c>
      <c r="BO23" s="34" t="e">
        <f t="shared" si="29"/>
        <v>#REF!</v>
      </c>
    </row>
    <row r="24" spans="1:67" ht="15.75" customHeight="1" x14ac:dyDescent="0.25"/>
    <row r="25" spans="1:67" ht="15.75" customHeight="1" x14ac:dyDescent="0.25">
      <c r="A25" s="35"/>
    </row>
    <row r="26" spans="1:67" ht="15.75" customHeight="1" x14ac:dyDescent="0.25">
      <c r="A26" s="35"/>
    </row>
    <row r="27" spans="1:67" ht="15.75" customHeight="1" x14ac:dyDescent="0.25"/>
    <row r="28" spans="1:67" ht="15.75" customHeight="1" x14ac:dyDescent="0.25"/>
    <row r="29" spans="1:67" ht="15.75" customHeight="1" x14ac:dyDescent="0.25"/>
    <row r="30" spans="1:67" ht="15.75" customHeight="1" x14ac:dyDescent="0.25"/>
    <row r="31" spans="1:67" ht="15.75" customHeight="1" x14ac:dyDescent="0.25"/>
    <row r="32" spans="1:6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4296875" defaultRowHeight="15" customHeight="1" x14ac:dyDescent="0.25"/>
  <sheetData>
    <row r="1" spans="1:23" ht="15" customHeight="1" x14ac:dyDescent="0.25">
      <c r="A1" s="36" t="s">
        <v>1049</v>
      </c>
      <c r="B1" s="37" t="s">
        <v>1050</v>
      </c>
      <c r="C1" s="37" t="s">
        <v>1051</v>
      </c>
      <c r="D1" s="37" t="s">
        <v>1</v>
      </c>
      <c r="E1" s="37" t="s">
        <v>1052</v>
      </c>
      <c r="F1" s="37" t="s">
        <v>1053</v>
      </c>
      <c r="G1" s="37" t="s">
        <v>1054</v>
      </c>
      <c r="H1" s="37" t="s">
        <v>1055</v>
      </c>
      <c r="I1" s="37" t="s">
        <v>1056</v>
      </c>
      <c r="J1" s="37" t="s">
        <v>1057</v>
      </c>
      <c r="K1" s="37" t="s">
        <v>1058</v>
      </c>
      <c r="L1" s="37" t="s">
        <v>1059</v>
      </c>
      <c r="M1" s="37" t="s">
        <v>1060</v>
      </c>
      <c r="N1" s="37" t="s">
        <v>1061</v>
      </c>
      <c r="O1" s="37" t="s">
        <v>1062</v>
      </c>
      <c r="P1" s="37" t="s">
        <v>1063</v>
      </c>
      <c r="Q1" s="37" t="s">
        <v>1064</v>
      </c>
      <c r="R1" s="37" t="s">
        <v>1065</v>
      </c>
      <c r="S1" s="37" t="s">
        <v>1066</v>
      </c>
      <c r="T1" s="37" t="s">
        <v>1067</v>
      </c>
      <c r="U1" s="37" t="s">
        <v>1068</v>
      </c>
      <c r="V1" s="37" t="s">
        <v>1069</v>
      </c>
      <c r="W1" s="38" t="s">
        <v>1070</v>
      </c>
    </row>
    <row r="2" spans="1:23" ht="15" customHeight="1" x14ac:dyDescent="0.3">
      <c r="A2" s="39">
        <v>46060.580011574071</v>
      </c>
      <c r="B2" s="40" t="s">
        <v>1071</v>
      </c>
      <c r="C2" s="40" t="s">
        <v>574</v>
      </c>
      <c r="D2" s="40" t="s">
        <v>573</v>
      </c>
      <c r="E2" s="40" t="s">
        <v>575</v>
      </c>
      <c r="F2" s="40" t="s">
        <v>1072</v>
      </c>
      <c r="G2" s="40" t="s">
        <v>1073</v>
      </c>
      <c r="H2" s="40" t="s">
        <v>14</v>
      </c>
      <c r="I2" s="41" t="s">
        <v>1074</v>
      </c>
      <c r="J2" s="41" t="s">
        <v>1075</v>
      </c>
      <c r="K2" s="69" t="s">
        <v>1076</v>
      </c>
      <c r="L2" s="68"/>
      <c r="M2" s="68"/>
      <c r="N2" s="42"/>
      <c r="O2" s="42"/>
      <c r="P2" s="42"/>
      <c r="Q2" s="42"/>
      <c r="R2" s="42"/>
      <c r="S2" s="42"/>
      <c r="T2" s="42"/>
      <c r="U2" s="42"/>
      <c r="V2" s="42"/>
      <c r="W2" s="43"/>
    </row>
    <row r="3" spans="1:23" ht="15" customHeight="1" x14ac:dyDescent="0.3">
      <c r="A3" s="44">
        <v>46073.411898148152</v>
      </c>
      <c r="B3" s="45" t="s">
        <v>862</v>
      </c>
      <c r="C3" s="45" t="s">
        <v>291</v>
      </c>
      <c r="D3" s="45" t="s">
        <v>290</v>
      </c>
      <c r="E3" s="45" t="s">
        <v>259</v>
      </c>
      <c r="F3" s="45" t="s">
        <v>1072</v>
      </c>
      <c r="G3" s="45" t="s">
        <v>1077</v>
      </c>
      <c r="H3" s="45" t="s">
        <v>7</v>
      </c>
      <c r="I3" s="41" t="s">
        <v>1078</v>
      </c>
      <c r="J3" s="41" t="s">
        <v>1079</v>
      </c>
      <c r="K3" s="69" t="s">
        <v>1080</v>
      </c>
      <c r="L3" s="68"/>
      <c r="M3" s="68"/>
      <c r="N3" s="46"/>
      <c r="O3" s="46"/>
      <c r="P3" s="46"/>
      <c r="Q3" s="46"/>
      <c r="R3" s="46"/>
      <c r="S3" s="46"/>
      <c r="T3" s="46"/>
      <c r="U3" s="46"/>
      <c r="V3" s="46"/>
      <c r="W3" s="47"/>
    </row>
    <row r="4" spans="1:23" ht="15" customHeight="1" x14ac:dyDescent="0.3">
      <c r="A4" s="39">
        <v>46077.356041666666</v>
      </c>
      <c r="B4" s="40" t="s">
        <v>869</v>
      </c>
      <c r="C4" s="40" t="s">
        <v>1081</v>
      </c>
      <c r="D4" s="40" t="s">
        <v>295</v>
      </c>
      <c r="E4" s="40" t="s">
        <v>259</v>
      </c>
      <c r="F4" s="40" t="s">
        <v>1072</v>
      </c>
      <c r="G4" s="40" t="s">
        <v>1082</v>
      </c>
      <c r="H4" s="40" t="s">
        <v>14</v>
      </c>
      <c r="I4" s="41" t="s">
        <v>1083</v>
      </c>
      <c r="J4" s="41" t="s">
        <v>1084</v>
      </c>
      <c r="K4" s="69" t="s">
        <v>1085</v>
      </c>
      <c r="L4" s="68"/>
      <c r="M4" s="68"/>
      <c r="N4" s="42"/>
      <c r="O4" s="42"/>
      <c r="P4" s="42"/>
      <c r="Q4" s="42"/>
      <c r="R4" s="42"/>
      <c r="S4" s="42"/>
      <c r="T4" s="42"/>
      <c r="U4" s="42"/>
      <c r="V4" s="42"/>
      <c r="W4" s="43"/>
    </row>
    <row r="5" spans="1:23" ht="15" customHeight="1" x14ac:dyDescent="0.3">
      <c r="A5" s="44">
        <v>46077.796076388891</v>
      </c>
      <c r="B5" s="45" t="s">
        <v>678</v>
      </c>
      <c r="C5" s="45" t="s">
        <v>319</v>
      </c>
      <c r="D5" s="45" t="s">
        <v>318</v>
      </c>
      <c r="E5" s="45" t="s">
        <v>127</v>
      </c>
      <c r="F5" s="45" t="s">
        <v>1072</v>
      </c>
      <c r="G5" s="45" t="s">
        <v>1086</v>
      </c>
      <c r="H5" s="45" t="s">
        <v>14</v>
      </c>
      <c r="I5" s="41" t="s">
        <v>1087</v>
      </c>
      <c r="J5" s="41" t="s">
        <v>1088</v>
      </c>
      <c r="K5" s="69" t="s">
        <v>1089</v>
      </c>
      <c r="L5" s="68"/>
      <c r="M5" s="68"/>
      <c r="N5" s="46"/>
      <c r="O5" s="46"/>
      <c r="P5" s="46"/>
      <c r="Q5" s="46"/>
      <c r="R5" s="46"/>
      <c r="S5" s="46"/>
      <c r="T5" s="46"/>
      <c r="U5" s="46"/>
      <c r="V5" s="46"/>
      <c r="W5" s="47"/>
    </row>
    <row r="6" spans="1:23" ht="15" customHeight="1" x14ac:dyDescent="0.3">
      <c r="A6" s="39">
        <v>46077.835324074076</v>
      </c>
      <c r="B6" s="40" t="s">
        <v>812</v>
      </c>
      <c r="C6" s="40" t="s">
        <v>161</v>
      </c>
      <c r="D6" s="40" t="s">
        <v>160</v>
      </c>
      <c r="E6" s="40" t="s">
        <v>28</v>
      </c>
      <c r="F6" s="40" t="s">
        <v>1072</v>
      </c>
      <c r="G6" s="40" t="s">
        <v>1090</v>
      </c>
      <c r="H6" s="40" t="s">
        <v>7</v>
      </c>
      <c r="I6" s="41" t="s">
        <v>1091</v>
      </c>
      <c r="J6" s="41" t="s">
        <v>1092</v>
      </c>
      <c r="K6" s="69" t="s">
        <v>1093</v>
      </c>
      <c r="L6" s="68"/>
      <c r="M6" s="68"/>
      <c r="N6" s="42"/>
      <c r="O6" s="42"/>
      <c r="P6" s="42"/>
      <c r="Q6" s="42"/>
      <c r="R6" s="42"/>
      <c r="S6" s="42"/>
      <c r="T6" s="42"/>
      <c r="U6" s="42"/>
      <c r="V6" s="42"/>
      <c r="W6" s="43"/>
    </row>
    <row r="7" spans="1:23" ht="15" customHeight="1" x14ac:dyDescent="0.3">
      <c r="A7" s="44">
        <v>46078.944467592592</v>
      </c>
      <c r="B7" s="45" t="s">
        <v>635</v>
      </c>
      <c r="C7" s="45" t="s">
        <v>457</v>
      </c>
      <c r="D7" s="45" t="s">
        <v>456</v>
      </c>
      <c r="E7" s="45" t="s">
        <v>127</v>
      </c>
      <c r="F7" s="45" t="s">
        <v>1072</v>
      </c>
      <c r="G7" s="45" t="s">
        <v>1094</v>
      </c>
      <c r="H7" s="45" t="s">
        <v>14</v>
      </c>
      <c r="I7" s="41" t="s">
        <v>1095</v>
      </c>
      <c r="J7" s="41" t="s">
        <v>1096</v>
      </c>
      <c r="K7" s="69" t="s">
        <v>1097</v>
      </c>
      <c r="L7" s="68"/>
      <c r="M7" s="68"/>
      <c r="N7" s="46"/>
      <c r="O7" s="46"/>
      <c r="P7" s="46"/>
      <c r="Q7" s="46"/>
      <c r="R7" s="46"/>
      <c r="S7" s="46"/>
      <c r="T7" s="46"/>
      <c r="U7" s="46"/>
      <c r="V7" s="46"/>
      <c r="W7" s="47"/>
    </row>
    <row r="8" spans="1:23" ht="15" customHeight="1" x14ac:dyDescent="0.3">
      <c r="A8" s="39">
        <v>46079.399814814817</v>
      </c>
      <c r="B8" s="40" t="s">
        <v>864</v>
      </c>
      <c r="C8" s="40" t="s">
        <v>1098</v>
      </c>
      <c r="D8" s="40" t="s">
        <v>292</v>
      </c>
      <c r="E8" s="40" t="s">
        <v>259</v>
      </c>
      <c r="F8" s="40" t="s">
        <v>1072</v>
      </c>
      <c r="G8" s="40" t="s">
        <v>1099</v>
      </c>
      <c r="H8" s="40" t="s">
        <v>14</v>
      </c>
      <c r="I8" s="41" t="s">
        <v>1100</v>
      </c>
      <c r="J8" s="41" t="s">
        <v>1101</v>
      </c>
      <c r="K8" s="69" t="s">
        <v>1102</v>
      </c>
      <c r="L8" s="68"/>
      <c r="M8" s="68"/>
      <c r="N8" s="42"/>
      <c r="O8" s="42"/>
      <c r="P8" s="42"/>
      <c r="Q8" s="42"/>
      <c r="R8" s="42"/>
      <c r="S8" s="42"/>
      <c r="T8" s="42"/>
      <c r="U8" s="42"/>
      <c r="V8" s="42"/>
      <c r="W8" s="43"/>
    </row>
    <row r="9" spans="1:23" ht="15" customHeight="1" x14ac:dyDescent="0.3">
      <c r="A9" s="44">
        <v>46079.43644675926</v>
      </c>
      <c r="B9" s="45" t="s">
        <v>639</v>
      </c>
      <c r="C9" s="45" t="s">
        <v>495</v>
      </c>
      <c r="D9" s="45" t="s">
        <v>494</v>
      </c>
      <c r="E9" s="45" t="s">
        <v>127</v>
      </c>
      <c r="F9" s="45" t="s">
        <v>1072</v>
      </c>
      <c r="G9" s="45" t="s">
        <v>1103</v>
      </c>
      <c r="H9" s="45" t="s">
        <v>14</v>
      </c>
      <c r="I9" s="41" t="s">
        <v>1104</v>
      </c>
      <c r="J9" s="41" t="s">
        <v>1105</v>
      </c>
      <c r="K9" s="69" t="s">
        <v>1106</v>
      </c>
      <c r="L9" s="68"/>
      <c r="M9" s="68"/>
      <c r="N9" s="46"/>
      <c r="O9" s="46"/>
      <c r="P9" s="46"/>
      <c r="Q9" s="46"/>
      <c r="R9" s="46"/>
      <c r="S9" s="46"/>
      <c r="T9" s="46"/>
      <c r="U9" s="46"/>
      <c r="V9" s="46"/>
      <c r="W9" s="47"/>
    </row>
    <row r="10" spans="1:23" ht="15" customHeight="1" x14ac:dyDescent="0.3">
      <c r="A10" s="39">
        <v>46079.518113425926</v>
      </c>
      <c r="B10" s="40" t="s">
        <v>952</v>
      </c>
      <c r="C10" s="40" t="s">
        <v>428</v>
      </c>
      <c r="D10" s="40" t="s">
        <v>427</v>
      </c>
      <c r="E10" s="40" t="s">
        <v>17</v>
      </c>
      <c r="F10" s="40" t="s">
        <v>1072</v>
      </c>
      <c r="G10" s="40" t="s">
        <v>1107</v>
      </c>
      <c r="H10" s="40" t="s">
        <v>14</v>
      </c>
      <c r="I10" s="41" t="s">
        <v>1108</v>
      </c>
      <c r="J10" s="41" t="s">
        <v>1109</v>
      </c>
      <c r="K10" s="69" t="s">
        <v>1110</v>
      </c>
      <c r="L10" s="68"/>
      <c r="M10" s="68"/>
      <c r="N10" s="42"/>
      <c r="O10" s="42"/>
      <c r="P10" s="42"/>
      <c r="Q10" s="42"/>
      <c r="R10" s="42"/>
      <c r="S10" s="42"/>
      <c r="T10" s="42"/>
      <c r="U10" s="42"/>
      <c r="V10" s="42"/>
      <c r="W10" s="43"/>
    </row>
    <row r="11" spans="1:23" ht="15" customHeight="1" x14ac:dyDescent="0.3">
      <c r="A11" s="44">
        <v>46079.547708333332</v>
      </c>
      <c r="B11" s="45" t="s">
        <v>677</v>
      </c>
      <c r="C11" s="45" t="s">
        <v>317</v>
      </c>
      <c r="D11" s="45" t="s">
        <v>316</v>
      </c>
      <c r="E11" s="45" t="s">
        <v>127</v>
      </c>
      <c r="F11" s="45" t="s">
        <v>1072</v>
      </c>
      <c r="G11" s="45" t="s">
        <v>1111</v>
      </c>
      <c r="H11" s="45" t="s">
        <v>14</v>
      </c>
      <c r="I11" s="41" t="s">
        <v>1112</v>
      </c>
      <c r="J11" s="41" t="s">
        <v>1113</v>
      </c>
      <c r="K11" s="69" t="s">
        <v>1114</v>
      </c>
      <c r="L11" s="68"/>
      <c r="M11" s="68"/>
      <c r="N11" s="46"/>
      <c r="O11" s="46"/>
      <c r="P11" s="46"/>
      <c r="Q11" s="46"/>
      <c r="R11" s="46"/>
      <c r="S11" s="46"/>
      <c r="T11" s="46"/>
      <c r="U11" s="46"/>
      <c r="V11" s="46"/>
      <c r="W11" s="47"/>
    </row>
    <row r="12" spans="1:23" ht="15" customHeight="1" x14ac:dyDescent="0.3">
      <c r="A12" s="39">
        <v>46079.588263888887</v>
      </c>
      <c r="B12" s="40" t="s">
        <v>728</v>
      </c>
      <c r="C12" s="40" t="s">
        <v>345</v>
      </c>
      <c r="D12" s="40" t="s">
        <v>344</v>
      </c>
      <c r="E12" s="40" t="s">
        <v>127</v>
      </c>
      <c r="F12" s="40" t="s">
        <v>1072</v>
      </c>
      <c r="G12" s="40" t="s">
        <v>1115</v>
      </c>
      <c r="H12" s="40" t="s">
        <v>14</v>
      </c>
      <c r="I12" s="41" t="s">
        <v>1116</v>
      </c>
      <c r="J12" s="41" t="s">
        <v>1117</v>
      </c>
      <c r="K12" s="69" t="s">
        <v>1118</v>
      </c>
      <c r="L12" s="68"/>
      <c r="M12" s="68"/>
      <c r="N12" s="42"/>
      <c r="O12" s="42"/>
      <c r="P12" s="42"/>
      <c r="Q12" s="42"/>
      <c r="R12" s="42"/>
      <c r="S12" s="42"/>
      <c r="T12" s="42"/>
      <c r="U12" s="42"/>
      <c r="V12" s="42"/>
      <c r="W12" s="43"/>
    </row>
    <row r="13" spans="1:23" ht="15" customHeight="1" x14ac:dyDescent="0.3">
      <c r="A13" s="44">
        <v>46079.607662037037</v>
      </c>
      <c r="B13" s="45" t="s">
        <v>679</v>
      </c>
      <c r="C13" s="45" t="s">
        <v>321</v>
      </c>
      <c r="D13" s="45" t="s">
        <v>320</v>
      </c>
      <c r="E13" s="45" t="s">
        <v>127</v>
      </c>
      <c r="F13" s="45" t="s">
        <v>1072</v>
      </c>
      <c r="G13" s="45" t="s">
        <v>1119</v>
      </c>
      <c r="H13" s="45" t="s">
        <v>14</v>
      </c>
      <c r="I13" s="41" t="s">
        <v>1120</v>
      </c>
      <c r="J13" s="41" t="s">
        <v>1121</v>
      </c>
      <c r="K13" s="69" t="s">
        <v>1122</v>
      </c>
      <c r="L13" s="68"/>
      <c r="M13" s="68"/>
      <c r="N13" s="46"/>
      <c r="O13" s="46"/>
      <c r="P13" s="46"/>
      <c r="Q13" s="46"/>
      <c r="R13" s="46"/>
      <c r="S13" s="46"/>
      <c r="T13" s="46"/>
      <c r="U13" s="46"/>
      <c r="V13" s="46"/>
      <c r="W13" s="47"/>
    </row>
    <row r="14" spans="1:23" ht="15" customHeight="1" x14ac:dyDescent="0.3">
      <c r="A14" s="39">
        <v>46079.609351851854</v>
      </c>
      <c r="B14" s="40" t="s">
        <v>809</v>
      </c>
      <c r="C14" s="40" t="s">
        <v>102</v>
      </c>
      <c r="D14" s="40" t="s">
        <v>101</v>
      </c>
      <c r="E14" s="40" t="s">
        <v>28</v>
      </c>
      <c r="F14" s="40" t="s">
        <v>1072</v>
      </c>
      <c r="G14" s="40" t="s">
        <v>1123</v>
      </c>
      <c r="H14" s="40" t="s">
        <v>7</v>
      </c>
      <c r="I14" s="41" t="s">
        <v>1124</v>
      </c>
      <c r="J14" s="41" t="s">
        <v>1125</v>
      </c>
      <c r="K14" s="69" t="s">
        <v>1126</v>
      </c>
      <c r="L14" s="68"/>
      <c r="M14" s="68"/>
      <c r="N14" s="42"/>
      <c r="O14" s="42"/>
      <c r="P14" s="42"/>
      <c r="Q14" s="42"/>
      <c r="R14" s="42"/>
      <c r="S14" s="42"/>
      <c r="T14" s="42"/>
      <c r="U14" s="42"/>
      <c r="V14" s="42"/>
      <c r="W14" s="43"/>
    </row>
    <row r="15" spans="1:23" ht="15" customHeight="1" x14ac:dyDescent="0.3">
      <c r="A15" s="44">
        <v>46079.625254629631</v>
      </c>
      <c r="B15" s="45" t="s">
        <v>1127</v>
      </c>
      <c r="C15" s="45" t="s">
        <v>309</v>
      </c>
      <c r="D15" s="45" t="s">
        <v>308</v>
      </c>
      <c r="E15" s="48">
        <v>414</v>
      </c>
      <c r="F15" s="45" t="s">
        <v>1072</v>
      </c>
      <c r="G15" s="45" t="s">
        <v>1128</v>
      </c>
      <c r="H15" s="45" t="s">
        <v>14</v>
      </c>
      <c r="I15" s="41" t="s">
        <v>1129</v>
      </c>
      <c r="J15" s="41" t="s">
        <v>1130</v>
      </c>
      <c r="K15" s="69" t="s">
        <v>1131</v>
      </c>
      <c r="L15" s="68"/>
      <c r="M15" s="68"/>
      <c r="N15" s="46"/>
      <c r="O15" s="46"/>
      <c r="P15" s="46"/>
      <c r="Q15" s="46"/>
      <c r="R15" s="46"/>
      <c r="S15" s="46"/>
      <c r="T15" s="46"/>
      <c r="U15" s="46"/>
      <c r="V15" s="46"/>
      <c r="W15" s="47"/>
    </row>
    <row r="16" spans="1:23" ht="15" customHeight="1" x14ac:dyDescent="0.3">
      <c r="A16" s="39">
        <v>46079.628703703704</v>
      </c>
      <c r="B16" s="40" t="s">
        <v>802</v>
      </c>
      <c r="C16" s="40" t="s">
        <v>185</v>
      </c>
      <c r="D16" s="40" t="s">
        <v>184</v>
      </c>
      <c r="E16" s="40" t="s">
        <v>28</v>
      </c>
      <c r="F16" s="40" t="s">
        <v>1072</v>
      </c>
      <c r="G16" s="40" t="s">
        <v>1132</v>
      </c>
      <c r="H16" s="40" t="s">
        <v>14</v>
      </c>
      <c r="I16" s="41" t="s">
        <v>1133</v>
      </c>
      <c r="J16" s="41" t="s">
        <v>1134</v>
      </c>
      <c r="K16" s="69" t="s">
        <v>1135</v>
      </c>
      <c r="L16" s="68"/>
      <c r="M16" s="68"/>
      <c r="N16" s="42"/>
      <c r="O16" s="42"/>
      <c r="P16" s="42"/>
      <c r="Q16" s="42"/>
      <c r="R16" s="42"/>
      <c r="S16" s="42"/>
      <c r="T16" s="42"/>
      <c r="U16" s="42"/>
      <c r="V16" s="42"/>
      <c r="W16" s="43"/>
    </row>
    <row r="17" spans="1:23" ht="15" customHeight="1" x14ac:dyDescent="0.3">
      <c r="A17" s="44">
        <v>46079.659849537034</v>
      </c>
      <c r="B17" s="45" t="s">
        <v>705</v>
      </c>
      <c r="C17" s="45" t="s">
        <v>331</v>
      </c>
      <c r="D17" s="45" t="s">
        <v>330</v>
      </c>
      <c r="E17" s="45" t="s">
        <v>127</v>
      </c>
      <c r="F17" s="45" t="s">
        <v>1072</v>
      </c>
      <c r="G17" s="45" t="s">
        <v>1136</v>
      </c>
      <c r="H17" s="45" t="s">
        <v>14</v>
      </c>
      <c r="I17" s="41" t="s">
        <v>1137</v>
      </c>
      <c r="J17" s="41" t="s">
        <v>1138</v>
      </c>
      <c r="K17" s="69" t="s">
        <v>1139</v>
      </c>
      <c r="L17" s="68"/>
      <c r="M17" s="68"/>
      <c r="N17" s="46"/>
      <c r="O17" s="46"/>
      <c r="P17" s="46"/>
      <c r="Q17" s="46"/>
      <c r="R17" s="46"/>
      <c r="S17" s="46"/>
      <c r="T17" s="46"/>
      <c r="U17" s="46"/>
      <c r="V17" s="46"/>
      <c r="W17" s="47"/>
    </row>
    <row r="18" spans="1:23" ht="15" customHeight="1" x14ac:dyDescent="0.3">
      <c r="A18" s="39">
        <v>46079.688009259262</v>
      </c>
      <c r="B18" s="40" t="s">
        <v>759</v>
      </c>
      <c r="C18" s="40" t="s">
        <v>129</v>
      </c>
      <c r="D18" s="40" t="s">
        <v>128</v>
      </c>
      <c r="E18" s="40" t="s">
        <v>127</v>
      </c>
      <c r="F18" s="40" t="s">
        <v>1072</v>
      </c>
      <c r="G18" s="40" t="s">
        <v>1140</v>
      </c>
      <c r="H18" s="40" t="s">
        <v>14</v>
      </c>
      <c r="I18" s="41" t="s">
        <v>1141</v>
      </c>
      <c r="J18" s="41" t="s">
        <v>1142</v>
      </c>
      <c r="K18" s="69" t="s">
        <v>1143</v>
      </c>
      <c r="L18" s="68"/>
      <c r="M18" s="68"/>
      <c r="N18" s="42"/>
      <c r="O18" s="42"/>
      <c r="P18" s="42"/>
      <c r="Q18" s="42"/>
      <c r="R18" s="42"/>
      <c r="S18" s="42"/>
      <c r="T18" s="42"/>
      <c r="U18" s="42"/>
      <c r="V18" s="42"/>
      <c r="W18" s="43"/>
    </row>
    <row r="19" spans="1:23" ht="15" customHeight="1" x14ac:dyDescent="0.3">
      <c r="A19" s="44">
        <v>46079.800173611111</v>
      </c>
      <c r="B19" s="45" t="s">
        <v>662</v>
      </c>
      <c r="C19" s="45" t="s">
        <v>271</v>
      </c>
      <c r="D19" s="45" t="s">
        <v>270</v>
      </c>
      <c r="E19" s="45" t="s">
        <v>259</v>
      </c>
      <c r="F19" s="45" t="s">
        <v>1072</v>
      </c>
      <c r="G19" s="45" t="s">
        <v>1144</v>
      </c>
      <c r="H19" s="45" t="s">
        <v>7</v>
      </c>
      <c r="I19" s="41" t="s">
        <v>1145</v>
      </c>
      <c r="J19" s="41" t="s">
        <v>1146</v>
      </c>
      <c r="K19" s="69" t="s">
        <v>1147</v>
      </c>
      <c r="L19" s="68"/>
      <c r="M19" s="68"/>
      <c r="N19" s="46"/>
      <c r="O19" s="46"/>
      <c r="P19" s="46"/>
      <c r="Q19" s="46"/>
      <c r="R19" s="46"/>
      <c r="S19" s="46"/>
      <c r="T19" s="46"/>
      <c r="U19" s="46"/>
      <c r="V19" s="46"/>
      <c r="W19" s="47"/>
    </row>
    <row r="20" spans="1:23" ht="15" customHeight="1" x14ac:dyDescent="0.3">
      <c r="A20" s="39">
        <v>46079.814988425926</v>
      </c>
      <c r="B20" s="40" t="s">
        <v>750</v>
      </c>
      <c r="C20" s="40" t="s">
        <v>509</v>
      </c>
      <c r="D20" s="40" t="s">
        <v>508</v>
      </c>
      <c r="E20" s="40" t="s">
        <v>127</v>
      </c>
      <c r="F20" s="40" t="s">
        <v>1072</v>
      </c>
      <c r="G20" s="40" t="s">
        <v>1148</v>
      </c>
      <c r="H20" s="40" t="s">
        <v>14</v>
      </c>
      <c r="I20" s="41" t="s">
        <v>1149</v>
      </c>
      <c r="J20" s="41" t="s">
        <v>1150</v>
      </c>
      <c r="K20" s="69" t="s">
        <v>1151</v>
      </c>
      <c r="L20" s="68"/>
      <c r="M20" s="68"/>
      <c r="N20" s="42"/>
      <c r="O20" s="42"/>
      <c r="P20" s="42"/>
      <c r="Q20" s="42"/>
      <c r="R20" s="42"/>
      <c r="S20" s="42"/>
      <c r="T20" s="42"/>
      <c r="U20" s="42"/>
      <c r="V20" s="42"/>
      <c r="W20" s="43"/>
    </row>
    <row r="21" spans="1:23" ht="15" customHeight="1" x14ac:dyDescent="0.3">
      <c r="A21" s="44">
        <v>46079.835335648146</v>
      </c>
      <c r="B21" s="45" t="s">
        <v>810</v>
      </c>
      <c r="C21" s="45" t="s">
        <v>159</v>
      </c>
      <c r="D21" s="45" t="s">
        <v>158</v>
      </c>
      <c r="E21" s="45" t="s">
        <v>28</v>
      </c>
      <c r="F21" s="45" t="s">
        <v>1072</v>
      </c>
      <c r="G21" s="45" t="s">
        <v>1152</v>
      </c>
      <c r="H21" s="45" t="s">
        <v>14</v>
      </c>
      <c r="I21" s="41" t="s">
        <v>1153</v>
      </c>
      <c r="J21" s="41" t="s">
        <v>1154</v>
      </c>
      <c r="K21" s="69" t="s">
        <v>1155</v>
      </c>
      <c r="L21" s="68"/>
      <c r="M21" s="68"/>
      <c r="N21" s="46"/>
      <c r="O21" s="46"/>
      <c r="P21" s="46"/>
      <c r="Q21" s="46"/>
      <c r="R21" s="46"/>
      <c r="S21" s="46"/>
      <c r="T21" s="46"/>
      <c r="U21" s="46"/>
      <c r="V21" s="46"/>
      <c r="W21" s="47"/>
    </row>
    <row r="22" spans="1:23" ht="15" customHeight="1" x14ac:dyDescent="0.3">
      <c r="A22" s="39">
        <v>46079.853773148148</v>
      </c>
      <c r="B22" s="40" t="s">
        <v>704</v>
      </c>
      <c r="C22" s="40" t="s">
        <v>469</v>
      </c>
      <c r="D22" s="40" t="s">
        <v>468</v>
      </c>
      <c r="E22" s="40" t="s">
        <v>468</v>
      </c>
      <c r="F22" s="40" t="s">
        <v>1072</v>
      </c>
      <c r="G22" s="40" t="s">
        <v>1156</v>
      </c>
      <c r="H22" s="40" t="s">
        <v>14</v>
      </c>
      <c r="I22" s="41" t="s">
        <v>1157</v>
      </c>
      <c r="J22" s="41" t="s">
        <v>1158</v>
      </c>
      <c r="K22" s="69" t="s">
        <v>1159</v>
      </c>
      <c r="L22" s="68"/>
      <c r="M22" s="68"/>
      <c r="N22" s="42"/>
      <c r="O22" s="42"/>
      <c r="P22" s="42"/>
      <c r="Q22" s="42"/>
      <c r="R22" s="42"/>
      <c r="S22" s="42"/>
      <c r="T22" s="42"/>
      <c r="U22" s="42"/>
      <c r="V22" s="42"/>
      <c r="W22" s="43"/>
    </row>
    <row r="23" spans="1:23" ht="15" customHeight="1" x14ac:dyDescent="0.3">
      <c r="A23" s="44">
        <v>46079.877905092595</v>
      </c>
      <c r="B23" s="45" t="s">
        <v>741</v>
      </c>
      <c r="C23" s="45" t="s">
        <v>499</v>
      </c>
      <c r="D23" s="45" t="s">
        <v>498</v>
      </c>
      <c r="E23" s="45" t="s">
        <v>127</v>
      </c>
      <c r="F23" s="45" t="s">
        <v>1072</v>
      </c>
      <c r="G23" s="45" t="s">
        <v>1160</v>
      </c>
      <c r="H23" s="45" t="s">
        <v>14</v>
      </c>
      <c r="I23" s="41" t="s">
        <v>1161</v>
      </c>
      <c r="J23" s="41" t="s">
        <v>1162</v>
      </c>
      <c r="K23" s="69" t="s">
        <v>1163</v>
      </c>
      <c r="L23" s="68"/>
      <c r="M23" s="68"/>
      <c r="N23" s="46"/>
      <c r="O23" s="46"/>
      <c r="P23" s="46"/>
      <c r="Q23" s="46"/>
      <c r="R23" s="46"/>
      <c r="S23" s="46"/>
      <c r="T23" s="46"/>
      <c r="U23" s="46"/>
      <c r="V23" s="46"/>
      <c r="W23" s="47"/>
    </row>
    <row r="24" spans="1:23" ht="15" customHeight="1" x14ac:dyDescent="0.3">
      <c r="A24" s="39">
        <v>46079.880127314813</v>
      </c>
      <c r="B24" s="40" t="s">
        <v>1164</v>
      </c>
      <c r="C24" s="40" t="s">
        <v>445</v>
      </c>
      <c r="D24" s="40" t="s">
        <v>444</v>
      </c>
      <c r="E24" s="40" t="s">
        <v>28</v>
      </c>
      <c r="F24" s="40" t="s">
        <v>1072</v>
      </c>
      <c r="G24" s="40" t="s">
        <v>1165</v>
      </c>
      <c r="H24" s="40" t="s">
        <v>7</v>
      </c>
      <c r="I24" s="41" t="s">
        <v>1166</v>
      </c>
      <c r="J24" s="41" t="s">
        <v>1167</v>
      </c>
      <c r="K24" s="69" t="s">
        <v>1168</v>
      </c>
      <c r="L24" s="68"/>
      <c r="M24" s="68"/>
      <c r="N24" s="42"/>
      <c r="O24" s="42"/>
      <c r="P24" s="42"/>
      <c r="Q24" s="42"/>
      <c r="R24" s="42"/>
      <c r="S24" s="42"/>
      <c r="T24" s="42"/>
      <c r="U24" s="42"/>
      <c r="V24" s="42"/>
      <c r="W24" s="43"/>
    </row>
    <row r="25" spans="1:23" ht="13" x14ac:dyDescent="0.3">
      <c r="A25" s="44">
        <v>46079.886701388888</v>
      </c>
      <c r="B25" s="45" t="s">
        <v>656</v>
      </c>
      <c r="C25" s="45" t="s">
        <v>267</v>
      </c>
      <c r="D25" s="45" t="s">
        <v>266</v>
      </c>
      <c r="E25" s="45" t="s">
        <v>259</v>
      </c>
      <c r="F25" s="45" t="s">
        <v>1072</v>
      </c>
      <c r="G25" s="45" t="s">
        <v>1169</v>
      </c>
      <c r="H25" s="45" t="s">
        <v>14</v>
      </c>
      <c r="I25" s="41" t="s">
        <v>1170</v>
      </c>
      <c r="J25" s="41" t="s">
        <v>1171</v>
      </c>
      <c r="K25" s="69" t="s">
        <v>1172</v>
      </c>
      <c r="L25" s="68"/>
      <c r="M25" s="68"/>
      <c r="N25" s="46"/>
      <c r="O25" s="46"/>
      <c r="P25" s="46"/>
      <c r="Q25" s="46"/>
      <c r="R25" s="46"/>
      <c r="S25" s="46"/>
      <c r="T25" s="46"/>
      <c r="U25" s="46"/>
      <c r="V25" s="46"/>
      <c r="W25" s="47"/>
    </row>
    <row r="26" spans="1:23" ht="13" x14ac:dyDescent="0.3">
      <c r="A26" s="39">
        <v>46079.905150462961</v>
      </c>
      <c r="B26" s="40" t="s">
        <v>723</v>
      </c>
      <c r="C26" s="40" t="s">
        <v>475</v>
      </c>
      <c r="D26" s="40" t="s">
        <v>474</v>
      </c>
      <c r="E26" s="40" t="s">
        <v>127</v>
      </c>
      <c r="F26" s="40" t="s">
        <v>1072</v>
      </c>
      <c r="G26" s="40" t="s">
        <v>1173</v>
      </c>
      <c r="H26" s="40" t="s">
        <v>14</v>
      </c>
      <c r="I26" s="41" t="s">
        <v>1174</v>
      </c>
      <c r="J26" s="41" t="s">
        <v>1175</v>
      </c>
      <c r="K26" s="69" t="s">
        <v>1176</v>
      </c>
      <c r="L26" s="68"/>
      <c r="M26" s="68"/>
      <c r="N26" s="42"/>
      <c r="O26" s="42"/>
      <c r="P26" s="42"/>
      <c r="Q26" s="42"/>
      <c r="R26" s="42"/>
      <c r="S26" s="42"/>
      <c r="T26" s="42"/>
      <c r="U26" s="42"/>
      <c r="V26" s="42"/>
      <c r="W26" s="43"/>
    </row>
    <row r="27" spans="1:23" ht="13" x14ac:dyDescent="0.3">
      <c r="A27" s="44">
        <v>46079.949212962965</v>
      </c>
      <c r="B27" s="45" t="s">
        <v>749</v>
      </c>
      <c r="C27" s="45" t="s">
        <v>507</v>
      </c>
      <c r="D27" s="45" t="s">
        <v>506</v>
      </c>
      <c r="E27" s="45" t="s">
        <v>127</v>
      </c>
      <c r="F27" s="45" t="s">
        <v>1072</v>
      </c>
      <c r="G27" s="45" t="s">
        <v>1177</v>
      </c>
      <c r="H27" s="45" t="s">
        <v>14</v>
      </c>
      <c r="I27" s="41" t="s">
        <v>1178</v>
      </c>
      <c r="J27" s="41" t="s">
        <v>1179</v>
      </c>
      <c r="K27" s="69" t="s">
        <v>1180</v>
      </c>
      <c r="L27" s="68"/>
      <c r="M27" s="68"/>
      <c r="N27" s="46"/>
      <c r="O27" s="46"/>
      <c r="P27" s="46"/>
      <c r="Q27" s="46"/>
      <c r="R27" s="46"/>
      <c r="S27" s="46"/>
      <c r="T27" s="46"/>
      <c r="U27" s="46"/>
      <c r="V27" s="46"/>
      <c r="W27" s="47"/>
    </row>
    <row r="28" spans="1:23" ht="13" x14ac:dyDescent="0.3">
      <c r="A28" s="39">
        <v>46079.953634259262</v>
      </c>
      <c r="B28" s="40" t="s">
        <v>680</v>
      </c>
      <c r="C28" s="40" t="s">
        <v>277</v>
      </c>
      <c r="D28" s="40" t="s">
        <v>276</v>
      </c>
      <c r="E28" s="40" t="s">
        <v>259</v>
      </c>
      <c r="F28" s="40" t="s">
        <v>1072</v>
      </c>
      <c r="G28" s="40" t="s">
        <v>1181</v>
      </c>
      <c r="H28" s="40" t="s">
        <v>14</v>
      </c>
      <c r="I28" s="41" t="s">
        <v>1182</v>
      </c>
      <c r="J28" s="41" t="s">
        <v>1183</v>
      </c>
      <c r="K28" s="69" t="s">
        <v>1184</v>
      </c>
      <c r="L28" s="68"/>
      <c r="M28" s="68"/>
      <c r="N28" s="42"/>
      <c r="O28" s="42"/>
      <c r="P28" s="42"/>
      <c r="Q28" s="42"/>
      <c r="R28" s="42"/>
      <c r="S28" s="42"/>
      <c r="T28" s="42"/>
      <c r="U28" s="42"/>
      <c r="V28" s="42"/>
      <c r="W28" s="43"/>
    </row>
    <row r="29" spans="1:23" ht="13" x14ac:dyDescent="0.3">
      <c r="A29" s="44">
        <v>46079.967361111114</v>
      </c>
      <c r="B29" s="45" t="s">
        <v>622</v>
      </c>
      <c r="C29" s="45" t="s">
        <v>258</v>
      </c>
      <c r="D29" s="45" t="s">
        <v>257</v>
      </c>
      <c r="E29" s="45" t="s">
        <v>259</v>
      </c>
      <c r="F29" s="45" t="s">
        <v>1072</v>
      </c>
      <c r="G29" s="45" t="s">
        <v>1185</v>
      </c>
      <c r="H29" s="45" t="s">
        <v>14</v>
      </c>
      <c r="I29" s="41" t="s">
        <v>1186</v>
      </c>
      <c r="J29" s="41" t="s">
        <v>1187</v>
      </c>
      <c r="K29" s="69" t="s">
        <v>1188</v>
      </c>
      <c r="L29" s="68"/>
      <c r="M29" s="68"/>
      <c r="N29" s="46"/>
      <c r="O29" s="46"/>
      <c r="P29" s="46"/>
      <c r="Q29" s="46"/>
      <c r="R29" s="46"/>
      <c r="S29" s="46"/>
      <c r="T29" s="46"/>
      <c r="U29" s="46"/>
      <c r="V29" s="46"/>
      <c r="W29" s="47"/>
    </row>
    <row r="30" spans="1:23" ht="13" x14ac:dyDescent="0.3">
      <c r="A30" s="39">
        <v>46079.999872685185</v>
      </c>
      <c r="B30" s="40" t="s">
        <v>795</v>
      </c>
      <c r="C30" s="40" t="s">
        <v>511</v>
      </c>
      <c r="D30" s="40" t="s">
        <v>510</v>
      </c>
      <c r="E30" s="40" t="s">
        <v>28</v>
      </c>
      <c r="F30" s="40" t="s">
        <v>1072</v>
      </c>
      <c r="G30" s="40" t="s">
        <v>1189</v>
      </c>
      <c r="H30" s="40" t="s">
        <v>7</v>
      </c>
      <c r="I30" s="41" t="s">
        <v>1190</v>
      </c>
      <c r="J30" s="41" t="s">
        <v>1191</v>
      </c>
      <c r="K30" s="69" t="s">
        <v>1192</v>
      </c>
      <c r="L30" s="68"/>
      <c r="M30" s="68"/>
      <c r="N30" s="42"/>
      <c r="O30" s="42"/>
      <c r="P30" s="42"/>
      <c r="Q30" s="42"/>
      <c r="R30" s="42"/>
      <c r="S30" s="42"/>
      <c r="T30" s="42"/>
      <c r="U30" s="42"/>
      <c r="V30" s="42"/>
      <c r="W30" s="43"/>
    </row>
    <row r="31" spans="1:23" ht="13" x14ac:dyDescent="0.3">
      <c r="A31" s="44">
        <v>46080.025138888886</v>
      </c>
      <c r="B31" s="45" t="s">
        <v>665</v>
      </c>
      <c r="C31" s="45" t="s">
        <v>179</v>
      </c>
      <c r="D31" s="45" t="s">
        <v>178</v>
      </c>
      <c r="E31" s="45" t="s">
        <v>127</v>
      </c>
      <c r="F31" s="45" t="s">
        <v>1072</v>
      </c>
      <c r="G31" s="45" t="s">
        <v>1193</v>
      </c>
      <c r="H31" s="45" t="s">
        <v>7</v>
      </c>
      <c r="I31" s="41" t="s">
        <v>1194</v>
      </c>
      <c r="J31" s="41" t="s">
        <v>1195</v>
      </c>
      <c r="K31" s="69" t="s">
        <v>1196</v>
      </c>
      <c r="L31" s="68"/>
      <c r="M31" s="68"/>
      <c r="N31" s="46"/>
      <c r="O31" s="46"/>
      <c r="P31" s="46"/>
      <c r="Q31" s="46"/>
      <c r="R31" s="46"/>
      <c r="S31" s="46"/>
      <c r="T31" s="46"/>
      <c r="U31" s="46"/>
      <c r="V31" s="46"/>
      <c r="W31" s="47"/>
    </row>
    <row r="32" spans="1:23" ht="13" x14ac:dyDescent="0.3">
      <c r="A32" s="39">
        <v>46080.054189814815</v>
      </c>
      <c r="B32" s="40" t="s">
        <v>747</v>
      </c>
      <c r="C32" s="40" t="s">
        <v>505</v>
      </c>
      <c r="D32" s="40" t="s">
        <v>504</v>
      </c>
      <c r="E32" s="40" t="s">
        <v>127</v>
      </c>
      <c r="F32" s="40" t="s">
        <v>1072</v>
      </c>
      <c r="G32" s="40" t="s">
        <v>1197</v>
      </c>
      <c r="H32" s="40" t="s">
        <v>14</v>
      </c>
      <c r="I32" s="41" t="s">
        <v>1198</v>
      </c>
      <c r="J32" s="41" t="s">
        <v>1199</v>
      </c>
      <c r="K32" s="69" t="s">
        <v>1200</v>
      </c>
      <c r="L32" s="68"/>
      <c r="M32" s="68"/>
      <c r="N32" s="42"/>
      <c r="O32" s="42"/>
      <c r="P32" s="42"/>
      <c r="Q32" s="42"/>
      <c r="R32" s="42"/>
      <c r="S32" s="42"/>
      <c r="T32" s="42"/>
      <c r="U32" s="42"/>
      <c r="V32" s="42"/>
      <c r="W32" s="43"/>
    </row>
    <row r="33" spans="1:23" ht="13" x14ac:dyDescent="0.3">
      <c r="A33" s="44">
        <v>46080.256469907406</v>
      </c>
      <c r="B33" s="45" t="s">
        <v>768</v>
      </c>
      <c r="C33" s="45" t="s">
        <v>153</v>
      </c>
      <c r="D33" s="45" t="s">
        <v>152</v>
      </c>
      <c r="E33" s="45" t="s">
        <v>127</v>
      </c>
      <c r="F33" s="45" t="s">
        <v>1072</v>
      </c>
      <c r="G33" s="45" t="s">
        <v>1201</v>
      </c>
      <c r="H33" s="45" t="s">
        <v>14</v>
      </c>
      <c r="I33" s="41" t="s">
        <v>1202</v>
      </c>
      <c r="J33" s="41" t="s">
        <v>1203</v>
      </c>
      <c r="K33" s="69" t="s">
        <v>1204</v>
      </c>
      <c r="L33" s="68"/>
      <c r="M33" s="68"/>
      <c r="N33" s="46"/>
      <c r="O33" s="46"/>
      <c r="P33" s="46"/>
      <c r="Q33" s="46"/>
      <c r="R33" s="46"/>
      <c r="S33" s="46"/>
      <c r="T33" s="46"/>
      <c r="U33" s="46"/>
      <c r="V33" s="46"/>
      <c r="W33" s="47"/>
    </row>
    <row r="34" spans="1:23" ht="13" x14ac:dyDescent="0.3">
      <c r="A34" s="39">
        <v>46080.336840277778</v>
      </c>
      <c r="B34" s="40" t="s">
        <v>867</v>
      </c>
      <c r="C34" s="40" t="s">
        <v>294</v>
      </c>
      <c r="D34" s="40" t="s">
        <v>293</v>
      </c>
      <c r="E34" s="40" t="s">
        <v>259</v>
      </c>
      <c r="F34" s="40" t="s">
        <v>1072</v>
      </c>
      <c r="G34" s="40" t="s">
        <v>1205</v>
      </c>
      <c r="H34" s="40" t="s">
        <v>14</v>
      </c>
      <c r="I34" s="41" t="s">
        <v>1206</v>
      </c>
      <c r="J34" s="41" t="s">
        <v>1207</v>
      </c>
      <c r="K34" s="69" t="s">
        <v>1208</v>
      </c>
      <c r="L34" s="68"/>
      <c r="M34" s="68"/>
      <c r="N34" s="42"/>
      <c r="O34" s="42"/>
      <c r="P34" s="42"/>
      <c r="Q34" s="42"/>
      <c r="R34" s="42"/>
      <c r="S34" s="42"/>
      <c r="T34" s="42"/>
      <c r="U34" s="42"/>
      <c r="V34" s="42"/>
      <c r="W34" s="43"/>
    </row>
    <row r="35" spans="1:23" ht="13" x14ac:dyDescent="0.3">
      <c r="A35" s="44">
        <v>46080.342928240738</v>
      </c>
      <c r="B35" s="45" t="s">
        <v>735</v>
      </c>
      <c r="C35" s="45" t="s">
        <v>477</v>
      </c>
      <c r="D35" s="45" t="s">
        <v>476</v>
      </c>
      <c r="E35" s="45" t="s">
        <v>127</v>
      </c>
      <c r="F35" s="45" t="s">
        <v>1072</v>
      </c>
      <c r="G35" s="45" t="s">
        <v>1209</v>
      </c>
      <c r="H35" s="45" t="s">
        <v>14</v>
      </c>
      <c r="I35" s="41" t="s">
        <v>1210</v>
      </c>
      <c r="J35" s="41" t="s">
        <v>1211</v>
      </c>
      <c r="K35" s="69" t="s">
        <v>1212</v>
      </c>
      <c r="L35" s="68"/>
      <c r="M35" s="68"/>
      <c r="N35" s="46"/>
      <c r="O35" s="46"/>
      <c r="P35" s="46"/>
      <c r="Q35" s="46"/>
      <c r="R35" s="46"/>
      <c r="S35" s="46"/>
      <c r="T35" s="46"/>
      <c r="U35" s="46"/>
      <c r="V35" s="46"/>
      <c r="W35" s="47"/>
    </row>
    <row r="36" spans="1:23" ht="13" x14ac:dyDescent="0.3">
      <c r="A36" s="39">
        <v>46080.343877314815</v>
      </c>
      <c r="B36" s="40" t="s">
        <v>652</v>
      </c>
      <c r="C36" s="40" t="s">
        <v>311</v>
      </c>
      <c r="D36" s="40" t="s">
        <v>310</v>
      </c>
      <c r="E36" s="40" t="s">
        <v>259</v>
      </c>
      <c r="F36" s="40" t="s">
        <v>1072</v>
      </c>
      <c r="G36" s="40" t="s">
        <v>1213</v>
      </c>
      <c r="H36" s="40" t="s">
        <v>14</v>
      </c>
      <c r="I36" s="41" t="s">
        <v>1214</v>
      </c>
      <c r="J36" s="41" t="s">
        <v>1215</v>
      </c>
      <c r="K36" s="69" t="s">
        <v>1216</v>
      </c>
      <c r="L36" s="68"/>
      <c r="M36" s="68"/>
      <c r="N36" s="42"/>
      <c r="O36" s="42"/>
      <c r="P36" s="42"/>
      <c r="Q36" s="42"/>
      <c r="R36" s="42"/>
      <c r="S36" s="42"/>
      <c r="T36" s="42"/>
      <c r="U36" s="42"/>
      <c r="V36" s="42"/>
      <c r="W36" s="43"/>
    </row>
    <row r="37" spans="1:23" ht="13" x14ac:dyDescent="0.3">
      <c r="A37" s="44">
        <v>46080.372465277775</v>
      </c>
      <c r="B37" s="45" t="s">
        <v>775</v>
      </c>
      <c r="C37" s="45" t="s">
        <v>183</v>
      </c>
      <c r="D37" s="45" t="s">
        <v>182</v>
      </c>
      <c r="E37" s="45" t="s">
        <v>28</v>
      </c>
      <c r="F37" s="45" t="s">
        <v>1072</v>
      </c>
      <c r="G37" s="45" t="s">
        <v>1217</v>
      </c>
      <c r="H37" s="45" t="s">
        <v>7</v>
      </c>
      <c r="I37" s="41" t="s">
        <v>1218</v>
      </c>
      <c r="J37" s="41" t="s">
        <v>1219</v>
      </c>
      <c r="K37" s="69" t="s">
        <v>1220</v>
      </c>
      <c r="L37" s="68"/>
      <c r="M37" s="68"/>
      <c r="N37" s="46"/>
      <c r="O37" s="46"/>
      <c r="P37" s="46"/>
      <c r="Q37" s="46"/>
      <c r="R37" s="46"/>
      <c r="S37" s="46"/>
      <c r="T37" s="46"/>
      <c r="U37" s="46"/>
      <c r="V37" s="46"/>
      <c r="W37" s="47"/>
    </row>
    <row r="38" spans="1:23" ht="13" x14ac:dyDescent="0.3">
      <c r="A38" s="39">
        <v>46080.402777777781</v>
      </c>
      <c r="B38" s="40" t="s">
        <v>660</v>
      </c>
      <c r="C38" s="40" t="s">
        <v>269</v>
      </c>
      <c r="D38" s="40" t="s">
        <v>268</v>
      </c>
      <c r="E38" s="40" t="s">
        <v>259</v>
      </c>
      <c r="F38" s="40" t="s">
        <v>1072</v>
      </c>
      <c r="G38" s="40" t="s">
        <v>1221</v>
      </c>
      <c r="H38" s="40" t="s">
        <v>14</v>
      </c>
      <c r="I38" s="41" t="s">
        <v>1222</v>
      </c>
      <c r="J38" s="41" t="s">
        <v>1223</v>
      </c>
      <c r="K38" s="69" t="s">
        <v>1224</v>
      </c>
      <c r="L38" s="68"/>
      <c r="M38" s="68"/>
      <c r="N38" s="42"/>
      <c r="O38" s="42"/>
      <c r="P38" s="42"/>
      <c r="Q38" s="42"/>
      <c r="R38" s="42"/>
      <c r="S38" s="42"/>
      <c r="T38" s="42"/>
      <c r="U38" s="42"/>
      <c r="V38" s="42"/>
      <c r="W38" s="43"/>
    </row>
    <row r="39" spans="1:23" ht="13" x14ac:dyDescent="0.3">
      <c r="A39" s="44">
        <v>46080.404444444444</v>
      </c>
      <c r="B39" s="45" t="s">
        <v>719</v>
      </c>
      <c r="C39" s="45" t="s">
        <v>473</v>
      </c>
      <c r="D39" s="45" t="s">
        <v>472</v>
      </c>
      <c r="E39" s="45" t="s">
        <v>127</v>
      </c>
      <c r="F39" s="45" t="s">
        <v>1072</v>
      </c>
      <c r="G39" s="45" t="s">
        <v>1225</v>
      </c>
      <c r="H39" s="45" t="s">
        <v>14</v>
      </c>
      <c r="I39" s="41" t="s">
        <v>1226</v>
      </c>
      <c r="J39" s="41" t="s">
        <v>1227</v>
      </c>
      <c r="K39" s="69" t="s">
        <v>1228</v>
      </c>
      <c r="L39" s="68"/>
      <c r="M39" s="68"/>
      <c r="N39" s="46"/>
      <c r="O39" s="46"/>
      <c r="P39" s="46"/>
      <c r="Q39" s="46"/>
      <c r="R39" s="46"/>
      <c r="S39" s="46"/>
      <c r="T39" s="46"/>
      <c r="U39" s="46"/>
      <c r="V39" s="46"/>
      <c r="W39" s="47"/>
    </row>
    <row r="40" spans="1:23" ht="13" x14ac:dyDescent="0.3">
      <c r="A40" s="39">
        <v>46080.41265046296</v>
      </c>
      <c r="B40" s="40" t="s">
        <v>658</v>
      </c>
      <c r="C40" s="40" t="s">
        <v>177</v>
      </c>
      <c r="D40" s="40" t="s">
        <v>176</v>
      </c>
      <c r="E40" s="40" t="s">
        <v>127</v>
      </c>
      <c r="F40" s="40" t="s">
        <v>1072</v>
      </c>
      <c r="G40" s="40" t="s">
        <v>1229</v>
      </c>
      <c r="H40" s="40" t="s">
        <v>14</v>
      </c>
      <c r="I40" s="41" t="s">
        <v>1230</v>
      </c>
      <c r="J40" s="41" t="s">
        <v>1231</v>
      </c>
      <c r="K40" s="69" t="s">
        <v>1232</v>
      </c>
      <c r="L40" s="68"/>
      <c r="M40" s="68"/>
      <c r="N40" s="42"/>
      <c r="O40" s="42"/>
      <c r="P40" s="42"/>
      <c r="Q40" s="42"/>
      <c r="R40" s="42"/>
      <c r="S40" s="42"/>
      <c r="T40" s="42"/>
      <c r="U40" s="42"/>
      <c r="V40" s="42"/>
      <c r="W40" s="43"/>
    </row>
    <row r="41" spans="1:23" ht="13" x14ac:dyDescent="0.3">
      <c r="A41" s="44">
        <v>46080.419340277775</v>
      </c>
      <c r="B41" s="45" t="s">
        <v>793</v>
      </c>
      <c r="C41" s="45" t="s">
        <v>99</v>
      </c>
      <c r="D41" s="45" t="s">
        <v>98</v>
      </c>
      <c r="E41" s="45" t="s">
        <v>28</v>
      </c>
      <c r="F41" s="45" t="s">
        <v>1072</v>
      </c>
      <c r="G41" s="45" t="s">
        <v>1233</v>
      </c>
      <c r="H41" s="45" t="s">
        <v>7</v>
      </c>
      <c r="I41" s="41" t="s">
        <v>1234</v>
      </c>
      <c r="J41" s="41" t="s">
        <v>1235</v>
      </c>
      <c r="K41" s="69" t="s">
        <v>1236</v>
      </c>
      <c r="L41" s="68"/>
      <c r="M41" s="68"/>
      <c r="N41" s="46"/>
      <c r="O41" s="46"/>
      <c r="P41" s="46"/>
      <c r="Q41" s="46"/>
      <c r="R41" s="46"/>
      <c r="S41" s="46"/>
      <c r="T41" s="46"/>
      <c r="U41" s="46"/>
      <c r="V41" s="46"/>
      <c r="W41" s="47"/>
    </row>
    <row r="42" spans="1:23" ht="13" x14ac:dyDescent="0.3">
      <c r="A42" s="39">
        <v>46080.431469907409</v>
      </c>
      <c r="B42" s="40" t="s">
        <v>786</v>
      </c>
      <c r="C42" s="40" t="s">
        <v>27</v>
      </c>
      <c r="D42" s="40" t="s">
        <v>26</v>
      </c>
      <c r="E42" s="40" t="s">
        <v>28</v>
      </c>
      <c r="F42" s="40" t="s">
        <v>1072</v>
      </c>
      <c r="G42" s="40" t="s">
        <v>1237</v>
      </c>
      <c r="H42" s="40" t="s">
        <v>7</v>
      </c>
      <c r="I42" s="41" t="s">
        <v>1238</v>
      </c>
      <c r="J42" s="41" t="s">
        <v>1239</v>
      </c>
      <c r="K42" s="69" t="s">
        <v>1240</v>
      </c>
      <c r="L42" s="68"/>
      <c r="M42" s="68"/>
      <c r="N42" s="42"/>
      <c r="O42" s="42"/>
      <c r="P42" s="42"/>
      <c r="Q42" s="42"/>
      <c r="R42" s="42"/>
      <c r="S42" s="42"/>
      <c r="T42" s="42"/>
      <c r="U42" s="42"/>
      <c r="V42" s="42"/>
      <c r="W42" s="43"/>
    </row>
    <row r="43" spans="1:23" ht="13" x14ac:dyDescent="0.3">
      <c r="A43" s="44">
        <v>46080.433900462966</v>
      </c>
      <c r="B43" s="45" t="s">
        <v>711</v>
      </c>
      <c r="C43" s="45" t="s">
        <v>333</v>
      </c>
      <c r="D43" s="45" t="s">
        <v>332</v>
      </c>
      <c r="E43" s="45" t="s">
        <v>1241</v>
      </c>
      <c r="F43" s="45" t="s">
        <v>1072</v>
      </c>
      <c r="G43" s="45" t="s">
        <v>1242</v>
      </c>
      <c r="H43" s="45" t="s">
        <v>14</v>
      </c>
      <c r="I43" s="41" t="s">
        <v>1243</v>
      </c>
      <c r="J43" s="41" t="s">
        <v>1244</v>
      </c>
      <c r="K43" s="69" t="s">
        <v>1245</v>
      </c>
      <c r="L43" s="68"/>
      <c r="M43" s="68"/>
      <c r="N43" s="46"/>
      <c r="O43" s="46"/>
      <c r="P43" s="46"/>
      <c r="Q43" s="46"/>
      <c r="R43" s="46"/>
      <c r="S43" s="46"/>
      <c r="T43" s="46"/>
      <c r="U43" s="46"/>
      <c r="V43" s="46"/>
      <c r="W43" s="47"/>
    </row>
    <row r="44" spans="1:23" ht="13" x14ac:dyDescent="0.3">
      <c r="A44" s="39">
        <v>46080.456504629627</v>
      </c>
      <c r="B44" s="40" t="s">
        <v>742</v>
      </c>
      <c r="C44" s="40" t="s">
        <v>501</v>
      </c>
      <c r="D44" s="40" t="s">
        <v>500</v>
      </c>
      <c r="E44" s="40" t="s">
        <v>127</v>
      </c>
      <c r="F44" s="40" t="s">
        <v>1072</v>
      </c>
      <c r="G44" s="40" t="s">
        <v>1246</v>
      </c>
      <c r="H44" s="40" t="s">
        <v>14</v>
      </c>
      <c r="I44" s="41" t="s">
        <v>1247</v>
      </c>
      <c r="J44" s="41" t="s">
        <v>1248</v>
      </c>
      <c r="K44" s="69" t="s">
        <v>1249</v>
      </c>
      <c r="L44" s="68"/>
      <c r="M44" s="68"/>
      <c r="N44" s="42"/>
      <c r="O44" s="42"/>
      <c r="P44" s="42"/>
      <c r="Q44" s="42"/>
      <c r="R44" s="42"/>
      <c r="S44" s="42"/>
      <c r="T44" s="42"/>
      <c r="U44" s="42"/>
      <c r="V44" s="42"/>
      <c r="W44" s="43"/>
    </row>
    <row r="45" spans="1:23" ht="13" x14ac:dyDescent="0.3">
      <c r="A45" s="44">
        <v>46080.461145833331</v>
      </c>
      <c r="B45" s="45" t="s">
        <v>819</v>
      </c>
      <c r="C45" s="45" t="s">
        <v>108</v>
      </c>
      <c r="D45" s="45" t="s">
        <v>107</v>
      </c>
      <c r="E45" s="45" t="s">
        <v>611</v>
      </c>
      <c r="F45" s="45" t="s">
        <v>1072</v>
      </c>
      <c r="G45" s="45" t="s">
        <v>1250</v>
      </c>
      <c r="H45" s="45" t="s">
        <v>14</v>
      </c>
      <c r="I45" s="41" t="s">
        <v>1251</v>
      </c>
      <c r="J45" s="41" t="s">
        <v>1252</v>
      </c>
      <c r="K45" s="69" t="s">
        <v>1253</v>
      </c>
      <c r="L45" s="68"/>
      <c r="M45" s="68"/>
      <c r="N45" s="46"/>
      <c r="O45" s="46"/>
      <c r="P45" s="46"/>
      <c r="Q45" s="46"/>
      <c r="R45" s="46"/>
      <c r="S45" s="46"/>
      <c r="T45" s="46"/>
      <c r="U45" s="46"/>
      <c r="V45" s="46"/>
      <c r="W45" s="47"/>
    </row>
    <row r="46" spans="1:23" ht="13" x14ac:dyDescent="0.3">
      <c r="A46" s="39">
        <v>46080.48065972222</v>
      </c>
      <c r="B46" s="40" t="s">
        <v>722</v>
      </c>
      <c r="C46" s="40" t="s">
        <v>289</v>
      </c>
      <c r="D46" s="40" t="s">
        <v>288</v>
      </c>
      <c r="E46" s="40" t="s">
        <v>259</v>
      </c>
      <c r="F46" s="40" t="s">
        <v>1072</v>
      </c>
      <c r="G46" s="40" t="s">
        <v>1254</v>
      </c>
      <c r="H46" s="40" t="s">
        <v>14</v>
      </c>
      <c r="I46" s="41" t="s">
        <v>1255</v>
      </c>
      <c r="J46" s="41" t="s">
        <v>1256</v>
      </c>
      <c r="K46" s="69" t="s">
        <v>1257</v>
      </c>
      <c r="L46" s="68"/>
      <c r="M46" s="68"/>
      <c r="N46" s="42"/>
      <c r="O46" s="42"/>
      <c r="P46" s="42"/>
      <c r="Q46" s="42"/>
      <c r="R46" s="42"/>
      <c r="S46" s="42"/>
      <c r="T46" s="42"/>
      <c r="U46" s="42"/>
      <c r="V46" s="42"/>
      <c r="W46" s="43"/>
    </row>
    <row r="47" spans="1:23" ht="13" x14ac:dyDescent="0.3">
      <c r="A47" s="44">
        <v>46080.484918981485</v>
      </c>
      <c r="B47" s="45" t="s">
        <v>671</v>
      </c>
      <c r="C47" s="45" t="s">
        <v>275</v>
      </c>
      <c r="D47" s="45" t="s">
        <v>274</v>
      </c>
      <c r="E47" s="45" t="s">
        <v>259</v>
      </c>
      <c r="F47" s="45" t="s">
        <v>1072</v>
      </c>
      <c r="G47" s="45" t="s">
        <v>1258</v>
      </c>
      <c r="H47" s="45" t="s">
        <v>14</v>
      </c>
      <c r="I47" s="41" t="s">
        <v>1259</v>
      </c>
      <c r="J47" s="41" t="s">
        <v>1260</v>
      </c>
      <c r="K47" s="69" t="s">
        <v>1261</v>
      </c>
      <c r="L47" s="68"/>
      <c r="M47" s="68"/>
      <c r="N47" s="46"/>
      <c r="O47" s="46"/>
      <c r="P47" s="46"/>
      <c r="Q47" s="46"/>
      <c r="R47" s="46"/>
      <c r="S47" s="46"/>
      <c r="T47" s="46"/>
      <c r="U47" s="46"/>
      <c r="V47" s="46"/>
      <c r="W47" s="47"/>
    </row>
    <row r="48" spans="1:23" ht="13" x14ac:dyDescent="0.3">
      <c r="A48" s="39">
        <v>46080.513888888891</v>
      </c>
      <c r="B48" s="40" t="s">
        <v>713</v>
      </c>
      <c r="C48" s="40" t="s">
        <v>335</v>
      </c>
      <c r="D48" s="40" t="s">
        <v>334</v>
      </c>
      <c r="E48" s="40" t="s">
        <v>259</v>
      </c>
      <c r="F48" s="40" t="s">
        <v>1072</v>
      </c>
      <c r="G48" s="40" t="s">
        <v>1262</v>
      </c>
      <c r="H48" s="40" t="s">
        <v>7</v>
      </c>
      <c r="I48" s="41" t="s">
        <v>1263</v>
      </c>
      <c r="J48" s="41" t="s">
        <v>1264</v>
      </c>
      <c r="K48" s="69" t="s">
        <v>1265</v>
      </c>
      <c r="L48" s="68"/>
      <c r="M48" s="68"/>
      <c r="N48" s="42"/>
      <c r="O48" s="42"/>
      <c r="P48" s="42"/>
      <c r="Q48" s="42"/>
      <c r="R48" s="42"/>
      <c r="S48" s="42"/>
      <c r="T48" s="42"/>
      <c r="U48" s="42"/>
      <c r="V48" s="42"/>
      <c r="W48" s="43"/>
    </row>
    <row r="49" spans="1:23" ht="13" x14ac:dyDescent="0.3">
      <c r="A49" s="44">
        <v>46080.516250000001</v>
      </c>
      <c r="B49" s="45" t="s">
        <v>688</v>
      </c>
      <c r="C49" s="45" t="s">
        <v>283</v>
      </c>
      <c r="D49" s="45" t="s">
        <v>282</v>
      </c>
      <c r="E49" s="45" t="s">
        <v>127</v>
      </c>
      <c r="F49" s="45" t="s">
        <v>1072</v>
      </c>
      <c r="G49" s="45" t="s">
        <v>1266</v>
      </c>
      <c r="H49" s="45" t="s">
        <v>14</v>
      </c>
      <c r="I49" s="41" t="s">
        <v>1267</v>
      </c>
      <c r="J49" s="41" t="s">
        <v>1268</v>
      </c>
      <c r="K49" s="69" t="s">
        <v>1269</v>
      </c>
      <c r="L49" s="68"/>
      <c r="M49" s="68"/>
      <c r="N49" s="46"/>
      <c r="O49" s="46"/>
      <c r="P49" s="46"/>
      <c r="Q49" s="46"/>
      <c r="R49" s="46"/>
      <c r="S49" s="46"/>
      <c r="T49" s="46"/>
      <c r="U49" s="46"/>
      <c r="V49" s="46"/>
      <c r="W49" s="47"/>
    </row>
    <row r="50" spans="1:23" ht="13" x14ac:dyDescent="0.3">
      <c r="A50" s="39">
        <v>46080.51840277778</v>
      </c>
      <c r="B50" s="40" t="s">
        <v>1270</v>
      </c>
      <c r="C50" s="40" t="s">
        <v>465</v>
      </c>
      <c r="D50" s="40" t="s">
        <v>464</v>
      </c>
      <c r="E50" s="40" t="s">
        <v>127</v>
      </c>
      <c r="F50" s="40" t="s">
        <v>1072</v>
      </c>
      <c r="G50" s="40" t="s">
        <v>1271</v>
      </c>
      <c r="H50" s="40" t="s">
        <v>14</v>
      </c>
      <c r="I50" s="41" t="s">
        <v>1272</v>
      </c>
      <c r="J50" s="41" t="s">
        <v>1273</v>
      </c>
      <c r="K50" s="69" t="s">
        <v>1274</v>
      </c>
      <c r="L50" s="68"/>
      <c r="M50" s="68"/>
      <c r="N50" s="42"/>
      <c r="O50" s="42"/>
      <c r="P50" s="42"/>
      <c r="Q50" s="42"/>
      <c r="R50" s="42"/>
      <c r="S50" s="42"/>
      <c r="T50" s="42"/>
      <c r="U50" s="42"/>
      <c r="V50" s="42"/>
      <c r="W50" s="43"/>
    </row>
    <row r="51" spans="1:23" ht="13" x14ac:dyDescent="0.3">
      <c r="A51" s="44">
        <v>46080.529583333337</v>
      </c>
      <c r="B51" s="45" t="s">
        <v>820</v>
      </c>
      <c r="C51" s="45" t="s">
        <v>110</v>
      </c>
      <c r="D51" s="45" t="s">
        <v>109</v>
      </c>
      <c r="E51" s="45" t="s">
        <v>28</v>
      </c>
      <c r="F51" s="45" t="s">
        <v>1072</v>
      </c>
      <c r="G51" s="45" t="s">
        <v>1275</v>
      </c>
      <c r="H51" s="45" t="s">
        <v>7</v>
      </c>
      <c r="I51" s="41" t="s">
        <v>1276</v>
      </c>
      <c r="J51" s="41" t="s">
        <v>1277</v>
      </c>
      <c r="K51" s="69" t="s">
        <v>1278</v>
      </c>
      <c r="L51" s="68"/>
      <c r="M51" s="68"/>
      <c r="N51" s="46"/>
      <c r="O51" s="46"/>
      <c r="P51" s="46"/>
      <c r="Q51" s="46"/>
      <c r="R51" s="46"/>
      <c r="S51" s="46"/>
      <c r="T51" s="46"/>
      <c r="U51" s="46"/>
      <c r="V51" s="46"/>
      <c r="W51" s="47"/>
    </row>
    <row r="52" spans="1:23" ht="13" x14ac:dyDescent="0.3">
      <c r="A52" s="39">
        <v>46080.542094907411</v>
      </c>
      <c r="B52" s="40" t="s">
        <v>686</v>
      </c>
      <c r="C52" s="40" t="s">
        <v>323</v>
      </c>
      <c r="D52" s="40" t="s">
        <v>322</v>
      </c>
      <c r="E52" s="40" t="s">
        <v>259</v>
      </c>
      <c r="F52" s="40" t="s">
        <v>1072</v>
      </c>
      <c r="G52" s="40" t="s">
        <v>1279</v>
      </c>
      <c r="H52" s="40" t="s">
        <v>14</v>
      </c>
      <c r="I52" s="41" t="s">
        <v>1280</v>
      </c>
      <c r="J52" s="41" t="s">
        <v>1281</v>
      </c>
      <c r="K52" s="69" t="s">
        <v>1282</v>
      </c>
      <c r="L52" s="68"/>
      <c r="M52" s="68"/>
      <c r="N52" s="42"/>
      <c r="O52" s="42"/>
      <c r="P52" s="42"/>
      <c r="Q52" s="42"/>
      <c r="R52" s="42"/>
      <c r="S52" s="42"/>
      <c r="T52" s="42"/>
      <c r="U52" s="42"/>
      <c r="V52" s="42"/>
      <c r="W52" s="43"/>
    </row>
    <row r="53" spans="1:23" ht="13" x14ac:dyDescent="0.3">
      <c r="A53" s="44">
        <v>46080.550775462965</v>
      </c>
      <c r="B53" s="45" t="s">
        <v>696</v>
      </c>
      <c r="C53" s="45" t="s">
        <v>327</v>
      </c>
      <c r="D53" s="45" t="s">
        <v>326</v>
      </c>
      <c r="E53" s="45" t="s">
        <v>259</v>
      </c>
      <c r="F53" s="45" t="s">
        <v>1072</v>
      </c>
      <c r="G53" s="45" t="s">
        <v>1283</v>
      </c>
      <c r="H53" s="45" t="s">
        <v>14</v>
      </c>
      <c r="I53" s="41" t="s">
        <v>1284</v>
      </c>
      <c r="J53" s="41" t="s">
        <v>1285</v>
      </c>
      <c r="K53" s="69" t="s">
        <v>1286</v>
      </c>
      <c r="L53" s="68"/>
      <c r="M53" s="68"/>
      <c r="N53" s="46"/>
      <c r="O53" s="46"/>
      <c r="P53" s="46"/>
      <c r="Q53" s="46"/>
      <c r="R53" s="46"/>
      <c r="S53" s="46"/>
      <c r="T53" s="46"/>
      <c r="U53" s="46"/>
      <c r="V53" s="46"/>
      <c r="W53" s="47"/>
    </row>
    <row r="54" spans="1:23" ht="13" x14ac:dyDescent="0.3">
      <c r="A54" s="39">
        <v>46080.551932870374</v>
      </c>
      <c r="B54" s="40" t="s">
        <v>733</v>
      </c>
      <c r="C54" s="40" t="s">
        <v>349</v>
      </c>
      <c r="D54" s="40" t="s">
        <v>348</v>
      </c>
      <c r="E54" s="40" t="s">
        <v>127</v>
      </c>
      <c r="F54" s="40" t="s">
        <v>1072</v>
      </c>
      <c r="G54" s="40" t="s">
        <v>1287</v>
      </c>
      <c r="H54" s="40" t="s">
        <v>14</v>
      </c>
      <c r="I54" s="41" t="s">
        <v>1288</v>
      </c>
      <c r="J54" s="41" t="s">
        <v>1289</v>
      </c>
      <c r="K54" s="69" t="s">
        <v>1290</v>
      </c>
      <c r="L54" s="68"/>
      <c r="M54" s="68"/>
      <c r="N54" s="42"/>
      <c r="O54" s="42"/>
      <c r="P54" s="42"/>
      <c r="Q54" s="42"/>
      <c r="R54" s="42"/>
      <c r="S54" s="42"/>
      <c r="T54" s="42"/>
      <c r="U54" s="42"/>
      <c r="V54" s="42"/>
      <c r="W54" s="43"/>
    </row>
    <row r="55" spans="1:23" ht="13" x14ac:dyDescent="0.3">
      <c r="A55" s="44">
        <v>46080.555150462962</v>
      </c>
      <c r="B55" s="45" t="s">
        <v>988</v>
      </c>
      <c r="C55" s="45" t="s">
        <v>1291</v>
      </c>
      <c r="D55" s="45" t="s">
        <v>536</v>
      </c>
      <c r="E55" s="45" t="s">
        <v>6</v>
      </c>
      <c r="F55" s="45" t="s">
        <v>1072</v>
      </c>
      <c r="G55" s="45" t="s">
        <v>1292</v>
      </c>
      <c r="H55" s="45" t="s">
        <v>14</v>
      </c>
      <c r="I55" s="41" t="s">
        <v>1293</v>
      </c>
      <c r="J55" s="41" t="s">
        <v>1294</v>
      </c>
      <c r="K55" s="69" t="s">
        <v>1295</v>
      </c>
      <c r="L55" s="68"/>
      <c r="M55" s="68"/>
      <c r="N55" s="46"/>
      <c r="O55" s="46"/>
      <c r="P55" s="46"/>
      <c r="Q55" s="46"/>
      <c r="R55" s="46"/>
      <c r="S55" s="46"/>
      <c r="T55" s="46"/>
      <c r="U55" s="46"/>
      <c r="V55" s="46"/>
      <c r="W55" s="47"/>
    </row>
    <row r="56" spans="1:23" ht="13" x14ac:dyDescent="0.3">
      <c r="A56" s="39">
        <v>46080.572638888887</v>
      </c>
      <c r="B56" s="40" t="s">
        <v>669</v>
      </c>
      <c r="C56" s="40" t="s">
        <v>313</v>
      </c>
      <c r="D56" s="40" t="s">
        <v>312</v>
      </c>
      <c r="E56" s="40" t="s">
        <v>259</v>
      </c>
      <c r="F56" s="40" t="s">
        <v>1072</v>
      </c>
      <c r="G56" s="40" t="s">
        <v>1296</v>
      </c>
      <c r="H56" s="40" t="s">
        <v>14</v>
      </c>
      <c r="I56" s="41" t="s">
        <v>1297</v>
      </c>
      <c r="J56" s="41" t="s">
        <v>1298</v>
      </c>
      <c r="K56" s="69" t="s">
        <v>1299</v>
      </c>
      <c r="L56" s="68"/>
      <c r="M56" s="68"/>
      <c r="N56" s="42"/>
      <c r="O56" s="42"/>
      <c r="P56" s="42"/>
      <c r="Q56" s="42"/>
      <c r="R56" s="42"/>
      <c r="S56" s="42"/>
      <c r="T56" s="42"/>
      <c r="U56" s="42"/>
      <c r="V56" s="42"/>
      <c r="W56" s="43"/>
    </row>
    <row r="57" spans="1:23" ht="13" x14ac:dyDescent="0.3">
      <c r="A57" s="44">
        <v>46080.579606481479</v>
      </c>
      <c r="B57" s="45" t="s">
        <v>964</v>
      </c>
      <c r="C57" s="45" t="s">
        <v>430</v>
      </c>
      <c r="D57" s="45" t="s">
        <v>429</v>
      </c>
      <c r="E57" s="45" t="s">
        <v>17</v>
      </c>
      <c r="F57" s="45" t="s">
        <v>1072</v>
      </c>
      <c r="G57" s="45" t="s">
        <v>1300</v>
      </c>
      <c r="H57" s="45" t="s">
        <v>14</v>
      </c>
      <c r="I57" s="41" t="s">
        <v>1301</v>
      </c>
      <c r="J57" s="41" t="s">
        <v>1302</v>
      </c>
      <c r="K57" s="69" t="s">
        <v>1303</v>
      </c>
      <c r="L57" s="68"/>
      <c r="M57" s="68"/>
      <c r="N57" s="46"/>
      <c r="O57" s="46"/>
      <c r="P57" s="46"/>
      <c r="Q57" s="46"/>
      <c r="R57" s="46"/>
      <c r="S57" s="46"/>
      <c r="T57" s="46"/>
      <c r="U57" s="46"/>
      <c r="V57" s="46"/>
      <c r="W57" s="47"/>
    </row>
    <row r="58" spans="1:23" ht="13" x14ac:dyDescent="0.3">
      <c r="A58" s="39">
        <v>46080.580972222226</v>
      </c>
      <c r="B58" s="40" t="s">
        <v>619</v>
      </c>
      <c r="C58" s="40" t="s">
        <v>447</v>
      </c>
      <c r="D58" s="40" t="s">
        <v>446</v>
      </c>
      <c r="E58" s="40" t="s">
        <v>1304</v>
      </c>
      <c r="F58" s="40" t="s">
        <v>1072</v>
      </c>
      <c r="G58" s="40" t="s">
        <v>1305</v>
      </c>
      <c r="H58" s="40" t="s">
        <v>14</v>
      </c>
      <c r="I58" s="41" t="s">
        <v>1306</v>
      </c>
      <c r="J58" s="41" t="s">
        <v>1307</v>
      </c>
      <c r="K58" s="69" t="s">
        <v>1308</v>
      </c>
      <c r="L58" s="68"/>
      <c r="M58" s="68"/>
      <c r="N58" s="42"/>
      <c r="O58" s="42"/>
      <c r="P58" s="42"/>
      <c r="Q58" s="42"/>
      <c r="R58" s="42"/>
      <c r="S58" s="42"/>
      <c r="T58" s="42"/>
      <c r="U58" s="42"/>
      <c r="V58" s="42"/>
      <c r="W58" s="43"/>
    </row>
    <row r="59" spans="1:23" ht="13" x14ac:dyDescent="0.3">
      <c r="A59" s="44">
        <v>46080.580972222226</v>
      </c>
      <c r="B59" s="45" t="s">
        <v>637</v>
      </c>
      <c r="C59" s="45" t="s">
        <v>459</v>
      </c>
      <c r="D59" s="45" t="s">
        <v>458</v>
      </c>
      <c r="E59" s="45" t="s">
        <v>127</v>
      </c>
      <c r="F59" s="45" t="s">
        <v>1072</v>
      </c>
      <c r="G59" s="45" t="s">
        <v>1309</v>
      </c>
      <c r="H59" s="45" t="s">
        <v>14</v>
      </c>
      <c r="I59" s="41" t="s">
        <v>1310</v>
      </c>
      <c r="J59" s="41" t="s">
        <v>1311</v>
      </c>
      <c r="K59" s="69" t="s">
        <v>1312</v>
      </c>
      <c r="L59" s="68"/>
      <c r="M59" s="68"/>
      <c r="N59" s="46"/>
      <c r="O59" s="46"/>
      <c r="P59" s="46"/>
      <c r="Q59" s="46"/>
      <c r="R59" s="46"/>
      <c r="S59" s="46"/>
      <c r="T59" s="46"/>
      <c r="U59" s="46"/>
      <c r="V59" s="46"/>
      <c r="W59" s="47"/>
    </row>
    <row r="60" spans="1:23" ht="13" x14ac:dyDescent="0.3">
      <c r="A60" s="39">
        <v>46080.583148148151</v>
      </c>
      <c r="B60" s="40" t="s">
        <v>1313</v>
      </c>
      <c r="C60" s="40" t="s">
        <v>135</v>
      </c>
      <c r="D60" s="40" t="s">
        <v>134</v>
      </c>
      <c r="E60" s="40" t="s">
        <v>28</v>
      </c>
      <c r="F60" s="40" t="s">
        <v>1072</v>
      </c>
      <c r="G60" s="40" t="s">
        <v>1314</v>
      </c>
      <c r="H60" s="40" t="s">
        <v>7</v>
      </c>
      <c r="I60" s="41" t="s">
        <v>1315</v>
      </c>
      <c r="J60" s="41" t="s">
        <v>1316</v>
      </c>
      <c r="K60" s="69" t="s">
        <v>1317</v>
      </c>
      <c r="L60" s="68"/>
      <c r="M60" s="68"/>
      <c r="N60" s="42"/>
      <c r="O60" s="42"/>
      <c r="P60" s="42"/>
      <c r="Q60" s="42"/>
      <c r="R60" s="42"/>
      <c r="S60" s="42"/>
      <c r="T60" s="42"/>
      <c r="U60" s="42"/>
      <c r="V60" s="42"/>
      <c r="W60" s="43"/>
    </row>
    <row r="61" spans="1:23" ht="13" x14ac:dyDescent="0.3">
      <c r="A61" s="44">
        <v>46080.585902777777</v>
      </c>
      <c r="B61" s="45" t="s">
        <v>698</v>
      </c>
      <c r="C61" s="45" t="s">
        <v>463</v>
      </c>
      <c r="D61" s="45" t="s">
        <v>462</v>
      </c>
      <c r="E61" s="45" t="s">
        <v>127</v>
      </c>
      <c r="F61" s="45" t="s">
        <v>1072</v>
      </c>
      <c r="G61" s="45" t="s">
        <v>1318</v>
      </c>
      <c r="H61" s="45" t="s">
        <v>14</v>
      </c>
      <c r="I61" s="41" t="s">
        <v>1319</v>
      </c>
      <c r="J61" s="41" t="s">
        <v>1320</v>
      </c>
      <c r="K61" s="69" t="s">
        <v>1321</v>
      </c>
      <c r="L61" s="68"/>
      <c r="M61" s="68"/>
      <c r="N61" s="46"/>
      <c r="O61" s="46"/>
      <c r="P61" s="46"/>
      <c r="Q61" s="46"/>
      <c r="R61" s="46"/>
      <c r="S61" s="46"/>
      <c r="T61" s="46"/>
      <c r="U61" s="46"/>
      <c r="V61" s="46"/>
      <c r="W61" s="47"/>
    </row>
    <row r="62" spans="1:23" ht="13" x14ac:dyDescent="0.3">
      <c r="A62" s="39">
        <v>46080.586099537039</v>
      </c>
      <c r="B62" s="40" t="s">
        <v>813</v>
      </c>
      <c r="C62" s="40" t="s">
        <v>187</v>
      </c>
      <c r="D62" s="40" t="s">
        <v>186</v>
      </c>
      <c r="E62" s="40" t="s">
        <v>28</v>
      </c>
      <c r="F62" s="40" t="s">
        <v>1072</v>
      </c>
      <c r="G62" s="40" t="s">
        <v>1322</v>
      </c>
      <c r="H62" s="40" t="s">
        <v>7</v>
      </c>
      <c r="I62" s="41" t="s">
        <v>1323</v>
      </c>
      <c r="J62" s="41" t="s">
        <v>1324</v>
      </c>
      <c r="K62" s="69" t="s">
        <v>1325</v>
      </c>
      <c r="L62" s="68"/>
      <c r="M62" s="68"/>
      <c r="N62" s="42"/>
      <c r="O62" s="42"/>
      <c r="P62" s="42"/>
      <c r="Q62" s="42"/>
      <c r="R62" s="42"/>
      <c r="S62" s="42"/>
      <c r="T62" s="42"/>
      <c r="U62" s="42"/>
      <c r="V62" s="42"/>
      <c r="W62" s="43"/>
    </row>
    <row r="63" spans="1:23" ht="13" x14ac:dyDescent="0.3">
      <c r="A63" s="44">
        <v>46080.592662037037</v>
      </c>
      <c r="B63" s="45" t="s">
        <v>814</v>
      </c>
      <c r="C63" s="45" t="s">
        <v>104</v>
      </c>
      <c r="D63" s="45" t="s">
        <v>103</v>
      </c>
      <c r="E63" s="45" t="s">
        <v>28</v>
      </c>
      <c r="F63" s="45" t="s">
        <v>1072</v>
      </c>
      <c r="G63" s="45" t="s">
        <v>1326</v>
      </c>
      <c r="H63" s="45" t="s">
        <v>14</v>
      </c>
      <c r="I63" s="41" t="s">
        <v>1327</v>
      </c>
      <c r="J63" s="41" t="s">
        <v>1328</v>
      </c>
      <c r="K63" s="69" t="s">
        <v>1329</v>
      </c>
      <c r="L63" s="68"/>
      <c r="M63" s="68"/>
      <c r="N63" s="46"/>
      <c r="O63" s="46"/>
      <c r="P63" s="46"/>
      <c r="Q63" s="46"/>
      <c r="R63" s="46"/>
      <c r="S63" s="46"/>
      <c r="T63" s="46"/>
      <c r="U63" s="46"/>
      <c r="V63" s="46"/>
      <c r="W63" s="47"/>
    </row>
    <row r="64" spans="1:23" ht="13" x14ac:dyDescent="0.3">
      <c r="A64" s="39">
        <v>46080.605694444443</v>
      </c>
      <c r="B64" s="40" t="s">
        <v>703</v>
      </c>
      <c r="C64" s="40" t="s">
        <v>467</v>
      </c>
      <c r="D64" s="40" t="s">
        <v>466</v>
      </c>
      <c r="E64" s="40" t="s">
        <v>127</v>
      </c>
      <c r="F64" s="40" t="s">
        <v>1072</v>
      </c>
      <c r="G64" s="40" t="s">
        <v>1330</v>
      </c>
      <c r="H64" s="40" t="s">
        <v>14</v>
      </c>
      <c r="I64" s="41" t="s">
        <v>1331</v>
      </c>
      <c r="J64" s="41" t="s">
        <v>1332</v>
      </c>
      <c r="K64" s="69" t="s">
        <v>1333</v>
      </c>
      <c r="L64" s="68"/>
      <c r="M64" s="68"/>
      <c r="N64" s="42"/>
      <c r="O64" s="42"/>
      <c r="P64" s="42"/>
      <c r="Q64" s="42"/>
      <c r="R64" s="42"/>
      <c r="S64" s="42"/>
      <c r="T64" s="42"/>
      <c r="U64" s="42"/>
      <c r="V64" s="42"/>
      <c r="W64" s="43"/>
    </row>
    <row r="65" spans="1:23" ht="13" x14ac:dyDescent="0.3">
      <c r="A65" s="44">
        <v>46080.606562499997</v>
      </c>
      <c r="B65" s="45" t="s">
        <v>700</v>
      </c>
      <c r="C65" s="45" t="s">
        <v>329</v>
      </c>
      <c r="D65" s="45" t="s">
        <v>328</v>
      </c>
      <c r="E65" s="45" t="s">
        <v>259</v>
      </c>
      <c r="F65" s="45" t="s">
        <v>1072</v>
      </c>
      <c r="G65" s="45" t="s">
        <v>1334</v>
      </c>
      <c r="H65" s="45" t="s">
        <v>14</v>
      </c>
      <c r="I65" s="41" t="s">
        <v>1335</v>
      </c>
      <c r="J65" s="41" t="s">
        <v>1336</v>
      </c>
      <c r="K65" s="69" t="s">
        <v>1337</v>
      </c>
      <c r="L65" s="68"/>
      <c r="M65" s="68"/>
      <c r="N65" s="46"/>
      <c r="O65" s="46"/>
      <c r="P65" s="46"/>
      <c r="Q65" s="46"/>
      <c r="R65" s="46"/>
      <c r="S65" s="46"/>
      <c r="T65" s="46"/>
      <c r="U65" s="46"/>
      <c r="V65" s="46"/>
      <c r="W65" s="47"/>
    </row>
    <row r="66" spans="1:23" ht="13" x14ac:dyDescent="0.3">
      <c r="A66" s="39">
        <v>46080.617511574077</v>
      </c>
      <c r="B66" s="40" t="s">
        <v>630</v>
      </c>
      <c r="C66" s="40" t="s">
        <v>449</v>
      </c>
      <c r="D66" s="40" t="s">
        <v>448</v>
      </c>
      <c r="E66" s="40" t="s">
        <v>127</v>
      </c>
      <c r="F66" s="40" t="s">
        <v>1072</v>
      </c>
      <c r="G66" s="40" t="s">
        <v>1338</v>
      </c>
      <c r="H66" s="40" t="s">
        <v>14</v>
      </c>
      <c r="I66" s="41" t="s">
        <v>1339</v>
      </c>
      <c r="J66" s="41" t="s">
        <v>1340</v>
      </c>
      <c r="K66" s="69" t="s">
        <v>1341</v>
      </c>
      <c r="L66" s="68"/>
      <c r="M66" s="68"/>
      <c r="N66" s="42"/>
      <c r="O66" s="42"/>
      <c r="P66" s="42"/>
      <c r="Q66" s="42"/>
      <c r="R66" s="42"/>
      <c r="S66" s="42"/>
      <c r="T66" s="42"/>
      <c r="U66" s="42"/>
      <c r="V66" s="42"/>
      <c r="W66" s="43"/>
    </row>
    <row r="67" spans="1:23" ht="13" x14ac:dyDescent="0.3">
      <c r="A67" s="44">
        <v>46080.621516203704</v>
      </c>
      <c r="B67" s="45" t="s">
        <v>690</v>
      </c>
      <c r="C67" s="45" t="s">
        <v>461</v>
      </c>
      <c r="D67" s="45" t="s">
        <v>460</v>
      </c>
      <c r="E67" s="45" t="s">
        <v>127</v>
      </c>
      <c r="F67" s="45" t="s">
        <v>1072</v>
      </c>
      <c r="G67" s="45" t="s">
        <v>1342</v>
      </c>
      <c r="H67" s="45" t="s">
        <v>14</v>
      </c>
      <c r="I67" s="41" t="s">
        <v>1343</v>
      </c>
      <c r="J67" s="41" t="s">
        <v>1344</v>
      </c>
      <c r="K67" s="69" t="s">
        <v>1345</v>
      </c>
      <c r="L67" s="68"/>
      <c r="M67" s="68"/>
      <c r="N67" s="46"/>
      <c r="O67" s="46"/>
      <c r="P67" s="46"/>
      <c r="Q67" s="46"/>
      <c r="R67" s="46"/>
      <c r="S67" s="46"/>
      <c r="T67" s="46"/>
      <c r="U67" s="46"/>
      <c r="V67" s="46"/>
      <c r="W67" s="47"/>
    </row>
    <row r="68" spans="1:23" ht="13" x14ac:dyDescent="0.3">
      <c r="A68" s="39">
        <v>46080.622546296298</v>
      </c>
      <c r="B68" s="40" t="s">
        <v>766</v>
      </c>
      <c r="C68" s="40" t="s">
        <v>355</v>
      </c>
      <c r="D68" s="40" t="s">
        <v>354</v>
      </c>
      <c r="E68" s="40" t="s">
        <v>259</v>
      </c>
      <c r="F68" s="40" t="s">
        <v>1072</v>
      </c>
      <c r="G68" s="40" t="s">
        <v>1346</v>
      </c>
      <c r="H68" s="40" t="s">
        <v>7</v>
      </c>
      <c r="I68" s="41" t="s">
        <v>1347</v>
      </c>
      <c r="J68" s="41" t="s">
        <v>1348</v>
      </c>
      <c r="K68" s="69" t="s">
        <v>1349</v>
      </c>
      <c r="L68" s="68"/>
      <c r="M68" s="68"/>
      <c r="N68" s="42"/>
      <c r="O68" s="42"/>
      <c r="P68" s="42"/>
      <c r="Q68" s="42"/>
      <c r="R68" s="42"/>
      <c r="S68" s="42"/>
      <c r="T68" s="42"/>
      <c r="U68" s="42"/>
      <c r="V68" s="42"/>
      <c r="W68" s="43"/>
    </row>
    <row r="69" spans="1:23" ht="13" x14ac:dyDescent="0.3">
      <c r="A69" s="44">
        <v>46080.623472222222</v>
      </c>
      <c r="B69" s="45" t="s">
        <v>816</v>
      </c>
      <c r="C69" s="45" t="s">
        <v>189</v>
      </c>
      <c r="D69" s="45" t="s">
        <v>188</v>
      </c>
      <c r="E69" s="45" t="s">
        <v>28</v>
      </c>
      <c r="F69" s="45" t="s">
        <v>1072</v>
      </c>
      <c r="G69" s="45" t="s">
        <v>1350</v>
      </c>
      <c r="H69" s="45" t="s">
        <v>7</v>
      </c>
      <c r="I69" s="41" t="s">
        <v>1351</v>
      </c>
      <c r="J69" s="41" t="s">
        <v>1352</v>
      </c>
      <c r="K69" s="69" t="s">
        <v>1353</v>
      </c>
      <c r="L69" s="68"/>
      <c r="M69" s="68"/>
      <c r="N69" s="46"/>
      <c r="O69" s="46"/>
      <c r="P69" s="46"/>
      <c r="Q69" s="46"/>
      <c r="R69" s="46"/>
      <c r="S69" s="46"/>
      <c r="T69" s="46"/>
      <c r="U69" s="46"/>
      <c r="V69" s="46"/>
      <c r="W69" s="47"/>
    </row>
    <row r="70" spans="1:23" ht="13" x14ac:dyDescent="0.3">
      <c r="A70" s="39">
        <v>46080.64576388889</v>
      </c>
      <c r="B70" s="40" t="s">
        <v>681</v>
      </c>
      <c r="C70" s="40" t="s">
        <v>279</v>
      </c>
      <c r="D70" s="40" t="s">
        <v>278</v>
      </c>
      <c r="E70" s="40" t="s">
        <v>127</v>
      </c>
      <c r="F70" s="40" t="s">
        <v>1072</v>
      </c>
      <c r="G70" s="40" t="s">
        <v>1354</v>
      </c>
      <c r="H70" s="40" t="s">
        <v>14</v>
      </c>
      <c r="I70" s="41" t="s">
        <v>1355</v>
      </c>
      <c r="J70" s="41" t="s">
        <v>1356</v>
      </c>
      <c r="K70" s="69" t="s">
        <v>1357</v>
      </c>
      <c r="L70" s="68"/>
      <c r="M70" s="68"/>
      <c r="N70" s="42"/>
      <c r="O70" s="42"/>
      <c r="P70" s="42"/>
      <c r="Q70" s="42"/>
      <c r="R70" s="42"/>
      <c r="S70" s="42"/>
      <c r="T70" s="42"/>
      <c r="U70" s="42"/>
      <c r="V70" s="42"/>
      <c r="W70" s="43"/>
    </row>
    <row r="71" spans="1:23" ht="13" x14ac:dyDescent="0.3">
      <c r="A71" s="44">
        <v>46080.647245370368</v>
      </c>
      <c r="B71" s="45" t="s">
        <v>799</v>
      </c>
      <c r="C71" s="45" t="s">
        <v>133</v>
      </c>
      <c r="D71" s="45" t="s">
        <v>132</v>
      </c>
      <c r="E71" s="45" t="s">
        <v>28</v>
      </c>
      <c r="F71" s="45" t="s">
        <v>1072</v>
      </c>
      <c r="G71" s="45" t="s">
        <v>1358</v>
      </c>
      <c r="H71" s="45" t="s">
        <v>7</v>
      </c>
      <c r="I71" s="41" t="s">
        <v>1359</v>
      </c>
      <c r="J71" s="41" t="s">
        <v>1360</v>
      </c>
      <c r="K71" s="69" t="s">
        <v>1361</v>
      </c>
      <c r="L71" s="68"/>
      <c r="M71" s="68"/>
      <c r="N71" s="46"/>
      <c r="O71" s="46"/>
      <c r="P71" s="46"/>
      <c r="Q71" s="46"/>
      <c r="R71" s="46"/>
      <c r="S71" s="46"/>
      <c r="T71" s="46"/>
      <c r="U71" s="46"/>
      <c r="V71" s="46"/>
      <c r="W71" s="47"/>
    </row>
    <row r="72" spans="1:23" ht="13" x14ac:dyDescent="0.3">
      <c r="A72" s="39">
        <v>46080.659814814811</v>
      </c>
      <c r="B72" s="40" t="s">
        <v>707</v>
      </c>
      <c r="C72" s="40" t="s">
        <v>285</v>
      </c>
      <c r="D72" s="40" t="s">
        <v>284</v>
      </c>
      <c r="E72" s="40" t="s">
        <v>259</v>
      </c>
      <c r="F72" s="40" t="s">
        <v>1072</v>
      </c>
      <c r="G72" s="40" t="s">
        <v>1362</v>
      </c>
      <c r="H72" s="40" t="s">
        <v>14</v>
      </c>
      <c r="I72" s="41" t="s">
        <v>1363</v>
      </c>
      <c r="J72" s="41" t="s">
        <v>1364</v>
      </c>
      <c r="K72" s="69" t="s">
        <v>1365</v>
      </c>
      <c r="L72" s="68"/>
      <c r="M72" s="68"/>
      <c r="N72" s="42"/>
      <c r="O72" s="42"/>
      <c r="P72" s="42"/>
      <c r="Q72" s="42"/>
      <c r="R72" s="42"/>
      <c r="S72" s="42"/>
      <c r="T72" s="42"/>
      <c r="U72" s="42"/>
      <c r="V72" s="42"/>
      <c r="W72" s="43"/>
    </row>
    <row r="73" spans="1:23" ht="13" x14ac:dyDescent="0.3">
      <c r="A73" s="44">
        <v>46080.665763888886</v>
      </c>
      <c r="B73" s="45" t="s">
        <v>757</v>
      </c>
      <c r="C73" s="45" t="s">
        <v>351</v>
      </c>
      <c r="D73" s="45" t="s">
        <v>350</v>
      </c>
      <c r="E73" s="45" t="s">
        <v>259</v>
      </c>
      <c r="F73" s="45" t="s">
        <v>1072</v>
      </c>
      <c r="G73" s="45" t="s">
        <v>1366</v>
      </c>
      <c r="H73" s="45" t="s">
        <v>14</v>
      </c>
      <c r="I73" s="41" t="s">
        <v>1367</v>
      </c>
      <c r="J73" s="41" t="s">
        <v>1368</v>
      </c>
      <c r="K73" s="69" t="s">
        <v>1369</v>
      </c>
      <c r="L73" s="68"/>
      <c r="M73" s="68"/>
      <c r="N73" s="46"/>
      <c r="O73" s="46"/>
      <c r="P73" s="46"/>
      <c r="Q73" s="46"/>
      <c r="R73" s="46"/>
      <c r="S73" s="46"/>
      <c r="T73" s="46"/>
      <c r="U73" s="46"/>
      <c r="V73" s="46"/>
      <c r="W73" s="47"/>
    </row>
    <row r="74" spans="1:23" ht="13" x14ac:dyDescent="0.3">
      <c r="A74" s="39">
        <v>46080.665925925925</v>
      </c>
      <c r="B74" s="40" t="s">
        <v>805</v>
      </c>
      <c r="C74" s="40" t="s">
        <v>32</v>
      </c>
      <c r="D74" s="40" t="s">
        <v>31</v>
      </c>
      <c r="E74" s="40" t="s">
        <v>28</v>
      </c>
      <c r="F74" s="40" t="s">
        <v>1072</v>
      </c>
      <c r="G74" s="40" t="s">
        <v>1370</v>
      </c>
      <c r="H74" s="40" t="s">
        <v>7</v>
      </c>
      <c r="I74" s="41" t="s">
        <v>1371</v>
      </c>
      <c r="J74" s="41" t="s">
        <v>1372</v>
      </c>
      <c r="K74" s="69" t="s">
        <v>1373</v>
      </c>
      <c r="L74" s="68"/>
      <c r="M74" s="68"/>
      <c r="N74" s="42"/>
      <c r="O74" s="42"/>
      <c r="P74" s="42"/>
      <c r="Q74" s="42"/>
      <c r="R74" s="42"/>
      <c r="S74" s="42"/>
      <c r="T74" s="42"/>
      <c r="U74" s="42"/>
      <c r="V74" s="42"/>
      <c r="W74" s="43"/>
    </row>
    <row r="75" spans="1:23" ht="13" x14ac:dyDescent="0.3">
      <c r="A75" s="44">
        <v>46080.67900462963</v>
      </c>
      <c r="B75" s="45" t="s">
        <v>634</v>
      </c>
      <c r="C75" s="45" t="s">
        <v>455</v>
      </c>
      <c r="D75" s="45" t="s">
        <v>454</v>
      </c>
      <c r="E75" s="45" t="s">
        <v>127</v>
      </c>
      <c r="F75" s="45" t="s">
        <v>1072</v>
      </c>
      <c r="G75" s="45" t="s">
        <v>1374</v>
      </c>
      <c r="H75" s="45" t="s">
        <v>14</v>
      </c>
      <c r="I75" s="41" t="s">
        <v>1375</v>
      </c>
      <c r="J75" s="41" t="s">
        <v>1376</v>
      </c>
      <c r="K75" s="69" t="s">
        <v>1377</v>
      </c>
      <c r="L75" s="68"/>
      <c r="M75" s="68"/>
      <c r="N75" s="46"/>
      <c r="O75" s="46"/>
      <c r="P75" s="46"/>
      <c r="Q75" s="46"/>
      <c r="R75" s="46"/>
      <c r="S75" s="46"/>
      <c r="T75" s="46"/>
      <c r="U75" s="46"/>
      <c r="V75" s="46"/>
      <c r="W75" s="47"/>
    </row>
    <row r="76" spans="1:23" ht="13" x14ac:dyDescent="0.3">
      <c r="A76" s="39">
        <v>46080.683530092596</v>
      </c>
      <c r="B76" s="40" t="s">
        <v>1378</v>
      </c>
      <c r="C76" s="40" t="s">
        <v>251</v>
      </c>
      <c r="D76" s="40" t="s">
        <v>250</v>
      </c>
      <c r="E76" s="40" t="s">
        <v>1379</v>
      </c>
      <c r="F76" s="40" t="s">
        <v>1072</v>
      </c>
      <c r="G76" s="40" t="s">
        <v>1380</v>
      </c>
      <c r="H76" s="40" t="s">
        <v>14</v>
      </c>
      <c r="I76" s="41" t="s">
        <v>1381</v>
      </c>
      <c r="J76" s="41" t="s">
        <v>1382</v>
      </c>
      <c r="K76" s="69" t="s">
        <v>1383</v>
      </c>
      <c r="L76" s="68"/>
      <c r="M76" s="68"/>
      <c r="N76" s="42"/>
      <c r="O76" s="42"/>
      <c r="P76" s="42"/>
      <c r="Q76" s="42"/>
      <c r="R76" s="42"/>
      <c r="S76" s="42"/>
      <c r="T76" s="42"/>
      <c r="U76" s="42"/>
      <c r="V76" s="42"/>
      <c r="W76" s="43"/>
    </row>
    <row r="77" spans="1:23" ht="13" x14ac:dyDescent="0.3">
      <c r="A77" s="44">
        <v>46080.685879629629</v>
      </c>
      <c r="B77" s="45" t="s">
        <v>650</v>
      </c>
      <c r="C77" s="45" t="s">
        <v>173</v>
      </c>
      <c r="D77" s="45" t="s">
        <v>172</v>
      </c>
      <c r="E77" s="45" t="s">
        <v>127</v>
      </c>
      <c r="F77" s="45" t="s">
        <v>1072</v>
      </c>
      <c r="G77" s="45" t="s">
        <v>1384</v>
      </c>
      <c r="H77" s="45" t="s">
        <v>14</v>
      </c>
      <c r="I77" s="41" t="s">
        <v>1385</v>
      </c>
      <c r="J77" s="41" t="s">
        <v>1386</v>
      </c>
      <c r="K77" s="69" t="s">
        <v>1387</v>
      </c>
      <c r="L77" s="68"/>
      <c r="M77" s="68"/>
      <c r="N77" s="46"/>
      <c r="O77" s="46"/>
      <c r="P77" s="46"/>
      <c r="Q77" s="46"/>
      <c r="R77" s="46"/>
      <c r="S77" s="46"/>
      <c r="T77" s="46"/>
      <c r="U77" s="46"/>
      <c r="V77" s="46"/>
      <c r="W77" s="47"/>
    </row>
    <row r="78" spans="1:23" ht="13" x14ac:dyDescent="0.3">
      <c r="A78" s="39">
        <v>46080.69321759259</v>
      </c>
      <c r="B78" s="40" t="s">
        <v>1388</v>
      </c>
      <c r="C78" s="40" t="s">
        <v>157</v>
      </c>
      <c r="D78" s="40" t="s">
        <v>156</v>
      </c>
      <c r="E78" s="40" t="s">
        <v>28</v>
      </c>
      <c r="F78" s="40" t="s">
        <v>1072</v>
      </c>
      <c r="G78" s="40" t="s">
        <v>1389</v>
      </c>
      <c r="H78" s="40" t="s">
        <v>14</v>
      </c>
      <c r="I78" s="41" t="s">
        <v>1390</v>
      </c>
      <c r="J78" s="41" t="s">
        <v>1391</v>
      </c>
      <c r="K78" s="69" t="s">
        <v>1392</v>
      </c>
      <c r="L78" s="68"/>
      <c r="M78" s="68"/>
      <c r="N78" s="42"/>
      <c r="O78" s="42"/>
      <c r="P78" s="42"/>
      <c r="Q78" s="42"/>
      <c r="R78" s="42"/>
      <c r="S78" s="42"/>
      <c r="T78" s="42"/>
      <c r="U78" s="42"/>
      <c r="V78" s="42"/>
      <c r="W78" s="43"/>
    </row>
    <row r="79" spans="1:23" ht="13" x14ac:dyDescent="0.3">
      <c r="A79" s="44">
        <v>46080.698495370372</v>
      </c>
      <c r="B79" s="45" t="s">
        <v>685</v>
      </c>
      <c r="C79" s="45" t="s">
        <v>281</v>
      </c>
      <c r="D79" s="45" t="s">
        <v>280</v>
      </c>
      <c r="E79" s="45" t="s">
        <v>127</v>
      </c>
      <c r="F79" s="45" t="s">
        <v>1072</v>
      </c>
      <c r="G79" s="45" t="s">
        <v>1393</v>
      </c>
      <c r="H79" s="45" t="s">
        <v>14</v>
      </c>
      <c r="I79" s="41" t="s">
        <v>1394</v>
      </c>
      <c r="J79" s="41" t="s">
        <v>1395</v>
      </c>
      <c r="K79" s="69" t="s">
        <v>1396</v>
      </c>
      <c r="L79" s="68"/>
      <c r="M79" s="68"/>
      <c r="N79" s="46"/>
      <c r="O79" s="46"/>
      <c r="P79" s="46"/>
      <c r="Q79" s="46"/>
      <c r="R79" s="46"/>
      <c r="S79" s="46"/>
      <c r="T79" s="46"/>
      <c r="U79" s="46"/>
      <c r="V79" s="46"/>
      <c r="W79" s="47"/>
    </row>
    <row r="80" spans="1:23" ht="13" x14ac:dyDescent="0.3">
      <c r="A80" s="39">
        <v>46080.704583333332</v>
      </c>
      <c r="B80" s="40" t="s">
        <v>627</v>
      </c>
      <c r="C80" s="40" t="s">
        <v>307</v>
      </c>
      <c r="D80" s="40" t="s">
        <v>306</v>
      </c>
      <c r="E80" s="40" t="s">
        <v>259</v>
      </c>
      <c r="F80" s="40" t="s">
        <v>1072</v>
      </c>
      <c r="G80" s="40" t="s">
        <v>1397</v>
      </c>
      <c r="H80" s="40" t="s">
        <v>7</v>
      </c>
      <c r="I80" s="41" t="s">
        <v>1398</v>
      </c>
      <c r="J80" s="41" t="s">
        <v>1399</v>
      </c>
      <c r="K80" s="69" t="s">
        <v>1400</v>
      </c>
      <c r="L80" s="68"/>
      <c r="M80" s="68"/>
      <c r="N80" s="42"/>
      <c r="O80" s="42"/>
      <c r="P80" s="42"/>
      <c r="Q80" s="42"/>
      <c r="R80" s="42"/>
      <c r="S80" s="42"/>
      <c r="T80" s="42"/>
      <c r="U80" s="42"/>
      <c r="V80" s="42"/>
      <c r="W80" s="43"/>
    </row>
    <row r="81" spans="1:23" ht="13" x14ac:dyDescent="0.3">
      <c r="A81" s="44">
        <v>46080.706307870372</v>
      </c>
      <c r="B81" s="45" t="s">
        <v>1401</v>
      </c>
      <c r="C81" s="45" t="s">
        <v>443</v>
      </c>
      <c r="D81" s="45" t="s">
        <v>442</v>
      </c>
      <c r="E81" s="45" t="s">
        <v>252</v>
      </c>
      <c r="F81" s="45" t="s">
        <v>1072</v>
      </c>
      <c r="G81" s="45" t="s">
        <v>1402</v>
      </c>
      <c r="H81" s="45" t="s">
        <v>14</v>
      </c>
      <c r="I81" s="41" t="s">
        <v>1403</v>
      </c>
      <c r="J81" s="41" t="s">
        <v>1404</v>
      </c>
      <c r="K81" s="69" t="s">
        <v>1405</v>
      </c>
      <c r="L81" s="68"/>
      <c r="M81" s="68"/>
      <c r="N81" s="46"/>
      <c r="O81" s="46"/>
      <c r="P81" s="46"/>
      <c r="Q81" s="46"/>
      <c r="R81" s="46"/>
      <c r="S81" s="46"/>
      <c r="T81" s="46"/>
      <c r="U81" s="46"/>
      <c r="V81" s="46"/>
      <c r="W81" s="47"/>
    </row>
    <row r="82" spans="1:23" ht="13" x14ac:dyDescent="0.3">
      <c r="A82" s="39">
        <v>46080.707511574074</v>
      </c>
      <c r="B82" s="40" t="s">
        <v>632</v>
      </c>
      <c r="C82" s="40" t="s">
        <v>451</v>
      </c>
      <c r="D82" s="40" t="s">
        <v>450</v>
      </c>
      <c r="E82" s="40" t="s">
        <v>127</v>
      </c>
      <c r="F82" s="40" t="s">
        <v>1072</v>
      </c>
      <c r="G82" s="40" t="s">
        <v>1406</v>
      </c>
      <c r="H82" s="40" t="s">
        <v>14</v>
      </c>
      <c r="I82" s="41" t="s">
        <v>1407</v>
      </c>
      <c r="J82" s="41" t="s">
        <v>1408</v>
      </c>
      <c r="K82" s="69" t="s">
        <v>1409</v>
      </c>
      <c r="L82" s="68"/>
      <c r="M82" s="68"/>
      <c r="N82" s="42"/>
      <c r="O82" s="42"/>
      <c r="P82" s="42"/>
      <c r="Q82" s="42"/>
      <c r="R82" s="42"/>
      <c r="S82" s="42"/>
      <c r="T82" s="42"/>
      <c r="U82" s="42"/>
      <c r="V82" s="42"/>
      <c r="W82" s="43"/>
    </row>
    <row r="83" spans="1:23" ht="13" x14ac:dyDescent="0.3">
      <c r="A83" s="44">
        <v>46080.712465277778</v>
      </c>
      <c r="B83" s="45" t="s">
        <v>675</v>
      </c>
      <c r="C83" s="45" t="s">
        <v>1410</v>
      </c>
      <c r="D83" s="45" t="s">
        <v>314</v>
      </c>
      <c r="E83" s="45" t="s">
        <v>259</v>
      </c>
      <c r="F83" s="45" t="s">
        <v>1072</v>
      </c>
      <c r="G83" s="45" t="s">
        <v>1411</v>
      </c>
      <c r="H83" s="45" t="s">
        <v>14</v>
      </c>
      <c r="I83" s="41" t="s">
        <v>1412</v>
      </c>
      <c r="J83" s="41" t="s">
        <v>1413</v>
      </c>
      <c r="K83" s="69" t="s">
        <v>1414</v>
      </c>
      <c r="L83" s="68"/>
      <c r="M83" s="68"/>
      <c r="N83" s="46"/>
      <c r="O83" s="46"/>
      <c r="P83" s="46"/>
      <c r="Q83" s="46"/>
      <c r="R83" s="46"/>
      <c r="S83" s="46"/>
      <c r="T83" s="46"/>
      <c r="U83" s="46"/>
      <c r="V83" s="46"/>
      <c r="W83" s="47"/>
    </row>
    <row r="84" spans="1:23" ht="13" x14ac:dyDescent="0.3">
      <c r="A84" s="39">
        <v>46080.714942129627</v>
      </c>
      <c r="B84" s="40" t="s">
        <v>717</v>
      </c>
      <c r="C84" s="40" t="s">
        <v>337</v>
      </c>
      <c r="D84" s="40" t="s">
        <v>336</v>
      </c>
      <c r="E84" s="40" t="s">
        <v>259</v>
      </c>
      <c r="F84" s="40" t="s">
        <v>1072</v>
      </c>
      <c r="G84" s="40" t="s">
        <v>1415</v>
      </c>
      <c r="H84" s="40" t="s">
        <v>14</v>
      </c>
      <c r="I84" s="41" t="s">
        <v>1416</v>
      </c>
      <c r="J84" s="41" t="s">
        <v>1417</v>
      </c>
      <c r="K84" s="69" t="s">
        <v>1418</v>
      </c>
      <c r="L84" s="68"/>
      <c r="M84" s="68"/>
      <c r="N84" s="42"/>
      <c r="O84" s="42"/>
      <c r="P84" s="42"/>
      <c r="Q84" s="42"/>
      <c r="R84" s="42"/>
      <c r="S84" s="42"/>
      <c r="T84" s="42"/>
      <c r="U84" s="42"/>
      <c r="V84" s="42"/>
      <c r="W84" s="43"/>
    </row>
    <row r="85" spans="1:23" ht="13" x14ac:dyDescent="0.3">
      <c r="A85" s="44">
        <v>46080.717465277776</v>
      </c>
      <c r="B85" s="45" t="s">
        <v>624</v>
      </c>
      <c r="C85" s="45" t="s">
        <v>261</v>
      </c>
      <c r="D85" s="45" t="s">
        <v>260</v>
      </c>
      <c r="E85" s="45" t="s">
        <v>259</v>
      </c>
      <c r="F85" s="45" t="s">
        <v>1072</v>
      </c>
      <c r="G85" s="45" t="s">
        <v>1419</v>
      </c>
      <c r="H85" s="45" t="s">
        <v>7</v>
      </c>
      <c r="I85" s="41" t="s">
        <v>1420</v>
      </c>
      <c r="J85" s="41" t="s">
        <v>1421</v>
      </c>
      <c r="K85" s="69" t="s">
        <v>1422</v>
      </c>
      <c r="L85" s="68"/>
      <c r="M85" s="68"/>
      <c r="N85" s="46"/>
      <c r="O85" s="46"/>
      <c r="P85" s="46"/>
      <c r="Q85" s="46"/>
      <c r="R85" s="46"/>
      <c r="S85" s="46"/>
      <c r="T85" s="46"/>
      <c r="U85" s="46"/>
      <c r="V85" s="46"/>
      <c r="W85" s="47"/>
    </row>
    <row r="86" spans="1:23" ht="13" x14ac:dyDescent="0.3">
      <c r="A86" s="39">
        <v>46080.723761574074</v>
      </c>
      <c r="B86" s="40" t="s">
        <v>1423</v>
      </c>
      <c r="C86" s="40" t="s">
        <v>255</v>
      </c>
      <c r="D86" s="40" t="s">
        <v>254</v>
      </c>
      <c r="E86" s="40" t="s">
        <v>256</v>
      </c>
      <c r="F86" s="40" t="s">
        <v>1072</v>
      </c>
      <c r="G86" s="40" t="s">
        <v>1424</v>
      </c>
      <c r="H86" s="40" t="s">
        <v>14</v>
      </c>
      <c r="I86" s="41" t="s">
        <v>1425</v>
      </c>
      <c r="J86" s="41" t="s">
        <v>1426</v>
      </c>
      <c r="K86" s="69" t="s">
        <v>1427</v>
      </c>
      <c r="L86" s="68"/>
      <c r="M86" s="68"/>
      <c r="N86" s="42"/>
      <c r="O86" s="42"/>
      <c r="P86" s="42"/>
      <c r="Q86" s="42"/>
      <c r="R86" s="42"/>
      <c r="S86" s="42"/>
      <c r="T86" s="42"/>
      <c r="U86" s="42"/>
      <c r="V86" s="42"/>
      <c r="W86" s="43"/>
    </row>
    <row r="87" spans="1:23" ht="13" x14ac:dyDescent="0.3">
      <c r="A87" s="44">
        <v>46080.729953703703</v>
      </c>
      <c r="B87" s="45" t="s">
        <v>780</v>
      </c>
      <c r="C87" s="45" t="s">
        <v>493</v>
      </c>
      <c r="D87" s="45" t="s">
        <v>492</v>
      </c>
      <c r="E87" s="45" t="s">
        <v>611</v>
      </c>
      <c r="F87" s="45" t="s">
        <v>1072</v>
      </c>
      <c r="G87" s="45" t="s">
        <v>597</v>
      </c>
      <c r="H87" s="45" t="s">
        <v>7</v>
      </c>
      <c r="I87" s="41" t="s">
        <v>1428</v>
      </c>
      <c r="J87" s="41" t="s">
        <v>1429</v>
      </c>
      <c r="K87" s="69" t="s">
        <v>1430</v>
      </c>
      <c r="L87" s="68"/>
      <c r="M87" s="68"/>
      <c r="N87" s="46"/>
      <c r="O87" s="46"/>
      <c r="P87" s="46"/>
      <c r="Q87" s="46"/>
      <c r="R87" s="46"/>
      <c r="S87" s="46"/>
      <c r="T87" s="46"/>
      <c r="U87" s="46"/>
      <c r="V87" s="46"/>
      <c r="W87" s="47"/>
    </row>
    <row r="88" spans="1:23" ht="13" x14ac:dyDescent="0.3">
      <c r="A88" s="39">
        <v>46080.734363425923</v>
      </c>
      <c r="B88" s="40" t="s">
        <v>654</v>
      </c>
      <c r="C88" s="40" t="s">
        <v>175</v>
      </c>
      <c r="D88" s="40" t="s">
        <v>174</v>
      </c>
      <c r="E88" s="40" t="s">
        <v>127</v>
      </c>
      <c r="F88" s="40" t="s">
        <v>1072</v>
      </c>
      <c r="G88" s="40" t="s">
        <v>1431</v>
      </c>
      <c r="H88" s="40" t="s">
        <v>14</v>
      </c>
      <c r="I88" s="41" t="s">
        <v>1432</v>
      </c>
      <c r="J88" s="41" t="s">
        <v>1433</v>
      </c>
      <c r="K88" s="69" t="s">
        <v>1434</v>
      </c>
      <c r="L88" s="68"/>
      <c r="M88" s="68"/>
      <c r="N88" s="42"/>
      <c r="O88" s="42"/>
      <c r="P88" s="42"/>
      <c r="Q88" s="42"/>
      <c r="R88" s="42"/>
      <c r="S88" s="42"/>
      <c r="T88" s="42"/>
      <c r="U88" s="42"/>
      <c r="V88" s="42"/>
      <c r="W88" s="43"/>
    </row>
    <row r="89" spans="1:23" ht="13" x14ac:dyDescent="0.3">
      <c r="A89" s="44">
        <v>46080.735439814816</v>
      </c>
      <c r="B89" s="45" t="s">
        <v>770</v>
      </c>
      <c r="C89" s="45" t="s">
        <v>155</v>
      </c>
      <c r="D89" s="45" t="s">
        <v>154</v>
      </c>
      <c r="E89" s="45" t="s">
        <v>127</v>
      </c>
      <c r="F89" s="45" t="s">
        <v>1072</v>
      </c>
      <c r="G89" s="45" t="s">
        <v>1435</v>
      </c>
      <c r="H89" s="45" t="s">
        <v>14</v>
      </c>
      <c r="I89" s="41" t="s">
        <v>1436</v>
      </c>
      <c r="J89" s="41" t="s">
        <v>1437</v>
      </c>
      <c r="K89" s="69" t="s">
        <v>1438</v>
      </c>
      <c r="L89" s="68"/>
      <c r="M89" s="68"/>
      <c r="N89" s="46"/>
      <c r="O89" s="46"/>
      <c r="P89" s="46"/>
      <c r="Q89" s="46"/>
      <c r="R89" s="46"/>
      <c r="S89" s="46"/>
      <c r="T89" s="46"/>
      <c r="U89" s="46"/>
      <c r="V89" s="46"/>
      <c r="W89" s="47"/>
    </row>
    <row r="90" spans="1:23" ht="13" x14ac:dyDescent="0.3">
      <c r="A90" s="39">
        <v>46080.741064814814</v>
      </c>
      <c r="B90" s="40" t="s">
        <v>663</v>
      </c>
      <c r="C90" s="40" t="s">
        <v>273</v>
      </c>
      <c r="D90" s="40" t="s">
        <v>272</v>
      </c>
      <c r="E90" s="40" t="s">
        <v>259</v>
      </c>
      <c r="F90" s="40" t="s">
        <v>1072</v>
      </c>
      <c r="G90" s="40" t="s">
        <v>1439</v>
      </c>
      <c r="H90" s="40" t="s">
        <v>14</v>
      </c>
      <c r="I90" s="41" t="s">
        <v>1440</v>
      </c>
      <c r="J90" s="41" t="s">
        <v>1441</v>
      </c>
      <c r="K90" s="69" t="s">
        <v>1442</v>
      </c>
      <c r="L90" s="68"/>
      <c r="M90" s="68"/>
      <c r="N90" s="42"/>
      <c r="O90" s="42"/>
      <c r="P90" s="42"/>
      <c r="Q90" s="42"/>
      <c r="R90" s="42"/>
      <c r="S90" s="42"/>
      <c r="T90" s="42"/>
      <c r="U90" s="42"/>
      <c r="V90" s="42"/>
      <c r="W90" s="43"/>
    </row>
    <row r="91" spans="1:23" ht="13" x14ac:dyDescent="0.3">
      <c r="A91" s="44">
        <v>46080.745763888888</v>
      </c>
      <c r="B91" s="45" t="s">
        <v>709</v>
      </c>
      <c r="C91" s="45" t="s">
        <v>471</v>
      </c>
      <c r="D91" s="45" t="s">
        <v>470</v>
      </c>
      <c r="E91" s="45" t="s">
        <v>127</v>
      </c>
      <c r="F91" s="45" t="s">
        <v>1072</v>
      </c>
      <c r="G91" s="45" t="s">
        <v>1443</v>
      </c>
      <c r="H91" s="45" t="s">
        <v>14</v>
      </c>
      <c r="I91" s="41" t="s">
        <v>1444</v>
      </c>
      <c r="J91" s="41" t="s">
        <v>1445</v>
      </c>
      <c r="K91" s="69" t="s">
        <v>1446</v>
      </c>
      <c r="L91" s="68"/>
      <c r="M91" s="68"/>
      <c r="N91" s="46"/>
      <c r="O91" s="46"/>
      <c r="P91" s="46"/>
      <c r="Q91" s="46"/>
      <c r="R91" s="46"/>
      <c r="S91" s="46"/>
      <c r="T91" s="46"/>
      <c r="U91" s="46"/>
      <c r="V91" s="46"/>
      <c r="W91" s="47"/>
    </row>
    <row r="92" spans="1:23" ht="13" x14ac:dyDescent="0.3">
      <c r="A92" s="39">
        <v>46080.758217592593</v>
      </c>
      <c r="B92" s="40" t="s">
        <v>804</v>
      </c>
      <c r="C92" s="40" t="s">
        <v>30</v>
      </c>
      <c r="D92" s="40" t="s">
        <v>29</v>
      </c>
      <c r="E92" s="40" t="s">
        <v>28</v>
      </c>
      <c r="F92" s="40" t="s">
        <v>1072</v>
      </c>
      <c r="G92" s="40" t="s">
        <v>1447</v>
      </c>
      <c r="H92" s="40" t="s">
        <v>14</v>
      </c>
      <c r="I92" s="41" t="s">
        <v>1448</v>
      </c>
      <c r="J92" s="41" t="s">
        <v>1449</v>
      </c>
      <c r="K92" s="69" t="s">
        <v>1450</v>
      </c>
      <c r="L92" s="68"/>
      <c r="M92" s="68"/>
      <c r="N92" s="42"/>
      <c r="O92" s="42"/>
      <c r="P92" s="42"/>
      <c r="Q92" s="42"/>
      <c r="R92" s="42"/>
      <c r="S92" s="42"/>
      <c r="T92" s="42"/>
      <c r="U92" s="42"/>
      <c r="V92" s="42"/>
      <c r="W92" s="43"/>
    </row>
    <row r="93" spans="1:23" ht="13" x14ac:dyDescent="0.3">
      <c r="A93" s="44">
        <v>46080.759791666664</v>
      </c>
      <c r="B93" s="45" t="s">
        <v>745</v>
      </c>
      <c r="C93" s="45" t="s">
        <v>503</v>
      </c>
      <c r="D93" s="45" t="s">
        <v>502</v>
      </c>
      <c r="E93" s="45" t="s">
        <v>127</v>
      </c>
      <c r="F93" s="45" t="s">
        <v>1072</v>
      </c>
      <c r="G93" s="45" t="s">
        <v>1451</v>
      </c>
      <c r="H93" s="45" t="s">
        <v>14</v>
      </c>
      <c r="I93" s="41" t="s">
        <v>1452</v>
      </c>
      <c r="J93" s="41" t="s">
        <v>1453</v>
      </c>
      <c r="K93" s="69" t="s">
        <v>1454</v>
      </c>
      <c r="L93" s="68"/>
      <c r="M93" s="68"/>
      <c r="N93" s="46"/>
      <c r="O93" s="46"/>
      <c r="P93" s="46"/>
      <c r="Q93" s="46"/>
      <c r="R93" s="46"/>
      <c r="S93" s="46"/>
      <c r="T93" s="46"/>
      <c r="U93" s="46"/>
      <c r="V93" s="46"/>
      <c r="W93" s="47"/>
    </row>
    <row r="94" spans="1:23" ht="13" x14ac:dyDescent="0.3">
      <c r="A94" s="39">
        <v>46080.79310185185</v>
      </c>
      <c r="B94" s="40" t="s">
        <v>640</v>
      </c>
      <c r="C94" s="40" t="s">
        <v>265</v>
      </c>
      <c r="D94" s="40" t="s">
        <v>264</v>
      </c>
      <c r="E94" s="40" t="s">
        <v>259</v>
      </c>
      <c r="F94" s="40" t="s">
        <v>1072</v>
      </c>
      <c r="G94" s="40" t="s">
        <v>1455</v>
      </c>
      <c r="H94" s="40" t="s">
        <v>7</v>
      </c>
      <c r="I94" s="41" t="s">
        <v>1456</v>
      </c>
      <c r="J94" s="41" t="s">
        <v>1457</v>
      </c>
      <c r="K94" s="69" t="s">
        <v>1458</v>
      </c>
      <c r="L94" s="68"/>
      <c r="M94" s="68"/>
      <c r="N94" s="42"/>
      <c r="O94" s="42"/>
      <c r="P94" s="42"/>
      <c r="Q94" s="42"/>
      <c r="R94" s="42"/>
      <c r="S94" s="42"/>
      <c r="T94" s="42"/>
      <c r="U94" s="42"/>
      <c r="V94" s="42"/>
      <c r="W94" s="43"/>
    </row>
    <row r="95" spans="1:23" ht="13" x14ac:dyDescent="0.3">
      <c r="A95" s="44">
        <v>46080.819201388891</v>
      </c>
      <c r="B95" s="45" t="s">
        <v>730</v>
      </c>
      <c r="C95" s="45" t="s">
        <v>347</v>
      </c>
      <c r="D95" s="45" t="s">
        <v>346</v>
      </c>
      <c r="E95" s="45" t="s">
        <v>1241</v>
      </c>
      <c r="F95" s="45" t="s">
        <v>1072</v>
      </c>
      <c r="G95" s="45" t="s">
        <v>1459</v>
      </c>
      <c r="H95" s="45" t="s">
        <v>14</v>
      </c>
      <c r="I95" s="41" t="s">
        <v>1460</v>
      </c>
      <c r="J95" s="41" t="s">
        <v>1461</v>
      </c>
      <c r="K95" s="69" t="s">
        <v>1462</v>
      </c>
      <c r="L95" s="68"/>
      <c r="M95" s="68"/>
      <c r="N95" s="46"/>
      <c r="O95" s="46"/>
      <c r="P95" s="46"/>
      <c r="Q95" s="46"/>
      <c r="R95" s="46"/>
      <c r="S95" s="46"/>
      <c r="T95" s="46"/>
      <c r="U95" s="46"/>
      <c r="V95" s="46"/>
      <c r="W95" s="47"/>
    </row>
    <row r="96" spans="1:23" ht="13" x14ac:dyDescent="0.3">
      <c r="A96" s="39">
        <v>46080.821053240739</v>
      </c>
      <c r="B96" s="40" t="s">
        <v>625</v>
      </c>
      <c r="C96" s="40" t="s">
        <v>263</v>
      </c>
      <c r="D96" s="40" t="s">
        <v>262</v>
      </c>
      <c r="E96" s="40" t="s">
        <v>259</v>
      </c>
      <c r="F96" s="40" t="s">
        <v>1072</v>
      </c>
      <c r="G96" s="40" t="s">
        <v>1463</v>
      </c>
      <c r="H96" s="40" t="s">
        <v>14</v>
      </c>
      <c r="I96" s="41" t="s">
        <v>1464</v>
      </c>
      <c r="J96" s="41" t="s">
        <v>1465</v>
      </c>
      <c r="K96" s="69" t="s">
        <v>1466</v>
      </c>
      <c r="L96" s="68"/>
      <c r="M96" s="68"/>
      <c r="N96" s="42"/>
      <c r="O96" s="42"/>
      <c r="P96" s="42"/>
      <c r="Q96" s="42"/>
      <c r="R96" s="42"/>
      <c r="S96" s="42"/>
      <c r="T96" s="42"/>
      <c r="U96" s="42"/>
      <c r="V96" s="42"/>
      <c r="W96" s="43"/>
    </row>
    <row r="97" spans="1:23" ht="13" x14ac:dyDescent="0.3">
      <c r="A97" s="44">
        <v>46080.825092592589</v>
      </c>
      <c r="B97" s="45" t="s">
        <v>727</v>
      </c>
      <c r="C97" s="45" t="s">
        <v>343</v>
      </c>
      <c r="D97" s="45" t="s">
        <v>342</v>
      </c>
      <c r="E97" s="45" t="s">
        <v>259</v>
      </c>
      <c r="F97" s="45" t="s">
        <v>1072</v>
      </c>
      <c r="G97" s="45" t="s">
        <v>1467</v>
      </c>
      <c r="H97" s="45" t="s">
        <v>14</v>
      </c>
      <c r="I97" s="41" t="s">
        <v>1468</v>
      </c>
      <c r="J97" s="41" t="s">
        <v>1469</v>
      </c>
      <c r="K97" s="69" t="s">
        <v>1470</v>
      </c>
      <c r="L97" s="68"/>
      <c r="M97" s="68"/>
      <c r="N97" s="46"/>
      <c r="O97" s="46"/>
      <c r="P97" s="46"/>
      <c r="Q97" s="46"/>
      <c r="R97" s="46"/>
      <c r="S97" s="46"/>
      <c r="T97" s="46"/>
      <c r="U97" s="46"/>
      <c r="V97" s="46"/>
      <c r="W97" s="47"/>
    </row>
    <row r="98" spans="1:23" ht="13" x14ac:dyDescent="0.3">
      <c r="A98" s="39">
        <v>46080.826342592591</v>
      </c>
      <c r="B98" s="40" t="s">
        <v>817</v>
      </c>
      <c r="C98" s="40" t="s">
        <v>106</v>
      </c>
      <c r="D98" s="40" t="s">
        <v>105</v>
      </c>
      <c r="E98" s="40" t="s">
        <v>28</v>
      </c>
      <c r="F98" s="40" t="s">
        <v>1072</v>
      </c>
      <c r="G98" s="40" t="s">
        <v>1471</v>
      </c>
      <c r="H98" s="40" t="s">
        <v>14</v>
      </c>
      <c r="I98" s="41" t="s">
        <v>1472</v>
      </c>
      <c r="J98" s="41" t="s">
        <v>1473</v>
      </c>
      <c r="K98" s="69" t="s">
        <v>1474</v>
      </c>
      <c r="L98" s="68"/>
      <c r="M98" s="68"/>
      <c r="N98" s="42"/>
      <c r="O98" s="42"/>
      <c r="P98" s="42"/>
      <c r="Q98" s="42"/>
      <c r="R98" s="42"/>
      <c r="S98" s="42"/>
      <c r="T98" s="42"/>
      <c r="U98" s="42"/>
      <c r="V98" s="42"/>
      <c r="W98" s="43"/>
    </row>
    <row r="99" spans="1:23" ht="13" x14ac:dyDescent="0.3">
      <c r="A99" s="44">
        <v>46080.830023148148</v>
      </c>
      <c r="B99" s="45" t="s">
        <v>765</v>
      </c>
      <c r="C99" s="45" t="s">
        <v>150</v>
      </c>
      <c r="D99" s="45" t="s">
        <v>149</v>
      </c>
      <c r="E99" s="45" t="s">
        <v>127</v>
      </c>
      <c r="F99" s="45" t="s">
        <v>1072</v>
      </c>
      <c r="G99" s="45" t="s">
        <v>1475</v>
      </c>
      <c r="H99" s="45" t="s">
        <v>14</v>
      </c>
      <c r="I99" s="41" t="s">
        <v>1476</v>
      </c>
      <c r="J99" s="41" t="s">
        <v>1477</v>
      </c>
      <c r="K99" s="69" t="s">
        <v>1478</v>
      </c>
      <c r="L99" s="68"/>
      <c r="M99" s="68"/>
      <c r="N99" s="46"/>
      <c r="O99" s="46"/>
      <c r="P99" s="46"/>
      <c r="Q99" s="46"/>
      <c r="R99" s="46"/>
      <c r="S99" s="46"/>
      <c r="T99" s="46"/>
      <c r="U99" s="46"/>
      <c r="V99" s="46"/>
      <c r="W99" s="47"/>
    </row>
    <row r="100" spans="1:23" ht="13" x14ac:dyDescent="0.3">
      <c r="A100" s="39">
        <v>46080.830370370371</v>
      </c>
      <c r="B100" s="40" t="s">
        <v>792</v>
      </c>
      <c r="C100" s="40" t="s">
        <v>375</v>
      </c>
      <c r="D100" s="40" t="s">
        <v>374</v>
      </c>
      <c r="E100" s="40" t="s">
        <v>28</v>
      </c>
      <c r="F100" s="40" t="s">
        <v>1072</v>
      </c>
      <c r="G100" s="40" t="s">
        <v>1479</v>
      </c>
      <c r="H100" s="40" t="s">
        <v>7</v>
      </c>
      <c r="I100" s="41" t="s">
        <v>1480</v>
      </c>
      <c r="J100" s="41" t="s">
        <v>1481</v>
      </c>
      <c r="K100" s="69" t="s">
        <v>1482</v>
      </c>
      <c r="L100" s="68"/>
      <c r="M100" s="68"/>
      <c r="N100" s="42"/>
      <c r="O100" s="42"/>
      <c r="P100" s="42"/>
      <c r="Q100" s="42"/>
      <c r="R100" s="42"/>
      <c r="S100" s="42"/>
      <c r="T100" s="42"/>
      <c r="U100" s="42"/>
      <c r="V100" s="42"/>
      <c r="W100" s="43"/>
    </row>
    <row r="101" spans="1:23" ht="13" x14ac:dyDescent="0.3">
      <c r="A101" s="44">
        <v>46080.850057870368</v>
      </c>
      <c r="B101" s="45" t="s">
        <v>642</v>
      </c>
      <c r="C101" s="45" t="s">
        <v>497</v>
      </c>
      <c r="D101" s="45" t="s">
        <v>496</v>
      </c>
      <c r="E101" s="45" t="s">
        <v>127</v>
      </c>
      <c r="F101" s="45" t="s">
        <v>1072</v>
      </c>
      <c r="G101" s="45" t="s">
        <v>1483</v>
      </c>
      <c r="H101" s="45" t="s">
        <v>14</v>
      </c>
      <c r="I101" s="41" t="s">
        <v>1484</v>
      </c>
      <c r="J101" s="41" t="s">
        <v>1485</v>
      </c>
      <c r="K101" s="69" t="s">
        <v>1486</v>
      </c>
      <c r="L101" s="68"/>
      <c r="M101" s="68"/>
      <c r="N101" s="46"/>
      <c r="O101" s="46"/>
      <c r="P101" s="46"/>
      <c r="Q101" s="46"/>
      <c r="R101" s="46"/>
      <c r="S101" s="46"/>
      <c r="T101" s="46"/>
      <c r="U101" s="46"/>
      <c r="V101" s="46"/>
      <c r="W101" s="47"/>
    </row>
    <row r="102" spans="1:23" ht="13" x14ac:dyDescent="0.3">
      <c r="A102" s="39">
        <v>46080.855914351851</v>
      </c>
      <c r="B102" s="40" t="s">
        <v>633</v>
      </c>
      <c r="C102" s="40" t="s">
        <v>453</v>
      </c>
      <c r="D102" s="40" t="s">
        <v>452</v>
      </c>
      <c r="E102" s="40" t="s">
        <v>127</v>
      </c>
      <c r="F102" s="40" t="s">
        <v>1072</v>
      </c>
      <c r="G102" s="40" t="s">
        <v>1487</v>
      </c>
      <c r="H102" s="40" t="s">
        <v>14</v>
      </c>
      <c r="I102" s="41" t="s">
        <v>1488</v>
      </c>
      <c r="J102" s="41" t="s">
        <v>1489</v>
      </c>
      <c r="K102" s="69" t="s">
        <v>1490</v>
      </c>
      <c r="L102" s="68"/>
      <c r="M102" s="68"/>
      <c r="N102" s="42"/>
      <c r="O102" s="42"/>
      <c r="P102" s="42"/>
      <c r="Q102" s="42"/>
      <c r="R102" s="42"/>
      <c r="S102" s="42"/>
      <c r="T102" s="42"/>
      <c r="U102" s="42"/>
      <c r="V102" s="42"/>
      <c r="W102" s="43"/>
    </row>
    <row r="103" spans="1:23" ht="13" x14ac:dyDescent="0.3">
      <c r="A103" s="44">
        <v>46080.862546296295</v>
      </c>
      <c r="B103" s="45" t="s">
        <v>616</v>
      </c>
      <c r="C103" s="45" t="s">
        <v>304</v>
      </c>
      <c r="D103" s="45" t="s">
        <v>303</v>
      </c>
      <c r="E103" s="45" t="s">
        <v>259</v>
      </c>
      <c r="F103" s="45" t="s">
        <v>1072</v>
      </c>
      <c r="G103" s="45" t="s">
        <v>1491</v>
      </c>
      <c r="H103" s="45" t="s">
        <v>7</v>
      </c>
      <c r="I103" s="41" t="s">
        <v>1492</v>
      </c>
      <c r="J103" s="41" t="s">
        <v>1493</v>
      </c>
      <c r="K103" s="69" t="s">
        <v>1494</v>
      </c>
      <c r="L103" s="68"/>
      <c r="M103" s="68"/>
      <c r="N103" s="46"/>
      <c r="O103" s="46"/>
      <c r="P103" s="46"/>
      <c r="Q103" s="46"/>
      <c r="R103" s="46"/>
      <c r="S103" s="46"/>
      <c r="T103" s="46"/>
      <c r="U103" s="46"/>
      <c r="V103" s="46"/>
      <c r="W103" s="47"/>
    </row>
    <row r="104" spans="1:23" ht="13" x14ac:dyDescent="0.3">
      <c r="A104" s="39">
        <v>46080.870069444441</v>
      </c>
      <c r="B104" s="40" t="s">
        <v>769</v>
      </c>
      <c r="C104" s="40" t="s">
        <v>357</v>
      </c>
      <c r="D104" s="40" t="s">
        <v>356</v>
      </c>
      <c r="E104" s="40" t="s">
        <v>259</v>
      </c>
      <c r="F104" s="40" t="s">
        <v>1072</v>
      </c>
      <c r="G104" s="40" t="s">
        <v>1495</v>
      </c>
      <c r="H104" s="40" t="s">
        <v>14</v>
      </c>
      <c r="I104" s="41" t="s">
        <v>1496</v>
      </c>
      <c r="J104" s="41" t="s">
        <v>1497</v>
      </c>
      <c r="K104" s="69" t="s">
        <v>1498</v>
      </c>
      <c r="L104" s="68"/>
      <c r="M104" s="68"/>
      <c r="N104" s="42"/>
      <c r="O104" s="42"/>
      <c r="P104" s="42"/>
      <c r="Q104" s="42"/>
      <c r="R104" s="42"/>
      <c r="S104" s="42"/>
      <c r="T104" s="42"/>
      <c r="U104" s="42"/>
      <c r="V104" s="42"/>
      <c r="W104" s="43"/>
    </row>
    <row r="105" spans="1:23" ht="13" x14ac:dyDescent="0.3">
      <c r="A105" s="44">
        <v>46080.898229166669</v>
      </c>
      <c r="B105" s="45" t="s">
        <v>807</v>
      </c>
      <c r="C105" s="45" t="s">
        <v>34</v>
      </c>
      <c r="D105" s="45" t="s">
        <v>33</v>
      </c>
      <c r="E105" s="45" t="s">
        <v>28</v>
      </c>
      <c r="F105" s="45" t="s">
        <v>1072</v>
      </c>
      <c r="G105" s="45" t="s">
        <v>1499</v>
      </c>
      <c r="H105" s="45" t="s">
        <v>7</v>
      </c>
      <c r="I105" s="41" t="s">
        <v>1500</v>
      </c>
      <c r="J105" s="41" t="s">
        <v>1501</v>
      </c>
      <c r="K105" s="69" t="s">
        <v>1502</v>
      </c>
      <c r="L105" s="68"/>
      <c r="M105" s="68"/>
      <c r="N105" s="46"/>
      <c r="O105" s="46"/>
      <c r="P105" s="46"/>
      <c r="Q105" s="46"/>
      <c r="R105" s="46"/>
      <c r="S105" s="46"/>
      <c r="T105" s="46"/>
      <c r="U105" s="46"/>
      <c r="V105" s="46"/>
      <c r="W105" s="47"/>
    </row>
    <row r="106" spans="1:23" ht="13" x14ac:dyDescent="0.3">
      <c r="A106" s="39">
        <v>46080.916585648149</v>
      </c>
      <c r="B106" s="40" t="s">
        <v>648</v>
      </c>
      <c r="C106" s="40" t="s">
        <v>170</v>
      </c>
      <c r="D106" s="40" t="s">
        <v>169</v>
      </c>
      <c r="E106" s="40" t="s">
        <v>127</v>
      </c>
      <c r="F106" s="40" t="s">
        <v>1072</v>
      </c>
      <c r="G106" s="40" t="s">
        <v>1503</v>
      </c>
      <c r="H106" s="40" t="s">
        <v>14</v>
      </c>
      <c r="I106" s="41" t="s">
        <v>1504</v>
      </c>
      <c r="J106" s="41" t="s">
        <v>1505</v>
      </c>
      <c r="K106" s="69" t="s">
        <v>1506</v>
      </c>
      <c r="L106" s="68"/>
      <c r="M106" s="68"/>
      <c r="N106" s="42"/>
      <c r="O106" s="42"/>
      <c r="P106" s="42"/>
      <c r="Q106" s="42"/>
      <c r="R106" s="42"/>
      <c r="S106" s="42"/>
      <c r="T106" s="42"/>
      <c r="U106" s="42"/>
      <c r="V106" s="42"/>
      <c r="W106" s="43"/>
    </row>
    <row r="107" spans="1:23" ht="13" x14ac:dyDescent="0.3">
      <c r="A107" s="44">
        <v>46080.921886574077</v>
      </c>
      <c r="B107" s="45" t="s">
        <v>752</v>
      </c>
      <c r="C107" s="45" t="s">
        <v>126</v>
      </c>
      <c r="D107" s="45" t="s">
        <v>125</v>
      </c>
      <c r="E107" s="45" t="s">
        <v>127</v>
      </c>
      <c r="F107" s="45" t="s">
        <v>1072</v>
      </c>
      <c r="G107" s="45" t="s">
        <v>1507</v>
      </c>
      <c r="H107" s="45" t="s">
        <v>14</v>
      </c>
      <c r="I107" s="41" t="s">
        <v>1508</v>
      </c>
      <c r="J107" s="41" t="s">
        <v>1509</v>
      </c>
      <c r="K107" s="69" t="s">
        <v>1510</v>
      </c>
      <c r="L107" s="68"/>
      <c r="M107" s="68"/>
      <c r="N107" s="46"/>
      <c r="O107" s="46"/>
      <c r="P107" s="46"/>
      <c r="Q107" s="46"/>
      <c r="R107" s="46"/>
      <c r="S107" s="46"/>
      <c r="T107" s="46"/>
      <c r="U107" s="46"/>
      <c r="V107" s="46"/>
      <c r="W107" s="47"/>
    </row>
    <row r="108" spans="1:23" ht="13" x14ac:dyDescent="0.3">
      <c r="A108" s="39">
        <v>46080.9219212963</v>
      </c>
      <c r="B108" s="40" t="s">
        <v>763</v>
      </c>
      <c r="C108" s="40" t="s">
        <v>131</v>
      </c>
      <c r="D108" s="40" t="s">
        <v>130</v>
      </c>
      <c r="E108" s="40" t="s">
        <v>127</v>
      </c>
      <c r="F108" s="40" t="s">
        <v>1072</v>
      </c>
      <c r="G108" s="40" t="s">
        <v>1511</v>
      </c>
      <c r="H108" s="40" t="s">
        <v>14</v>
      </c>
      <c r="I108" s="41" t="s">
        <v>1512</v>
      </c>
      <c r="J108" s="41" t="s">
        <v>1513</v>
      </c>
      <c r="K108" s="69" t="s">
        <v>1514</v>
      </c>
      <c r="L108" s="68"/>
      <c r="M108" s="68"/>
      <c r="N108" s="42"/>
      <c r="O108" s="42"/>
      <c r="P108" s="42"/>
      <c r="Q108" s="42"/>
      <c r="R108" s="42"/>
      <c r="S108" s="42"/>
      <c r="T108" s="42"/>
      <c r="U108" s="42"/>
      <c r="V108" s="42"/>
      <c r="W108" s="43"/>
    </row>
    <row r="109" spans="1:23" ht="13" x14ac:dyDescent="0.3">
      <c r="A109" s="44">
        <v>46080.938425925924</v>
      </c>
      <c r="B109" s="45" t="s">
        <v>721</v>
      </c>
      <c r="C109" s="45" t="s">
        <v>339</v>
      </c>
      <c r="D109" s="45" t="s">
        <v>338</v>
      </c>
      <c r="E109" s="45" t="s">
        <v>259</v>
      </c>
      <c r="F109" s="45" t="s">
        <v>1072</v>
      </c>
      <c r="G109" s="45" t="s">
        <v>1515</v>
      </c>
      <c r="H109" s="45" t="s">
        <v>14</v>
      </c>
      <c r="I109" s="41" t="s">
        <v>1516</v>
      </c>
      <c r="J109" s="41" t="s">
        <v>1517</v>
      </c>
      <c r="K109" s="69" t="s">
        <v>1518</v>
      </c>
      <c r="L109" s="68"/>
      <c r="M109" s="68"/>
      <c r="N109" s="46"/>
      <c r="O109" s="46"/>
      <c r="P109" s="46"/>
      <c r="Q109" s="46"/>
      <c r="R109" s="46"/>
      <c r="S109" s="46"/>
      <c r="T109" s="46"/>
      <c r="U109" s="46"/>
      <c r="V109" s="46"/>
      <c r="W109" s="47"/>
    </row>
    <row r="110" spans="1:23" ht="13" x14ac:dyDescent="0.3">
      <c r="A110" s="39">
        <v>46080.973993055559</v>
      </c>
      <c r="B110" s="40" t="s">
        <v>772</v>
      </c>
      <c r="C110" s="40" t="s">
        <v>181</v>
      </c>
      <c r="D110" s="40" t="s">
        <v>180</v>
      </c>
      <c r="E110" s="40" t="s">
        <v>28</v>
      </c>
      <c r="F110" s="40" t="s">
        <v>1072</v>
      </c>
      <c r="G110" s="40" t="s">
        <v>1519</v>
      </c>
      <c r="H110" s="40" t="s">
        <v>14</v>
      </c>
      <c r="I110" s="41" t="s">
        <v>1520</v>
      </c>
      <c r="J110" s="41" t="s">
        <v>1521</v>
      </c>
      <c r="K110" s="69" t="s">
        <v>1522</v>
      </c>
      <c r="L110" s="68"/>
      <c r="M110" s="68"/>
      <c r="N110" s="42"/>
      <c r="O110" s="42"/>
      <c r="P110" s="42"/>
      <c r="Q110" s="42"/>
      <c r="R110" s="42"/>
      <c r="S110" s="42"/>
      <c r="T110" s="42"/>
      <c r="U110" s="42"/>
      <c r="V110" s="42"/>
      <c r="W110" s="43"/>
    </row>
    <row r="111" spans="1:23" ht="13" x14ac:dyDescent="0.3">
      <c r="A111" s="44">
        <v>46080.976053240738</v>
      </c>
      <c r="B111" s="45" t="s">
        <v>714</v>
      </c>
      <c r="C111" s="45" t="s">
        <v>287</v>
      </c>
      <c r="D111" s="45" t="s">
        <v>286</v>
      </c>
      <c r="E111" s="45" t="s">
        <v>259</v>
      </c>
      <c r="F111" s="45" t="s">
        <v>1072</v>
      </c>
      <c r="G111" s="45" t="s">
        <v>1523</v>
      </c>
      <c r="H111" s="45" t="s">
        <v>7</v>
      </c>
      <c r="I111" s="41" t="s">
        <v>1524</v>
      </c>
      <c r="J111" s="41" t="s">
        <v>1525</v>
      </c>
      <c r="K111" s="69" t="s">
        <v>1526</v>
      </c>
      <c r="L111" s="68"/>
      <c r="M111" s="68"/>
      <c r="N111" s="46"/>
      <c r="O111" s="46"/>
      <c r="P111" s="46"/>
      <c r="Q111" s="46"/>
      <c r="R111" s="46"/>
      <c r="S111" s="46"/>
      <c r="T111" s="46"/>
      <c r="U111" s="46"/>
      <c r="V111" s="46"/>
      <c r="W111" s="47"/>
    </row>
    <row r="112" spans="1:23" ht="13" x14ac:dyDescent="0.3">
      <c r="A112" s="39">
        <v>46080.977094907408</v>
      </c>
      <c r="B112" s="40" t="s">
        <v>787</v>
      </c>
      <c r="C112" s="40" t="s">
        <v>596</v>
      </c>
      <c r="D112" s="40" t="s">
        <v>595</v>
      </c>
      <c r="E112" s="40" t="s">
        <v>28</v>
      </c>
      <c r="F112" s="40" t="s">
        <v>1072</v>
      </c>
      <c r="G112" s="40" t="s">
        <v>1527</v>
      </c>
      <c r="H112" s="40" t="s">
        <v>7</v>
      </c>
      <c r="I112" s="42"/>
      <c r="J112" s="42"/>
      <c r="K112" s="69" t="s">
        <v>1528</v>
      </c>
      <c r="L112" s="68"/>
      <c r="M112" s="68"/>
      <c r="N112" s="42"/>
      <c r="O112" s="42"/>
      <c r="P112" s="42"/>
      <c r="Q112" s="42"/>
      <c r="R112" s="42"/>
      <c r="S112" s="42"/>
      <c r="T112" s="42"/>
      <c r="U112" s="42"/>
      <c r="V112" s="42"/>
      <c r="W112" s="43"/>
    </row>
    <row r="113" spans="1:23" ht="13" x14ac:dyDescent="0.3">
      <c r="A113" s="44">
        <v>46080.989560185182</v>
      </c>
      <c r="B113" s="45" t="s">
        <v>881</v>
      </c>
      <c r="C113" s="45" t="s">
        <v>52</v>
      </c>
      <c r="D113" s="45" t="s">
        <v>51</v>
      </c>
      <c r="E113" s="45" t="s">
        <v>17</v>
      </c>
      <c r="F113" s="45" t="s">
        <v>1072</v>
      </c>
      <c r="G113" s="45" t="s">
        <v>1529</v>
      </c>
      <c r="H113" s="45" t="s">
        <v>14</v>
      </c>
      <c r="I113" s="41" t="s">
        <v>1530</v>
      </c>
      <c r="J113" s="41" t="s">
        <v>1531</v>
      </c>
      <c r="K113" s="69" t="s">
        <v>1532</v>
      </c>
      <c r="L113" s="68"/>
      <c r="M113" s="68"/>
      <c r="N113" s="46"/>
      <c r="O113" s="46"/>
      <c r="P113" s="46"/>
      <c r="Q113" s="46"/>
      <c r="R113" s="46"/>
      <c r="S113" s="46"/>
      <c r="T113" s="46"/>
      <c r="U113" s="46"/>
      <c r="V113" s="46"/>
      <c r="W113" s="47"/>
    </row>
    <row r="114" spans="1:23" ht="13" x14ac:dyDescent="0.3">
      <c r="A114" s="39">
        <v>46080.993055555555</v>
      </c>
      <c r="B114" s="40" t="s">
        <v>724</v>
      </c>
      <c r="C114" s="40" t="s">
        <v>1533</v>
      </c>
      <c r="D114" s="40" t="s">
        <v>340</v>
      </c>
      <c r="E114" s="40" t="s">
        <v>259</v>
      </c>
      <c r="F114" s="40" t="s">
        <v>1072</v>
      </c>
      <c r="G114" s="40" t="s">
        <v>1534</v>
      </c>
      <c r="H114" s="40" t="s">
        <v>7</v>
      </c>
      <c r="I114" s="41" t="s">
        <v>1535</v>
      </c>
      <c r="J114" s="41" t="s">
        <v>1536</v>
      </c>
      <c r="K114" s="69" t="s">
        <v>1537</v>
      </c>
      <c r="L114" s="68"/>
      <c r="M114" s="68"/>
      <c r="N114" s="42"/>
      <c r="O114" s="42"/>
      <c r="P114" s="42"/>
      <c r="Q114" s="42"/>
      <c r="R114" s="42"/>
      <c r="S114" s="42"/>
      <c r="T114" s="42"/>
      <c r="U114" s="42"/>
      <c r="V114" s="42"/>
      <c r="W114" s="43"/>
    </row>
    <row r="115" spans="1:23" ht="13" x14ac:dyDescent="0.3">
      <c r="A115" s="44">
        <v>46080.997199074074</v>
      </c>
      <c r="B115" s="45" t="s">
        <v>1015</v>
      </c>
      <c r="C115" s="45" t="s">
        <v>13</v>
      </c>
      <c r="D115" s="45" t="s">
        <v>12</v>
      </c>
      <c r="E115" s="45" t="s">
        <v>6</v>
      </c>
      <c r="F115" s="45" t="s">
        <v>1072</v>
      </c>
      <c r="G115" s="45" t="s">
        <v>1538</v>
      </c>
      <c r="H115" s="45" t="s">
        <v>7</v>
      </c>
      <c r="I115" s="41" t="s">
        <v>1539</v>
      </c>
      <c r="J115" s="41" t="s">
        <v>1540</v>
      </c>
      <c r="K115" s="69" t="s">
        <v>1541</v>
      </c>
      <c r="L115" s="68"/>
      <c r="M115" s="68"/>
      <c r="N115" s="46"/>
      <c r="O115" s="46"/>
      <c r="P115" s="46"/>
      <c r="Q115" s="46"/>
      <c r="R115" s="46"/>
      <c r="S115" s="46"/>
      <c r="T115" s="46"/>
      <c r="U115" s="46"/>
      <c r="V115" s="46"/>
      <c r="W115" s="47"/>
    </row>
    <row r="116" spans="1:23" ht="13" x14ac:dyDescent="0.3">
      <c r="A116" s="39">
        <v>46081.072743055556</v>
      </c>
      <c r="B116" s="40" t="s">
        <v>694</v>
      </c>
      <c r="C116" s="40" t="s">
        <v>325</v>
      </c>
      <c r="D116" s="40" t="s">
        <v>324</v>
      </c>
      <c r="E116" s="40" t="s">
        <v>259</v>
      </c>
      <c r="F116" s="40" t="s">
        <v>1072</v>
      </c>
      <c r="G116" s="40" t="s">
        <v>1542</v>
      </c>
      <c r="H116" s="40" t="s">
        <v>14</v>
      </c>
      <c r="I116" s="41" t="s">
        <v>1543</v>
      </c>
      <c r="J116" s="41" t="s">
        <v>1544</v>
      </c>
      <c r="K116" s="69" t="s">
        <v>1545</v>
      </c>
      <c r="L116" s="68"/>
      <c r="M116" s="68"/>
      <c r="N116" s="42"/>
      <c r="O116" s="42"/>
      <c r="P116" s="42"/>
      <c r="Q116" s="42"/>
      <c r="R116" s="42"/>
      <c r="S116" s="42"/>
      <c r="T116" s="42"/>
      <c r="U116" s="42"/>
      <c r="V116" s="42"/>
      <c r="W116" s="43"/>
    </row>
    <row r="117" spans="1:23" ht="13" x14ac:dyDescent="0.3">
      <c r="A117" s="44">
        <v>46081.196168981478</v>
      </c>
      <c r="B117" s="45" t="s">
        <v>761</v>
      </c>
      <c r="C117" s="45" t="s">
        <v>353</v>
      </c>
      <c r="D117" s="45" t="s">
        <v>352</v>
      </c>
      <c r="E117" s="45" t="s">
        <v>259</v>
      </c>
      <c r="F117" s="45" t="s">
        <v>1072</v>
      </c>
      <c r="G117" s="45" t="s">
        <v>1546</v>
      </c>
      <c r="H117" s="45" t="s">
        <v>14</v>
      </c>
      <c r="I117" s="41" t="s">
        <v>1547</v>
      </c>
      <c r="J117" s="41" t="s">
        <v>1548</v>
      </c>
      <c r="K117" s="69" t="s">
        <v>1549</v>
      </c>
      <c r="L117" s="68"/>
      <c r="M117" s="68"/>
      <c r="N117" s="46"/>
      <c r="O117" s="46"/>
      <c r="P117" s="46"/>
      <c r="Q117" s="46"/>
      <c r="R117" s="46"/>
      <c r="S117" s="46"/>
      <c r="T117" s="46"/>
      <c r="U117" s="46"/>
      <c r="V117" s="46"/>
      <c r="W117" s="47"/>
    </row>
    <row r="118" spans="1:23" ht="13" x14ac:dyDescent="0.3">
      <c r="A118" s="39">
        <v>46075.914074074077</v>
      </c>
      <c r="B118" s="40" t="s">
        <v>834</v>
      </c>
      <c r="C118" s="40" t="s">
        <v>562</v>
      </c>
      <c r="D118" s="40" t="s">
        <v>561</v>
      </c>
      <c r="E118" s="40" t="s">
        <v>526</v>
      </c>
      <c r="F118" s="70" t="s">
        <v>1550</v>
      </c>
      <c r="G118" s="68"/>
      <c r="H118" s="40" t="s">
        <v>7</v>
      </c>
      <c r="I118" s="42"/>
      <c r="J118" s="42"/>
      <c r="K118" s="42"/>
      <c r="L118" s="40" t="s">
        <v>7</v>
      </c>
      <c r="M118" s="40" t="s">
        <v>7</v>
      </c>
      <c r="N118" s="40" t="s">
        <v>563</v>
      </c>
      <c r="O118" s="41" t="s">
        <v>1551</v>
      </c>
      <c r="P118" s="41" t="s">
        <v>1552</v>
      </c>
      <c r="Q118" s="41" t="s">
        <v>1553</v>
      </c>
      <c r="R118" s="40" t="s">
        <v>563</v>
      </c>
      <c r="S118" s="41" t="s">
        <v>1554</v>
      </c>
      <c r="T118" s="41" t="s">
        <v>1555</v>
      </c>
      <c r="U118" s="69" t="s">
        <v>1556</v>
      </c>
      <c r="V118" s="68"/>
      <c r="W118" s="49" t="s">
        <v>1557</v>
      </c>
    </row>
    <row r="119" spans="1:23" ht="13" x14ac:dyDescent="0.3">
      <c r="A119" s="44">
        <v>46076.91505787037</v>
      </c>
      <c r="B119" s="45" t="s">
        <v>754</v>
      </c>
      <c r="C119" s="45" t="s">
        <v>432</v>
      </c>
      <c r="D119" s="45" t="s">
        <v>431</v>
      </c>
      <c r="E119" s="45" t="s">
        <v>127</v>
      </c>
      <c r="F119" s="67" t="s">
        <v>1550</v>
      </c>
      <c r="G119" s="68"/>
      <c r="H119" s="45" t="s">
        <v>14</v>
      </c>
      <c r="I119" s="46"/>
      <c r="J119" s="46"/>
      <c r="K119" s="46"/>
      <c r="L119" s="45" t="s">
        <v>14</v>
      </c>
      <c r="M119" s="45" t="s">
        <v>14</v>
      </c>
      <c r="N119" s="45" t="s">
        <v>433</v>
      </c>
      <c r="O119" s="41" t="s">
        <v>1558</v>
      </c>
      <c r="P119" s="41" t="s">
        <v>1559</v>
      </c>
      <c r="Q119" s="41" t="s">
        <v>1560</v>
      </c>
      <c r="R119" s="45" t="s">
        <v>433</v>
      </c>
      <c r="S119" s="41" t="s">
        <v>1561</v>
      </c>
      <c r="T119" s="41" t="s">
        <v>1562</v>
      </c>
      <c r="U119" s="41" t="s">
        <v>1563</v>
      </c>
      <c r="V119" s="69" t="s">
        <v>1564</v>
      </c>
      <c r="W119" s="68"/>
    </row>
    <row r="120" spans="1:23" ht="13" x14ac:dyDescent="0.3">
      <c r="A120" s="39">
        <v>46078.496145833335</v>
      </c>
      <c r="B120" s="40" t="s">
        <v>853</v>
      </c>
      <c r="C120" s="40" t="s">
        <v>1565</v>
      </c>
      <c r="D120" s="40" t="s">
        <v>588</v>
      </c>
      <c r="E120" s="40" t="s">
        <v>1566</v>
      </c>
      <c r="F120" s="70" t="s">
        <v>1550</v>
      </c>
      <c r="G120" s="68"/>
      <c r="H120" s="40" t="s">
        <v>14</v>
      </c>
      <c r="I120" s="42"/>
      <c r="J120" s="42"/>
      <c r="K120" s="42"/>
      <c r="L120" s="40" t="s">
        <v>14</v>
      </c>
      <c r="M120" s="40" t="s">
        <v>7</v>
      </c>
      <c r="N120" s="40" t="s">
        <v>1567</v>
      </c>
      <c r="O120" s="41" t="s">
        <v>1568</v>
      </c>
      <c r="P120" s="41" t="s">
        <v>1569</v>
      </c>
      <c r="Q120" s="41" t="s">
        <v>1570</v>
      </c>
      <c r="R120" s="40" t="s">
        <v>590</v>
      </c>
      <c r="S120" s="41" t="s">
        <v>1571</v>
      </c>
      <c r="T120" s="41" t="s">
        <v>1572</v>
      </c>
      <c r="U120" s="69" t="s">
        <v>1573</v>
      </c>
      <c r="V120" s="68"/>
      <c r="W120" s="68"/>
    </row>
    <row r="121" spans="1:23" ht="13" x14ac:dyDescent="0.3">
      <c r="A121" s="44">
        <v>46078.585578703707</v>
      </c>
      <c r="B121" s="45" t="s">
        <v>1029</v>
      </c>
      <c r="C121" s="45" t="s">
        <v>377</v>
      </c>
      <c r="D121" s="45" t="s">
        <v>376</v>
      </c>
      <c r="E121" s="45" t="s">
        <v>17</v>
      </c>
      <c r="F121" s="67" t="s">
        <v>1550</v>
      </c>
      <c r="G121" s="68"/>
      <c r="H121" s="45" t="s">
        <v>14</v>
      </c>
      <c r="I121" s="46"/>
      <c r="J121" s="46"/>
      <c r="K121" s="46"/>
      <c r="L121" s="45" t="s">
        <v>14</v>
      </c>
      <c r="M121" s="45" t="s">
        <v>14</v>
      </c>
      <c r="N121" s="45" t="s">
        <v>1574</v>
      </c>
      <c r="O121" s="41" t="s">
        <v>1575</v>
      </c>
      <c r="P121" s="41" t="s">
        <v>1576</v>
      </c>
      <c r="Q121" s="41" t="s">
        <v>1577</v>
      </c>
      <c r="R121" s="45" t="s">
        <v>1574</v>
      </c>
      <c r="S121" s="41" t="s">
        <v>1578</v>
      </c>
      <c r="T121" s="41" t="s">
        <v>1579</v>
      </c>
      <c r="U121" s="41" t="s">
        <v>1580</v>
      </c>
      <c r="V121" s="41" t="s">
        <v>1581</v>
      </c>
      <c r="W121" s="49" t="s">
        <v>1582</v>
      </c>
    </row>
    <row r="122" spans="1:23" ht="13" x14ac:dyDescent="0.3">
      <c r="A122" s="39">
        <v>46078.787453703706</v>
      </c>
      <c r="B122" s="40" t="s">
        <v>789</v>
      </c>
      <c r="C122" s="40" t="s">
        <v>436</v>
      </c>
      <c r="D122" s="40" t="s">
        <v>435</v>
      </c>
      <c r="E122" s="40" t="s">
        <v>28</v>
      </c>
      <c r="F122" s="70" t="s">
        <v>1550</v>
      </c>
      <c r="G122" s="68"/>
      <c r="H122" s="40" t="s">
        <v>7</v>
      </c>
      <c r="I122" s="42"/>
      <c r="J122" s="42"/>
      <c r="K122" s="42"/>
      <c r="L122" s="40" t="s">
        <v>7</v>
      </c>
      <c r="M122" s="40" t="s">
        <v>7</v>
      </c>
      <c r="N122" s="40" t="s">
        <v>1583</v>
      </c>
      <c r="O122" s="41" t="s">
        <v>1584</v>
      </c>
      <c r="P122" s="41" t="s">
        <v>1585</v>
      </c>
      <c r="Q122" s="41" t="s">
        <v>1586</v>
      </c>
      <c r="R122" s="40" t="s">
        <v>1587</v>
      </c>
      <c r="S122" s="41" t="s">
        <v>1588</v>
      </c>
      <c r="T122" s="41" t="s">
        <v>1589</v>
      </c>
      <c r="U122" s="41" t="s">
        <v>1590</v>
      </c>
      <c r="V122" s="69" t="s">
        <v>1591</v>
      </c>
      <c r="W122" s="68"/>
    </row>
    <row r="123" spans="1:23" ht="13" x14ac:dyDescent="0.3">
      <c r="A123" s="44">
        <v>46079.023425925923</v>
      </c>
      <c r="B123" s="45" t="s">
        <v>949</v>
      </c>
      <c r="C123" s="45" t="s">
        <v>382</v>
      </c>
      <c r="D123" s="45" t="s">
        <v>381</v>
      </c>
      <c r="E123" s="45" t="s">
        <v>17</v>
      </c>
      <c r="F123" s="67" t="s">
        <v>1550</v>
      </c>
      <c r="G123" s="68"/>
      <c r="H123" s="45" t="s">
        <v>7</v>
      </c>
      <c r="I123" s="46"/>
      <c r="J123" s="46"/>
      <c r="K123" s="46"/>
      <c r="L123" s="45" t="s">
        <v>7</v>
      </c>
      <c r="M123" s="45" t="s">
        <v>7</v>
      </c>
      <c r="N123" s="45" t="s">
        <v>1592</v>
      </c>
      <c r="O123" s="41" t="s">
        <v>1593</v>
      </c>
      <c r="P123" s="41" t="s">
        <v>1594</v>
      </c>
      <c r="Q123" s="41" t="s">
        <v>1595</v>
      </c>
      <c r="R123" s="45" t="s">
        <v>383</v>
      </c>
      <c r="S123" s="41" t="s">
        <v>1596</v>
      </c>
      <c r="T123" s="41" t="s">
        <v>1597</v>
      </c>
      <c r="U123" s="41" t="s">
        <v>1598</v>
      </c>
      <c r="V123" s="69" t="s">
        <v>1599</v>
      </c>
      <c r="W123" s="68"/>
    </row>
    <row r="124" spans="1:23" ht="13" x14ac:dyDescent="0.3">
      <c r="A124" s="39">
        <v>46079.548645833333</v>
      </c>
      <c r="B124" s="40" t="s">
        <v>995</v>
      </c>
      <c r="C124" s="40" t="s">
        <v>92</v>
      </c>
      <c r="D124" s="40" t="s">
        <v>91</v>
      </c>
      <c r="E124" s="40" t="s">
        <v>6</v>
      </c>
      <c r="F124" s="70" t="s">
        <v>1550</v>
      </c>
      <c r="G124" s="68"/>
      <c r="H124" s="40" t="s">
        <v>7</v>
      </c>
      <c r="I124" s="42"/>
      <c r="J124" s="42"/>
      <c r="K124" s="42"/>
      <c r="L124" s="40" t="s">
        <v>7</v>
      </c>
      <c r="M124" s="40" t="s">
        <v>7</v>
      </c>
      <c r="N124" s="40" t="s">
        <v>1600</v>
      </c>
      <c r="O124" s="41" t="s">
        <v>1601</v>
      </c>
      <c r="P124" s="41" t="s">
        <v>1602</v>
      </c>
      <c r="Q124" s="41" t="s">
        <v>1603</v>
      </c>
      <c r="R124" s="40" t="s">
        <v>93</v>
      </c>
      <c r="S124" s="41" t="s">
        <v>1604</v>
      </c>
      <c r="T124" s="41" t="s">
        <v>1605</v>
      </c>
      <c r="U124" s="41" t="s">
        <v>1606</v>
      </c>
      <c r="V124" s="69" t="s">
        <v>1607</v>
      </c>
      <c r="W124" s="68"/>
    </row>
    <row r="125" spans="1:23" ht="13" x14ac:dyDescent="0.3">
      <c r="A125" s="44">
        <v>46079.890127314815</v>
      </c>
      <c r="B125" s="45" t="s">
        <v>645</v>
      </c>
      <c r="C125" s="45" t="s">
        <v>402</v>
      </c>
      <c r="D125" s="45" t="s">
        <v>401</v>
      </c>
      <c r="E125" s="45" t="s">
        <v>127</v>
      </c>
      <c r="F125" s="67" t="s">
        <v>1550</v>
      </c>
      <c r="G125" s="68"/>
      <c r="H125" s="45" t="s">
        <v>7</v>
      </c>
      <c r="I125" s="46"/>
      <c r="J125" s="46"/>
      <c r="K125" s="46"/>
      <c r="L125" s="45" t="s">
        <v>7</v>
      </c>
      <c r="M125" s="45" t="s">
        <v>7</v>
      </c>
      <c r="N125" s="45" t="s">
        <v>1608</v>
      </c>
      <c r="O125" s="41" t="s">
        <v>1609</v>
      </c>
      <c r="P125" s="41" t="s">
        <v>1610</v>
      </c>
      <c r="Q125" s="41" t="s">
        <v>1611</v>
      </c>
      <c r="R125" s="45" t="s">
        <v>403</v>
      </c>
      <c r="S125" s="41" t="s">
        <v>1612</v>
      </c>
      <c r="T125" s="41" t="s">
        <v>1613</v>
      </c>
      <c r="U125" s="41" t="s">
        <v>1614</v>
      </c>
      <c r="V125" s="41" t="s">
        <v>1615</v>
      </c>
      <c r="W125" s="49" t="s">
        <v>1616</v>
      </c>
    </row>
    <row r="126" spans="1:23" ht="13" x14ac:dyDescent="0.3">
      <c r="A126" s="39">
        <v>46079.918842592589</v>
      </c>
      <c r="B126" s="40" t="s">
        <v>842</v>
      </c>
      <c r="C126" s="40" t="s">
        <v>529</v>
      </c>
      <c r="D126" s="40" t="s">
        <v>528</v>
      </c>
      <c r="E126" s="40" t="s">
        <v>526</v>
      </c>
      <c r="F126" s="70" t="s">
        <v>1550</v>
      </c>
      <c r="G126" s="68"/>
      <c r="H126" s="40" t="s">
        <v>7</v>
      </c>
      <c r="I126" s="42"/>
      <c r="J126" s="42"/>
      <c r="K126" s="42"/>
      <c r="L126" s="40" t="s">
        <v>7</v>
      </c>
      <c r="M126" s="40" t="s">
        <v>7</v>
      </c>
      <c r="N126" s="40" t="s">
        <v>530</v>
      </c>
      <c r="O126" s="41" t="s">
        <v>1617</v>
      </c>
      <c r="P126" s="41" t="s">
        <v>1618</v>
      </c>
      <c r="Q126" s="41" t="s">
        <v>1619</v>
      </c>
      <c r="R126" s="40" t="s">
        <v>530</v>
      </c>
      <c r="S126" s="41" t="s">
        <v>1620</v>
      </c>
      <c r="T126" s="41" t="s">
        <v>1621</v>
      </c>
      <c r="U126" s="69" t="s">
        <v>1622</v>
      </c>
      <c r="V126" s="68"/>
      <c r="W126" s="68"/>
    </row>
    <row r="127" spans="1:23" ht="13" x14ac:dyDescent="0.3">
      <c r="A127" s="44">
        <v>46079.935474537036</v>
      </c>
      <c r="B127" s="45" t="s">
        <v>907</v>
      </c>
      <c r="C127" s="45" t="s">
        <v>302</v>
      </c>
      <c r="D127" s="45" t="s">
        <v>301</v>
      </c>
      <c r="E127" s="45" t="s">
        <v>17</v>
      </c>
      <c r="F127" s="67" t="s">
        <v>1550</v>
      </c>
      <c r="G127" s="68"/>
      <c r="H127" s="45" t="s">
        <v>7</v>
      </c>
      <c r="I127" s="46"/>
      <c r="J127" s="46"/>
      <c r="K127" s="46"/>
      <c r="L127" s="45" t="s">
        <v>7</v>
      </c>
      <c r="M127" s="45" t="s">
        <v>14</v>
      </c>
      <c r="N127" s="45" t="s">
        <v>1623</v>
      </c>
      <c r="O127" s="41" t="s">
        <v>1624</v>
      </c>
      <c r="P127" s="41" t="s">
        <v>1625</v>
      </c>
      <c r="Q127" s="41" t="s">
        <v>1626</v>
      </c>
      <c r="R127" s="45" t="s">
        <v>1627</v>
      </c>
      <c r="S127" s="41" t="s">
        <v>1628</v>
      </c>
      <c r="T127" s="41" t="s">
        <v>1629</v>
      </c>
      <c r="U127" s="41" t="s">
        <v>1630</v>
      </c>
      <c r="V127" s="69" t="s">
        <v>1631</v>
      </c>
      <c r="W127" s="68"/>
    </row>
    <row r="128" spans="1:23" ht="13" x14ac:dyDescent="0.3">
      <c r="A128" s="39">
        <v>46079.94672453704</v>
      </c>
      <c r="B128" s="40" t="s">
        <v>926</v>
      </c>
      <c r="C128" s="40" t="s">
        <v>245</v>
      </c>
      <c r="D128" s="40" t="s">
        <v>244</v>
      </c>
      <c r="E128" s="40" t="s">
        <v>244</v>
      </c>
      <c r="F128" s="70" t="s">
        <v>1550</v>
      </c>
      <c r="G128" s="68"/>
      <c r="H128" s="40" t="s">
        <v>14</v>
      </c>
      <c r="I128" s="42"/>
      <c r="J128" s="42"/>
      <c r="K128" s="42"/>
      <c r="L128" s="40" t="s">
        <v>14</v>
      </c>
      <c r="M128" s="40" t="s">
        <v>14</v>
      </c>
      <c r="N128" s="40" t="s">
        <v>1632</v>
      </c>
      <c r="O128" s="41" t="s">
        <v>1633</v>
      </c>
      <c r="P128" s="41" t="s">
        <v>1634</v>
      </c>
      <c r="Q128" s="41" t="s">
        <v>1635</v>
      </c>
      <c r="R128" s="40" t="s">
        <v>1636</v>
      </c>
      <c r="S128" s="41" t="s">
        <v>1637</v>
      </c>
      <c r="T128" s="41" t="s">
        <v>1638</v>
      </c>
      <c r="U128" s="69" t="s">
        <v>1639</v>
      </c>
      <c r="V128" s="68"/>
      <c r="W128" s="68"/>
    </row>
    <row r="129" spans="1:23" ht="13" x14ac:dyDescent="0.3">
      <c r="A129" s="44">
        <v>46080.007708333331</v>
      </c>
      <c r="B129" s="45" t="s">
        <v>855</v>
      </c>
      <c r="C129" s="50" t="s">
        <v>523</v>
      </c>
      <c r="D129" s="45" t="s">
        <v>591</v>
      </c>
      <c r="E129" s="45" t="s">
        <v>526</v>
      </c>
      <c r="F129" s="67" t="s">
        <v>1550</v>
      </c>
      <c r="G129" s="68"/>
      <c r="H129" s="45" t="s">
        <v>7</v>
      </c>
      <c r="I129" s="46"/>
      <c r="J129" s="46"/>
      <c r="K129" s="46"/>
      <c r="L129" s="45" t="s">
        <v>7</v>
      </c>
      <c r="M129" s="45" t="s">
        <v>7</v>
      </c>
      <c r="N129" s="45" t="s">
        <v>592</v>
      </c>
      <c r="O129" s="41" t="s">
        <v>1640</v>
      </c>
      <c r="P129" s="41" t="s">
        <v>1641</v>
      </c>
      <c r="Q129" s="41" t="s">
        <v>1642</v>
      </c>
      <c r="R129" s="45" t="s">
        <v>592</v>
      </c>
      <c r="S129" s="41" t="s">
        <v>1643</v>
      </c>
      <c r="T129" s="41" t="s">
        <v>1644</v>
      </c>
      <c r="U129" s="41" t="s">
        <v>1645</v>
      </c>
      <c r="V129" s="69" t="s">
        <v>1646</v>
      </c>
      <c r="W129" s="68"/>
    </row>
    <row r="130" spans="1:23" ht="13" x14ac:dyDescent="0.3">
      <c r="A130" s="39">
        <v>46080.028020833335</v>
      </c>
      <c r="B130" s="40" t="s">
        <v>911</v>
      </c>
      <c r="C130" s="40" t="s">
        <v>359</v>
      </c>
      <c r="D130" s="40" t="s">
        <v>358</v>
      </c>
      <c r="E130" s="40" t="s">
        <v>17</v>
      </c>
      <c r="F130" s="70" t="s">
        <v>1550</v>
      </c>
      <c r="G130" s="68"/>
      <c r="H130" s="40" t="s">
        <v>7</v>
      </c>
      <c r="I130" s="42"/>
      <c r="J130" s="42"/>
      <c r="K130" s="42"/>
      <c r="L130" s="40" t="s">
        <v>7</v>
      </c>
      <c r="M130" s="40" t="s">
        <v>14</v>
      </c>
      <c r="N130" s="40" t="s">
        <v>1647</v>
      </c>
      <c r="O130" s="41" t="s">
        <v>1648</v>
      </c>
      <c r="P130" s="41" t="s">
        <v>1649</v>
      </c>
      <c r="Q130" s="41" t="s">
        <v>1650</v>
      </c>
      <c r="R130" s="40" t="s">
        <v>1651</v>
      </c>
      <c r="S130" s="41" t="s">
        <v>1652</v>
      </c>
      <c r="T130" s="41" t="s">
        <v>1653</v>
      </c>
      <c r="U130" s="41" t="s">
        <v>1654</v>
      </c>
      <c r="V130" s="69" t="s">
        <v>1655</v>
      </c>
      <c r="W130" s="68"/>
    </row>
    <row r="131" spans="1:23" ht="13" x14ac:dyDescent="0.3">
      <c r="A131" s="44">
        <v>46080.144918981481</v>
      </c>
      <c r="B131" s="45" t="s">
        <v>913</v>
      </c>
      <c r="C131" s="45" t="s">
        <v>124</v>
      </c>
      <c r="D131" s="45" t="s">
        <v>123</v>
      </c>
      <c r="E131" s="45" t="s">
        <v>17</v>
      </c>
      <c r="F131" s="67" t="s">
        <v>1550</v>
      </c>
      <c r="G131" s="68"/>
      <c r="H131" s="45" t="s">
        <v>14</v>
      </c>
      <c r="I131" s="46"/>
      <c r="J131" s="46"/>
      <c r="K131" s="46"/>
      <c r="L131" s="45" t="s">
        <v>14</v>
      </c>
      <c r="M131" s="45" t="s">
        <v>14</v>
      </c>
      <c r="N131" s="45" t="s">
        <v>1656</v>
      </c>
      <c r="O131" s="41" t="s">
        <v>1657</v>
      </c>
      <c r="P131" s="41" t="s">
        <v>1658</v>
      </c>
      <c r="Q131" s="41" t="s">
        <v>1659</v>
      </c>
      <c r="R131" s="45" t="s">
        <v>1656</v>
      </c>
      <c r="S131" s="41" t="s">
        <v>1660</v>
      </c>
      <c r="T131" s="41" t="s">
        <v>1661</v>
      </c>
      <c r="U131" s="41" t="s">
        <v>1662</v>
      </c>
      <c r="V131" s="69" t="s">
        <v>1663</v>
      </c>
      <c r="W131" s="68"/>
    </row>
    <row r="132" spans="1:23" ht="13" x14ac:dyDescent="0.3">
      <c r="A132" s="39">
        <v>46080.342442129629</v>
      </c>
      <c r="B132" s="40" t="s">
        <v>987</v>
      </c>
      <c r="C132" s="40" t="s">
        <v>240</v>
      </c>
      <c r="D132" s="40" t="s">
        <v>239</v>
      </c>
      <c r="E132" s="40" t="s">
        <v>6</v>
      </c>
      <c r="F132" s="70" t="s">
        <v>1550</v>
      </c>
      <c r="G132" s="68"/>
      <c r="H132" s="40" t="s">
        <v>7</v>
      </c>
      <c r="I132" s="42"/>
      <c r="J132" s="42"/>
      <c r="K132" s="42"/>
      <c r="L132" s="40" t="s">
        <v>7</v>
      </c>
      <c r="M132" s="40" t="s">
        <v>14</v>
      </c>
      <c r="N132" s="40" t="s">
        <v>1664</v>
      </c>
      <c r="O132" s="41" t="s">
        <v>1665</v>
      </c>
      <c r="P132" s="41" t="s">
        <v>1666</v>
      </c>
      <c r="Q132" s="41" t="s">
        <v>1667</v>
      </c>
      <c r="R132" s="40" t="s">
        <v>241</v>
      </c>
      <c r="S132" s="41" t="s">
        <v>1668</v>
      </c>
      <c r="T132" s="41" t="s">
        <v>1669</v>
      </c>
      <c r="U132" s="41" t="s">
        <v>1670</v>
      </c>
      <c r="V132" s="69" t="s">
        <v>1671</v>
      </c>
      <c r="W132" s="68"/>
    </row>
    <row r="133" spans="1:23" ht="13" x14ac:dyDescent="0.3">
      <c r="A133" s="44">
        <v>46080.38753472222</v>
      </c>
      <c r="B133" s="45" t="s">
        <v>779</v>
      </c>
      <c r="C133" s="45" t="s">
        <v>393</v>
      </c>
      <c r="D133" s="45" t="s">
        <v>392</v>
      </c>
      <c r="E133" s="45" t="s">
        <v>28</v>
      </c>
      <c r="F133" s="67" t="s">
        <v>1550</v>
      </c>
      <c r="G133" s="68"/>
      <c r="H133" s="45" t="s">
        <v>14</v>
      </c>
      <c r="I133" s="46"/>
      <c r="J133" s="46"/>
      <c r="K133" s="46"/>
      <c r="L133" s="45" t="s">
        <v>14</v>
      </c>
      <c r="M133" s="45" t="s">
        <v>14</v>
      </c>
      <c r="N133" s="45" t="s">
        <v>394</v>
      </c>
      <c r="O133" s="41" t="s">
        <v>1672</v>
      </c>
      <c r="P133" s="41" t="s">
        <v>1673</v>
      </c>
      <c r="Q133" s="41" t="s">
        <v>1674</v>
      </c>
      <c r="R133" s="45" t="s">
        <v>394</v>
      </c>
      <c r="S133" s="41" t="s">
        <v>1675</v>
      </c>
      <c r="T133" s="41" t="s">
        <v>1676</v>
      </c>
      <c r="U133" s="41" t="s">
        <v>1677</v>
      </c>
      <c r="V133" s="69" t="s">
        <v>1678</v>
      </c>
      <c r="W133" s="68"/>
    </row>
    <row r="134" spans="1:23" ht="13" x14ac:dyDescent="0.3">
      <c r="A134" s="39">
        <v>46080.410034722219</v>
      </c>
      <c r="B134" s="40" t="s">
        <v>954</v>
      </c>
      <c r="C134" s="40" t="s">
        <v>368</v>
      </c>
      <c r="D134" s="40" t="s">
        <v>367</v>
      </c>
      <c r="E134" s="40" t="s">
        <v>17</v>
      </c>
      <c r="F134" s="70" t="s">
        <v>1550</v>
      </c>
      <c r="G134" s="68"/>
      <c r="H134" s="40" t="s">
        <v>14</v>
      </c>
      <c r="I134" s="42"/>
      <c r="J134" s="42"/>
      <c r="K134" s="42"/>
      <c r="L134" s="40" t="s">
        <v>14</v>
      </c>
      <c r="M134" s="40" t="s">
        <v>14</v>
      </c>
      <c r="N134" s="40" t="s">
        <v>1679</v>
      </c>
      <c r="O134" s="41" t="s">
        <v>1680</v>
      </c>
      <c r="P134" s="41" t="s">
        <v>1681</v>
      </c>
      <c r="Q134" s="41" t="s">
        <v>1682</v>
      </c>
      <c r="R134" s="40" t="s">
        <v>369</v>
      </c>
      <c r="S134" s="41" t="s">
        <v>1683</v>
      </c>
      <c r="T134" s="41" t="s">
        <v>1684</v>
      </c>
      <c r="U134" s="69" t="s">
        <v>1685</v>
      </c>
      <c r="V134" s="68"/>
      <c r="W134" s="68"/>
    </row>
    <row r="135" spans="1:23" ht="13" x14ac:dyDescent="0.3">
      <c r="A135" s="44">
        <v>46080.411909722221</v>
      </c>
      <c r="B135" s="45" t="s">
        <v>851</v>
      </c>
      <c r="C135" s="45" t="s">
        <v>535</v>
      </c>
      <c r="D135" s="45" t="s">
        <v>1686</v>
      </c>
      <c r="E135" s="45" t="s">
        <v>526</v>
      </c>
      <c r="F135" s="67" t="s">
        <v>1550</v>
      </c>
      <c r="G135" s="68"/>
      <c r="H135" s="45" t="s">
        <v>7</v>
      </c>
      <c r="I135" s="46"/>
      <c r="J135" s="46"/>
      <c r="K135" s="46"/>
      <c r="L135" s="45" t="s">
        <v>7</v>
      </c>
      <c r="M135" s="45" t="s">
        <v>7</v>
      </c>
      <c r="N135" s="45" t="s">
        <v>1687</v>
      </c>
      <c r="O135" s="41" t="s">
        <v>1688</v>
      </c>
      <c r="P135" s="41" t="s">
        <v>1689</v>
      </c>
      <c r="Q135" s="41" t="s">
        <v>1690</v>
      </c>
      <c r="R135" s="45" t="s">
        <v>1687</v>
      </c>
      <c r="S135" s="41" t="s">
        <v>1691</v>
      </c>
      <c r="T135" s="41" t="s">
        <v>1692</v>
      </c>
      <c r="U135" s="69" t="s">
        <v>1693</v>
      </c>
      <c r="V135" s="68"/>
      <c r="W135" s="68"/>
    </row>
    <row r="136" spans="1:23" ht="13" x14ac:dyDescent="0.3">
      <c r="A136" s="39">
        <v>46080.413958333331</v>
      </c>
      <c r="B136" s="40" t="s">
        <v>811</v>
      </c>
      <c r="C136" s="40" t="s">
        <v>479</v>
      </c>
      <c r="D136" s="40" t="s">
        <v>478</v>
      </c>
      <c r="E136" s="40" t="s">
        <v>28</v>
      </c>
      <c r="F136" s="70" t="s">
        <v>1550</v>
      </c>
      <c r="G136" s="68"/>
      <c r="H136" s="40" t="s">
        <v>7</v>
      </c>
      <c r="I136" s="42"/>
      <c r="J136" s="42"/>
      <c r="K136" s="42"/>
      <c r="L136" s="40" t="s">
        <v>7</v>
      </c>
      <c r="M136" s="40" t="s">
        <v>14</v>
      </c>
      <c r="N136" s="40" t="s">
        <v>1694</v>
      </c>
      <c r="O136" s="41" t="s">
        <v>1695</v>
      </c>
      <c r="P136" s="41" t="s">
        <v>1696</v>
      </c>
      <c r="Q136" s="41" t="s">
        <v>1697</v>
      </c>
      <c r="R136" s="40" t="s">
        <v>480</v>
      </c>
      <c r="S136" s="41" t="s">
        <v>1698</v>
      </c>
      <c r="T136" s="41" t="s">
        <v>1699</v>
      </c>
      <c r="U136" s="41" t="s">
        <v>1700</v>
      </c>
      <c r="V136" s="69" t="s">
        <v>1701</v>
      </c>
      <c r="W136" s="68"/>
    </row>
    <row r="137" spans="1:23" ht="13" x14ac:dyDescent="0.3">
      <c r="A137" s="44">
        <v>46080.4299537037</v>
      </c>
      <c r="B137" s="45" t="s">
        <v>917</v>
      </c>
      <c r="C137" s="45" t="s">
        <v>915</v>
      </c>
      <c r="D137" s="45" t="s">
        <v>242</v>
      </c>
      <c r="E137" s="45" t="s">
        <v>17</v>
      </c>
      <c r="F137" s="67" t="s">
        <v>1550</v>
      </c>
      <c r="G137" s="68"/>
      <c r="H137" s="45" t="s">
        <v>14</v>
      </c>
      <c r="I137" s="46"/>
      <c r="J137" s="46"/>
      <c r="K137" s="46"/>
      <c r="L137" s="45" t="s">
        <v>14</v>
      </c>
      <c r="M137" s="45" t="s">
        <v>14</v>
      </c>
      <c r="N137" s="45" t="s">
        <v>243</v>
      </c>
      <c r="O137" s="41" t="s">
        <v>1702</v>
      </c>
      <c r="P137" s="41" t="s">
        <v>1703</v>
      </c>
      <c r="Q137" s="41" t="s">
        <v>1704</v>
      </c>
      <c r="R137" s="45" t="s">
        <v>243</v>
      </c>
      <c r="S137" s="41" t="s">
        <v>1705</v>
      </c>
      <c r="T137" s="41" t="s">
        <v>1706</v>
      </c>
      <c r="U137" s="41" t="s">
        <v>1707</v>
      </c>
      <c r="V137" s="69" t="s">
        <v>1708</v>
      </c>
      <c r="W137" s="68"/>
    </row>
    <row r="138" spans="1:23" ht="13" x14ac:dyDescent="0.3">
      <c r="A138" s="39">
        <v>46080.448287037034</v>
      </c>
      <c r="B138" s="40" t="s">
        <v>931</v>
      </c>
      <c r="C138" s="40" t="s">
        <v>140</v>
      </c>
      <c r="D138" s="40" t="s">
        <v>139</v>
      </c>
      <c r="E138" s="40" t="s">
        <v>17</v>
      </c>
      <c r="F138" s="70" t="s">
        <v>1550</v>
      </c>
      <c r="G138" s="68"/>
      <c r="H138" s="40" t="s">
        <v>7</v>
      </c>
      <c r="I138" s="42"/>
      <c r="J138" s="42"/>
      <c r="K138" s="42"/>
      <c r="L138" s="40" t="s">
        <v>7</v>
      </c>
      <c r="M138" s="40" t="s">
        <v>14</v>
      </c>
      <c r="N138" s="40" t="s">
        <v>1709</v>
      </c>
      <c r="O138" s="41" t="s">
        <v>1710</v>
      </c>
      <c r="P138" s="41" t="s">
        <v>1711</v>
      </c>
      <c r="Q138" s="41" t="s">
        <v>1712</v>
      </c>
      <c r="R138" s="40" t="s">
        <v>1713</v>
      </c>
      <c r="S138" s="41" t="s">
        <v>1714</v>
      </c>
      <c r="T138" s="41" t="s">
        <v>1715</v>
      </c>
      <c r="U138" s="41" t="s">
        <v>1716</v>
      </c>
      <c r="V138" s="69" t="s">
        <v>1717</v>
      </c>
      <c r="W138" s="68"/>
    </row>
    <row r="139" spans="1:23" ht="13" x14ac:dyDescent="0.3">
      <c r="A139" s="44">
        <v>46080.475277777776</v>
      </c>
      <c r="B139" s="45" t="s">
        <v>1718</v>
      </c>
      <c r="C139" s="45" t="s">
        <v>438</v>
      </c>
      <c r="D139" s="45" t="s">
        <v>437</v>
      </c>
      <c r="E139" s="45" t="s">
        <v>28</v>
      </c>
      <c r="F139" s="67" t="s">
        <v>1550</v>
      </c>
      <c r="G139" s="68"/>
      <c r="H139" s="45" t="s">
        <v>7</v>
      </c>
      <c r="I139" s="46"/>
      <c r="J139" s="46"/>
      <c r="K139" s="46"/>
      <c r="L139" s="45" t="s">
        <v>7</v>
      </c>
      <c r="M139" s="45" t="s">
        <v>7</v>
      </c>
      <c r="N139" s="45" t="s">
        <v>1719</v>
      </c>
      <c r="O139" s="41" t="s">
        <v>1720</v>
      </c>
      <c r="P139" s="41" t="s">
        <v>1721</v>
      </c>
      <c r="Q139" s="41" t="s">
        <v>1722</v>
      </c>
      <c r="R139" s="45" t="s">
        <v>1719</v>
      </c>
      <c r="S139" s="41" t="s">
        <v>1723</v>
      </c>
      <c r="T139" s="41" t="s">
        <v>1724</v>
      </c>
      <c r="U139" s="41" t="s">
        <v>1725</v>
      </c>
      <c r="V139" s="69" t="s">
        <v>1726</v>
      </c>
      <c r="W139" s="68"/>
    </row>
    <row r="140" spans="1:23" ht="13" x14ac:dyDescent="0.3">
      <c r="A140" s="39">
        <v>46080.478912037041</v>
      </c>
      <c r="B140" s="40" t="s">
        <v>716</v>
      </c>
      <c r="C140" s="40" t="s">
        <v>440</v>
      </c>
      <c r="D140" s="40" t="s">
        <v>439</v>
      </c>
      <c r="E140" s="40" t="s">
        <v>127</v>
      </c>
      <c r="F140" s="70" t="s">
        <v>1550</v>
      </c>
      <c r="G140" s="68"/>
      <c r="H140" s="40" t="s">
        <v>14</v>
      </c>
      <c r="I140" s="42"/>
      <c r="J140" s="42"/>
      <c r="K140" s="42"/>
      <c r="L140" s="40" t="s">
        <v>14</v>
      </c>
      <c r="M140" s="40" t="s">
        <v>14</v>
      </c>
      <c r="N140" s="40" t="s">
        <v>441</v>
      </c>
      <c r="O140" s="41" t="s">
        <v>1727</v>
      </c>
      <c r="P140" s="41" t="s">
        <v>1728</v>
      </c>
      <c r="Q140" s="41" t="s">
        <v>1729</v>
      </c>
      <c r="R140" s="40" t="s">
        <v>441</v>
      </c>
      <c r="S140" s="41" t="s">
        <v>1730</v>
      </c>
      <c r="T140" s="41" t="s">
        <v>1731</v>
      </c>
      <c r="U140" s="69" t="s">
        <v>1732</v>
      </c>
      <c r="V140" s="68"/>
      <c r="W140" s="68"/>
    </row>
    <row r="141" spans="1:23" ht="13" x14ac:dyDescent="0.3">
      <c r="A141" s="44">
        <v>46080.479108796295</v>
      </c>
      <c r="B141" s="45" t="s">
        <v>902</v>
      </c>
      <c r="C141" s="45" t="s">
        <v>215</v>
      </c>
      <c r="D141" s="45" t="s">
        <v>214</v>
      </c>
      <c r="E141" s="45" t="s">
        <v>17</v>
      </c>
      <c r="F141" s="67" t="s">
        <v>1550</v>
      </c>
      <c r="G141" s="68"/>
      <c r="H141" s="45" t="s">
        <v>7</v>
      </c>
      <c r="I141" s="46"/>
      <c r="J141" s="46"/>
      <c r="K141" s="46"/>
      <c r="L141" s="45" t="s">
        <v>7</v>
      </c>
      <c r="M141" s="45" t="s">
        <v>7</v>
      </c>
      <c r="N141" s="45" t="s">
        <v>1733</v>
      </c>
      <c r="O141" s="41" t="s">
        <v>1734</v>
      </c>
      <c r="P141" s="41" t="s">
        <v>1735</v>
      </c>
      <c r="Q141" s="41" t="s">
        <v>1736</v>
      </c>
      <c r="R141" s="45" t="s">
        <v>1733</v>
      </c>
      <c r="S141" s="41" t="s">
        <v>1737</v>
      </c>
      <c r="T141" s="41" t="s">
        <v>1738</v>
      </c>
      <c r="U141" s="41" t="s">
        <v>1739</v>
      </c>
      <c r="V141" s="69" t="s">
        <v>1740</v>
      </c>
      <c r="W141" s="68"/>
    </row>
    <row r="142" spans="1:23" ht="13" x14ac:dyDescent="0.3">
      <c r="A142" s="39">
        <v>46080.479444444441</v>
      </c>
      <c r="B142" s="40" t="s">
        <v>858</v>
      </c>
      <c r="C142" s="40" t="s">
        <v>541</v>
      </c>
      <c r="D142" s="40" t="s">
        <v>540</v>
      </c>
      <c r="E142" s="40" t="s">
        <v>526</v>
      </c>
      <c r="F142" s="70" t="s">
        <v>1550</v>
      </c>
      <c r="G142" s="68"/>
      <c r="H142" s="40" t="s">
        <v>7</v>
      </c>
      <c r="I142" s="42"/>
      <c r="J142" s="42"/>
      <c r="K142" s="42"/>
      <c r="L142" s="40" t="s">
        <v>7</v>
      </c>
      <c r="M142" s="40" t="s">
        <v>7</v>
      </c>
      <c r="N142" s="40" t="s">
        <v>542</v>
      </c>
      <c r="O142" s="41" t="s">
        <v>1741</v>
      </c>
      <c r="P142" s="41" t="s">
        <v>1742</v>
      </c>
      <c r="Q142" s="41" t="s">
        <v>1743</v>
      </c>
      <c r="R142" s="40" t="s">
        <v>542</v>
      </c>
      <c r="S142" s="41" t="s">
        <v>1744</v>
      </c>
      <c r="T142" s="41" t="s">
        <v>1745</v>
      </c>
      <c r="U142" s="41" t="s">
        <v>1746</v>
      </c>
      <c r="V142" s="69" t="s">
        <v>1747</v>
      </c>
      <c r="W142" s="68"/>
    </row>
    <row r="143" spans="1:23" ht="13" x14ac:dyDescent="0.3">
      <c r="A143" s="44">
        <v>46080.498645833337</v>
      </c>
      <c r="B143" s="45" t="s">
        <v>1748</v>
      </c>
      <c r="C143" s="45" t="s">
        <v>88</v>
      </c>
      <c r="D143" s="45" t="s">
        <v>87</v>
      </c>
      <c r="E143" s="45" t="s">
        <v>17</v>
      </c>
      <c r="F143" s="67" t="s">
        <v>1550</v>
      </c>
      <c r="G143" s="68"/>
      <c r="H143" s="45" t="s">
        <v>7</v>
      </c>
      <c r="I143" s="46"/>
      <c r="J143" s="46"/>
      <c r="K143" s="46"/>
      <c r="L143" s="45" t="s">
        <v>7</v>
      </c>
      <c r="M143" s="45" t="s">
        <v>14</v>
      </c>
      <c r="N143" s="45" t="s">
        <v>1749</v>
      </c>
      <c r="O143" s="41" t="s">
        <v>1750</v>
      </c>
      <c r="P143" s="41" t="s">
        <v>1751</v>
      </c>
      <c r="Q143" s="41" t="s">
        <v>1752</v>
      </c>
      <c r="R143" s="45" t="s">
        <v>1753</v>
      </c>
      <c r="S143" s="41" t="s">
        <v>1754</v>
      </c>
      <c r="T143" s="41" t="s">
        <v>1755</v>
      </c>
      <c r="U143" s="41" t="s">
        <v>1756</v>
      </c>
      <c r="V143" s="69" t="s">
        <v>1757</v>
      </c>
      <c r="W143" s="68"/>
    </row>
    <row r="144" spans="1:23" ht="13" x14ac:dyDescent="0.3">
      <c r="A144" s="39">
        <v>46080.502743055556</v>
      </c>
      <c r="B144" s="40" t="s">
        <v>876</v>
      </c>
      <c r="C144" s="40" t="s">
        <v>16</v>
      </c>
      <c r="D144" s="40" t="s">
        <v>15</v>
      </c>
      <c r="E144" s="40" t="s">
        <v>17</v>
      </c>
      <c r="F144" s="70" t="s">
        <v>1550</v>
      </c>
      <c r="G144" s="68"/>
      <c r="H144" s="40" t="s">
        <v>14</v>
      </c>
      <c r="I144" s="42"/>
      <c r="J144" s="42"/>
      <c r="K144" s="42"/>
      <c r="L144" s="40" t="s">
        <v>14</v>
      </c>
      <c r="M144" s="40" t="s">
        <v>14</v>
      </c>
      <c r="N144" s="40" t="s">
        <v>1758</v>
      </c>
      <c r="O144" s="41" t="s">
        <v>1759</v>
      </c>
      <c r="P144" s="41" t="s">
        <v>1760</v>
      </c>
      <c r="Q144" s="41" t="s">
        <v>1761</v>
      </c>
      <c r="R144" s="40" t="s">
        <v>18</v>
      </c>
      <c r="S144" s="41" t="s">
        <v>1762</v>
      </c>
      <c r="T144" s="41" t="s">
        <v>1763</v>
      </c>
      <c r="U144" s="41" t="s">
        <v>1764</v>
      </c>
      <c r="V144" s="69" t="s">
        <v>1765</v>
      </c>
      <c r="W144" s="68"/>
    </row>
    <row r="145" spans="1:23" ht="13" x14ac:dyDescent="0.3">
      <c r="A145" s="44">
        <v>46080.528298611112</v>
      </c>
      <c r="B145" s="45" t="s">
        <v>900</v>
      </c>
      <c r="C145" s="45" t="s">
        <v>55</v>
      </c>
      <c r="D145" s="45" t="s">
        <v>54</v>
      </c>
      <c r="E145" s="45" t="s">
        <v>17</v>
      </c>
      <c r="F145" s="67" t="s">
        <v>1550</v>
      </c>
      <c r="G145" s="68"/>
      <c r="H145" s="45" t="s">
        <v>14</v>
      </c>
      <c r="I145" s="46"/>
      <c r="J145" s="46"/>
      <c r="K145" s="46"/>
      <c r="L145" s="45" t="s">
        <v>14</v>
      </c>
      <c r="M145" s="45" t="s">
        <v>14</v>
      </c>
      <c r="N145" s="45" t="s">
        <v>1766</v>
      </c>
      <c r="O145" s="41" t="s">
        <v>1767</v>
      </c>
      <c r="P145" s="41" t="s">
        <v>1768</v>
      </c>
      <c r="Q145" s="41" t="s">
        <v>1769</v>
      </c>
      <c r="R145" s="45" t="s">
        <v>1766</v>
      </c>
      <c r="S145" s="41" t="s">
        <v>1770</v>
      </c>
      <c r="T145" s="41" t="s">
        <v>1771</v>
      </c>
      <c r="U145" s="41" t="s">
        <v>1772</v>
      </c>
      <c r="V145" s="69" t="s">
        <v>1773</v>
      </c>
      <c r="W145" s="68"/>
    </row>
    <row r="146" spans="1:23" ht="13" x14ac:dyDescent="0.3">
      <c r="A146" s="39">
        <v>46080.539837962962</v>
      </c>
      <c r="B146" s="40" t="s">
        <v>683</v>
      </c>
      <c r="C146" s="40" t="s">
        <v>520</v>
      </c>
      <c r="D146" s="40" t="s">
        <v>519</v>
      </c>
      <c r="E146" s="40" t="s">
        <v>127</v>
      </c>
      <c r="F146" s="70" t="s">
        <v>1550</v>
      </c>
      <c r="G146" s="68"/>
      <c r="H146" s="40" t="s">
        <v>14</v>
      </c>
      <c r="I146" s="42"/>
      <c r="J146" s="42"/>
      <c r="K146" s="42"/>
      <c r="L146" s="40" t="s">
        <v>14</v>
      </c>
      <c r="M146" s="40" t="s">
        <v>14</v>
      </c>
      <c r="N146" s="40" t="s">
        <v>521</v>
      </c>
      <c r="O146" s="41" t="s">
        <v>1774</v>
      </c>
      <c r="P146" s="41" t="s">
        <v>1775</v>
      </c>
      <c r="Q146" s="41" t="s">
        <v>1776</v>
      </c>
      <c r="R146" s="40" t="s">
        <v>521</v>
      </c>
      <c r="S146" s="41" t="s">
        <v>1777</v>
      </c>
      <c r="T146" s="41" t="s">
        <v>1778</v>
      </c>
      <c r="U146" s="69" t="s">
        <v>1779</v>
      </c>
      <c r="V146" s="68"/>
      <c r="W146" s="68"/>
    </row>
    <row r="147" spans="1:23" ht="13" x14ac:dyDescent="0.3">
      <c r="A147" s="44">
        <v>46080.547337962962</v>
      </c>
      <c r="B147" s="45" t="s">
        <v>886</v>
      </c>
      <c r="C147" s="45" t="s">
        <v>24</v>
      </c>
      <c r="D147" s="45" t="s">
        <v>23</v>
      </c>
      <c r="E147" s="45" t="s">
        <v>17</v>
      </c>
      <c r="F147" s="67" t="s">
        <v>1550</v>
      </c>
      <c r="G147" s="68"/>
      <c r="H147" s="45" t="s">
        <v>14</v>
      </c>
      <c r="I147" s="46"/>
      <c r="J147" s="46"/>
      <c r="K147" s="46"/>
      <c r="L147" s="45" t="s">
        <v>14</v>
      </c>
      <c r="M147" s="45" t="s">
        <v>14</v>
      </c>
      <c r="N147" s="45" t="s">
        <v>25</v>
      </c>
      <c r="O147" s="41" t="s">
        <v>1780</v>
      </c>
      <c r="P147" s="41" t="s">
        <v>1781</v>
      </c>
      <c r="Q147" s="41" t="s">
        <v>1782</v>
      </c>
      <c r="R147" s="45" t="s">
        <v>25</v>
      </c>
      <c r="S147" s="41" t="s">
        <v>1783</v>
      </c>
      <c r="T147" s="41" t="s">
        <v>1784</v>
      </c>
      <c r="U147" s="41" t="s">
        <v>1785</v>
      </c>
      <c r="V147" s="69" t="s">
        <v>1786</v>
      </c>
      <c r="W147" s="68"/>
    </row>
    <row r="148" spans="1:23" ht="13" x14ac:dyDescent="0.3">
      <c r="A148" s="39">
        <v>46080.547800925924</v>
      </c>
      <c r="B148" s="40" t="s">
        <v>932</v>
      </c>
      <c r="C148" s="40" t="s">
        <v>142</v>
      </c>
      <c r="D148" s="40" t="s">
        <v>141</v>
      </c>
      <c r="E148" s="40" t="s">
        <v>17</v>
      </c>
      <c r="F148" s="70" t="s">
        <v>1550</v>
      </c>
      <c r="G148" s="68"/>
      <c r="H148" s="40" t="s">
        <v>14</v>
      </c>
      <c r="I148" s="42"/>
      <c r="J148" s="42"/>
      <c r="K148" s="42"/>
      <c r="L148" s="40" t="s">
        <v>14</v>
      </c>
      <c r="M148" s="40" t="s">
        <v>14</v>
      </c>
      <c r="N148" s="40" t="s">
        <v>1787</v>
      </c>
      <c r="O148" s="41" t="s">
        <v>1788</v>
      </c>
      <c r="P148" s="41" t="s">
        <v>1789</v>
      </c>
      <c r="Q148" s="41" t="s">
        <v>1790</v>
      </c>
      <c r="R148" s="40" t="s">
        <v>1787</v>
      </c>
      <c r="S148" s="41" t="s">
        <v>1791</v>
      </c>
      <c r="T148" s="41" t="s">
        <v>1792</v>
      </c>
      <c r="U148" s="41" t="s">
        <v>1793</v>
      </c>
      <c r="V148" s="69" t="s">
        <v>1794</v>
      </c>
      <c r="W148" s="68"/>
    </row>
    <row r="149" spans="1:23" ht="13" x14ac:dyDescent="0.3">
      <c r="A149" s="44">
        <v>46080.550509259258</v>
      </c>
      <c r="B149" s="45" t="s">
        <v>1019</v>
      </c>
      <c r="C149" s="45" t="s">
        <v>68</v>
      </c>
      <c r="D149" s="45" t="s">
        <v>67</v>
      </c>
      <c r="E149" s="45" t="s">
        <v>975</v>
      </c>
      <c r="F149" s="67" t="s">
        <v>1550</v>
      </c>
      <c r="G149" s="68"/>
      <c r="H149" s="45" t="s">
        <v>7</v>
      </c>
      <c r="I149" s="46"/>
      <c r="J149" s="46"/>
      <c r="K149" s="46"/>
      <c r="L149" s="45" t="s">
        <v>7</v>
      </c>
      <c r="M149" s="45" t="s">
        <v>7</v>
      </c>
      <c r="N149" s="45" t="s">
        <v>69</v>
      </c>
      <c r="O149" s="41" t="s">
        <v>1795</v>
      </c>
      <c r="P149" s="41" t="s">
        <v>1796</v>
      </c>
      <c r="Q149" s="41" t="s">
        <v>1797</v>
      </c>
      <c r="R149" s="45" t="s">
        <v>69</v>
      </c>
      <c r="S149" s="41" t="s">
        <v>1798</v>
      </c>
      <c r="T149" s="41" t="s">
        <v>1799</v>
      </c>
      <c r="U149" s="69" t="s">
        <v>1800</v>
      </c>
      <c r="V149" s="68"/>
      <c r="W149" s="68"/>
    </row>
    <row r="150" spans="1:23" ht="13" x14ac:dyDescent="0.3">
      <c r="A150" s="39">
        <v>46080.552129629628</v>
      </c>
      <c r="B150" s="40" t="s">
        <v>796</v>
      </c>
      <c r="C150" s="40" t="s">
        <v>415</v>
      </c>
      <c r="D150" s="40" t="s">
        <v>414</v>
      </c>
      <c r="E150" s="40" t="s">
        <v>28</v>
      </c>
      <c r="F150" s="70" t="s">
        <v>1550</v>
      </c>
      <c r="G150" s="68"/>
      <c r="H150" s="40" t="s">
        <v>7</v>
      </c>
      <c r="I150" s="42"/>
      <c r="J150" s="42"/>
      <c r="K150" s="42"/>
      <c r="L150" s="40" t="s">
        <v>7</v>
      </c>
      <c r="M150" s="40" t="s">
        <v>7</v>
      </c>
      <c r="N150" s="40" t="s">
        <v>416</v>
      </c>
      <c r="O150" s="41" t="s">
        <v>1801</v>
      </c>
      <c r="P150" s="41" t="s">
        <v>1802</v>
      </c>
      <c r="Q150" s="41" t="s">
        <v>1803</v>
      </c>
      <c r="R150" s="40" t="s">
        <v>416</v>
      </c>
      <c r="S150" s="41" t="s">
        <v>1804</v>
      </c>
      <c r="T150" s="41" t="s">
        <v>1805</v>
      </c>
      <c r="U150" s="69" t="s">
        <v>1806</v>
      </c>
      <c r="V150" s="68"/>
      <c r="W150" s="68"/>
    </row>
    <row r="151" spans="1:23" ht="13" x14ac:dyDescent="0.3">
      <c r="A151" s="44">
        <v>46080.558668981481</v>
      </c>
      <c r="B151" s="45" t="s">
        <v>672</v>
      </c>
      <c r="C151" s="45" t="s">
        <v>517</v>
      </c>
      <c r="D151" s="45" t="s">
        <v>516</v>
      </c>
      <c r="E151" s="45" t="s">
        <v>127</v>
      </c>
      <c r="F151" s="67" t="s">
        <v>1550</v>
      </c>
      <c r="G151" s="68"/>
      <c r="H151" s="45" t="s">
        <v>7</v>
      </c>
      <c r="I151" s="46"/>
      <c r="J151" s="46"/>
      <c r="K151" s="46"/>
      <c r="L151" s="45" t="s">
        <v>7</v>
      </c>
      <c r="M151" s="45" t="s">
        <v>7</v>
      </c>
      <c r="N151" s="45" t="s">
        <v>1807</v>
      </c>
      <c r="O151" s="41" t="s">
        <v>1808</v>
      </c>
      <c r="P151" s="41" t="s">
        <v>1809</v>
      </c>
      <c r="Q151" s="41" t="s">
        <v>1810</v>
      </c>
      <c r="R151" s="45" t="s">
        <v>518</v>
      </c>
      <c r="S151" s="41" t="s">
        <v>1811</v>
      </c>
      <c r="T151" s="41" t="s">
        <v>1812</v>
      </c>
      <c r="U151" s="41" t="s">
        <v>1813</v>
      </c>
      <c r="V151" s="69" t="s">
        <v>1814</v>
      </c>
      <c r="W151" s="68"/>
    </row>
    <row r="152" spans="1:23" ht="13" x14ac:dyDescent="0.3">
      <c r="A152" s="39">
        <v>46080.619791666664</v>
      </c>
      <c r="B152" s="40" t="s">
        <v>856</v>
      </c>
      <c r="C152" s="40" t="s">
        <v>579</v>
      </c>
      <c r="D152" s="40" t="s">
        <v>578</v>
      </c>
      <c r="E152" s="40" t="s">
        <v>526</v>
      </c>
      <c r="F152" s="70" t="s">
        <v>1550</v>
      </c>
      <c r="G152" s="68"/>
      <c r="H152" s="40" t="s">
        <v>7</v>
      </c>
      <c r="I152" s="42"/>
      <c r="J152" s="42"/>
      <c r="K152" s="42"/>
      <c r="L152" s="40" t="s">
        <v>7</v>
      </c>
      <c r="M152" s="40" t="s">
        <v>7</v>
      </c>
      <c r="N152" s="40" t="s">
        <v>1815</v>
      </c>
      <c r="O152" s="41" t="s">
        <v>1816</v>
      </c>
      <c r="P152" s="41" t="s">
        <v>1817</v>
      </c>
      <c r="Q152" s="41" t="s">
        <v>1818</v>
      </c>
      <c r="R152" s="40" t="s">
        <v>1815</v>
      </c>
      <c r="S152" s="41" t="s">
        <v>1819</v>
      </c>
      <c r="T152" s="41" t="s">
        <v>1820</v>
      </c>
      <c r="U152" s="69" t="s">
        <v>1821</v>
      </c>
      <c r="V152" s="68"/>
      <c r="W152" s="68"/>
    </row>
    <row r="153" spans="1:23" ht="13" x14ac:dyDescent="0.3">
      <c r="A153" s="44">
        <v>46080.63009259259</v>
      </c>
      <c r="B153" s="45" t="s">
        <v>848</v>
      </c>
      <c r="C153" s="45" t="s">
        <v>488</v>
      </c>
      <c r="D153" s="45" t="s">
        <v>567</v>
      </c>
      <c r="E153" s="45" t="s">
        <v>526</v>
      </c>
      <c r="F153" s="67" t="s">
        <v>1550</v>
      </c>
      <c r="G153" s="68"/>
      <c r="H153" s="45" t="s">
        <v>7</v>
      </c>
      <c r="I153" s="46"/>
      <c r="J153" s="46"/>
      <c r="K153" s="46"/>
      <c r="L153" s="45" t="s">
        <v>7</v>
      </c>
      <c r="M153" s="45" t="s">
        <v>7</v>
      </c>
      <c r="N153" s="45" t="s">
        <v>1822</v>
      </c>
      <c r="O153" s="41" t="s">
        <v>1823</v>
      </c>
      <c r="P153" s="41" t="s">
        <v>1824</v>
      </c>
      <c r="Q153" s="41" t="s">
        <v>1825</v>
      </c>
      <c r="R153" s="45" t="s">
        <v>1822</v>
      </c>
      <c r="S153" s="41" t="s">
        <v>1826</v>
      </c>
      <c r="T153" s="41" t="s">
        <v>1827</v>
      </c>
      <c r="U153" s="41" t="s">
        <v>1828</v>
      </c>
      <c r="V153" s="69" t="s">
        <v>1829</v>
      </c>
      <c r="W153" s="68"/>
    </row>
    <row r="154" spans="1:23" ht="13" x14ac:dyDescent="0.3">
      <c r="A154" s="39">
        <v>46080.633634259262</v>
      </c>
      <c r="B154" s="40" t="s">
        <v>908</v>
      </c>
      <c r="C154" s="50" t="s">
        <v>121</v>
      </c>
      <c r="D154" s="40" t="s">
        <v>120</v>
      </c>
      <c r="E154" s="40" t="s">
        <v>17</v>
      </c>
      <c r="F154" s="70" t="s">
        <v>1550</v>
      </c>
      <c r="G154" s="68"/>
      <c r="H154" s="40" t="s">
        <v>14</v>
      </c>
      <c r="I154" s="42"/>
      <c r="J154" s="42"/>
      <c r="K154" s="42"/>
      <c r="L154" s="40" t="s">
        <v>14</v>
      </c>
      <c r="M154" s="40" t="s">
        <v>14</v>
      </c>
      <c r="N154" s="40" t="s">
        <v>122</v>
      </c>
      <c r="O154" s="41" t="s">
        <v>1830</v>
      </c>
      <c r="P154" s="41" t="s">
        <v>1831</v>
      </c>
      <c r="Q154" s="41" t="s">
        <v>1832</v>
      </c>
      <c r="R154" s="40" t="s">
        <v>122</v>
      </c>
      <c r="S154" s="41" t="s">
        <v>1833</v>
      </c>
      <c r="T154" s="41" t="s">
        <v>1834</v>
      </c>
      <c r="U154" s="41" t="s">
        <v>1835</v>
      </c>
      <c r="V154" s="69" t="s">
        <v>1836</v>
      </c>
      <c r="W154" s="68"/>
    </row>
    <row r="155" spans="1:23" ht="13" x14ac:dyDescent="0.3">
      <c r="A155" s="44">
        <v>46080.633946759262</v>
      </c>
      <c r="B155" s="45" t="s">
        <v>982</v>
      </c>
      <c r="C155" s="45" t="s">
        <v>119</v>
      </c>
      <c r="D155" s="45" t="s">
        <v>118</v>
      </c>
      <c r="E155" s="45" t="s">
        <v>6</v>
      </c>
      <c r="F155" s="67" t="s">
        <v>1550</v>
      </c>
      <c r="G155" s="68"/>
      <c r="H155" s="45" t="s">
        <v>14</v>
      </c>
      <c r="I155" s="46"/>
      <c r="J155" s="46"/>
      <c r="K155" s="46"/>
      <c r="L155" s="45" t="s">
        <v>14</v>
      </c>
      <c r="M155" s="45" t="s">
        <v>14</v>
      </c>
      <c r="N155" s="67" t="s">
        <v>1837</v>
      </c>
      <c r="O155" s="68"/>
      <c r="P155" s="68"/>
      <c r="Q155" s="68"/>
      <c r="R155" s="45" t="s">
        <v>1837</v>
      </c>
      <c r="S155" s="41" t="s">
        <v>1838</v>
      </c>
      <c r="T155" s="41" t="s">
        <v>1839</v>
      </c>
      <c r="U155" s="41" t="s">
        <v>1840</v>
      </c>
      <c r="V155" s="69" t="s">
        <v>1841</v>
      </c>
      <c r="W155" s="68"/>
    </row>
    <row r="156" spans="1:23" ht="13" x14ac:dyDescent="0.3">
      <c r="A156" s="39">
        <v>46080.636122685188</v>
      </c>
      <c r="B156" s="40" t="s">
        <v>969</v>
      </c>
      <c r="C156" s="40" t="s">
        <v>373</v>
      </c>
      <c r="D156" s="40" t="s">
        <v>372</v>
      </c>
      <c r="E156" s="40" t="s">
        <v>17</v>
      </c>
      <c r="F156" s="70" t="s">
        <v>1550</v>
      </c>
      <c r="G156" s="68"/>
      <c r="H156" s="40" t="s">
        <v>14</v>
      </c>
      <c r="I156" s="42"/>
      <c r="J156" s="42"/>
      <c r="K156" s="42"/>
      <c r="L156" s="40" t="s">
        <v>14</v>
      </c>
      <c r="M156" s="40" t="s">
        <v>14</v>
      </c>
      <c r="N156" s="40" t="s">
        <v>1842</v>
      </c>
      <c r="O156" s="41" t="s">
        <v>1843</v>
      </c>
      <c r="P156" s="41" t="s">
        <v>1844</v>
      </c>
      <c r="Q156" s="41" t="s">
        <v>1845</v>
      </c>
      <c r="R156" s="40" t="s">
        <v>1842</v>
      </c>
      <c r="S156" s="41" t="s">
        <v>1846</v>
      </c>
      <c r="T156" s="41" t="s">
        <v>1847</v>
      </c>
      <c r="U156" s="41" t="s">
        <v>1848</v>
      </c>
      <c r="V156" s="69" t="s">
        <v>1849</v>
      </c>
      <c r="W156" s="68"/>
    </row>
    <row r="157" spans="1:23" ht="13" x14ac:dyDescent="0.3">
      <c r="A157" s="44">
        <v>46080.642592592594</v>
      </c>
      <c r="B157" s="45" t="s">
        <v>843</v>
      </c>
      <c r="C157" s="45" t="s">
        <v>583</v>
      </c>
      <c r="D157" s="45" t="s">
        <v>1850</v>
      </c>
      <c r="E157" s="45" t="s">
        <v>526</v>
      </c>
      <c r="F157" s="67" t="s">
        <v>1550</v>
      </c>
      <c r="G157" s="68"/>
      <c r="H157" s="45" t="s">
        <v>7</v>
      </c>
      <c r="I157" s="46"/>
      <c r="J157" s="46"/>
      <c r="K157" s="46"/>
      <c r="L157" s="45" t="s">
        <v>7</v>
      </c>
      <c r="M157" s="45" t="s">
        <v>7</v>
      </c>
      <c r="N157" s="45" t="s">
        <v>1851</v>
      </c>
      <c r="O157" s="41" t="s">
        <v>1852</v>
      </c>
      <c r="P157" s="41" t="s">
        <v>1853</v>
      </c>
      <c r="Q157" s="41" t="s">
        <v>1854</v>
      </c>
      <c r="R157" s="45" t="s">
        <v>584</v>
      </c>
      <c r="S157" s="41" t="s">
        <v>1855</v>
      </c>
      <c r="T157" s="41" t="s">
        <v>1856</v>
      </c>
      <c r="U157" s="41" t="s">
        <v>1857</v>
      </c>
      <c r="V157" s="69" t="s">
        <v>1858</v>
      </c>
      <c r="W157" s="68"/>
    </row>
    <row r="158" spans="1:23" ht="13" x14ac:dyDescent="0.3">
      <c r="A158" s="39">
        <v>46080.648981481485</v>
      </c>
      <c r="B158" s="40" t="s">
        <v>835</v>
      </c>
      <c r="C158" s="40" t="s">
        <v>547</v>
      </c>
      <c r="D158" s="40" t="s">
        <v>546</v>
      </c>
      <c r="E158" s="40" t="s">
        <v>526</v>
      </c>
      <c r="F158" s="70" t="s">
        <v>1550</v>
      </c>
      <c r="G158" s="68"/>
      <c r="H158" s="40" t="s">
        <v>7</v>
      </c>
      <c r="I158" s="42"/>
      <c r="J158" s="42"/>
      <c r="K158" s="42"/>
      <c r="L158" s="40" t="s">
        <v>7</v>
      </c>
      <c r="M158" s="40" t="s">
        <v>7</v>
      </c>
      <c r="N158" s="40" t="s">
        <v>548</v>
      </c>
      <c r="O158" s="41" t="s">
        <v>1859</v>
      </c>
      <c r="P158" s="41" t="s">
        <v>1860</v>
      </c>
      <c r="Q158" s="41" t="s">
        <v>1861</v>
      </c>
      <c r="R158" s="40" t="s">
        <v>548</v>
      </c>
      <c r="S158" s="41" t="s">
        <v>1862</v>
      </c>
      <c r="T158" s="41" t="s">
        <v>1863</v>
      </c>
      <c r="U158" s="41" t="s">
        <v>1864</v>
      </c>
      <c r="V158" s="69" t="s">
        <v>1865</v>
      </c>
      <c r="W158" s="68"/>
    </row>
    <row r="159" spans="1:23" ht="13" x14ac:dyDescent="0.3">
      <c r="A159" s="44">
        <v>46080.649594907409</v>
      </c>
      <c r="B159" s="45" t="s">
        <v>857</v>
      </c>
      <c r="C159" s="45" t="s">
        <v>581</v>
      </c>
      <c r="D159" s="45" t="s">
        <v>580</v>
      </c>
      <c r="E159" s="45" t="s">
        <v>526</v>
      </c>
      <c r="F159" s="67" t="s">
        <v>1550</v>
      </c>
      <c r="G159" s="68"/>
      <c r="H159" s="45" t="s">
        <v>7</v>
      </c>
      <c r="I159" s="46"/>
      <c r="J159" s="46"/>
      <c r="K159" s="46"/>
      <c r="L159" s="45" t="s">
        <v>7</v>
      </c>
      <c r="M159" s="45" t="s">
        <v>7</v>
      </c>
      <c r="N159" s="45" t="s">
        <v>1866</v>
      </c>
      <c r="O159" s="41" t="s">
        <v>1867</v>
      </c>
      <c r="P159" s="41" t="s">
        <v>1868</v>
      </c>
      <c r="Q159" s="41" t="s">
        <v>1869</v>
      </c>
      <c r="R159" s="45" t="s">
        <v>1866</v>
      </c>
      <c r="S159" s="41" t="s">
        <v>1870</v>
      </c>
      <c r="T159" s="41" t="s">
        <v>1871</v>
      </c>
      <c r="U159" s="41" t="s">
        <v>1872</v>
      </c>
      <c r="V159" s="69" t="s">
        <v>1873</v>
      </c>
      <c r="W159" s="68"/>
    </row>
    <row r="160" spans="1:23" ht="13" x14ac:dyDescent="0.3">
      <c r="A160" s="39">
        <v>46080.66778935185</v>
      </c>
      <c r="B160" s="40" t="s">
        <v>667</v>
      </c>
      <c r="C160" s="40" t="s">
        <v>405</v>
      </c>
      <c r="D160" s="40" t="s">
        <v>404</v>
      </c>
      <c r="E160" s="40" t="s">
        <v>127</v>
      </c>
      <c r="F160" s="70" t="s">
        <v>1550</v>
      </c>
      <c r="G160" s="68"/>
      <c r="H160" s="40" t="s">
        <v>14</v>
      </c>
      <c r="I160" s="42"/>
      <c r="J160" s="42"/>
      <c r="K160" s="42"/>
      <c r="L160" s="40" t="s">
        <v>14</v>
      </c>
      <c r="M160" s="40" t="s">
        <v>14</v>
      </c>
      <c r="N160" s="40" t="s">
        <v>1874</v>
      </c>
      <c r="O160" s="41" t="s">
        <v>1875</v>
      </c>
      <c r="P160" s="41" t="s">
        <v>1876</v>
      </c>
      <c r="Q160" s="41" t="s">
        <v>1877</v>
      </c>
      <c r="R160" s="40" t="s">
        <v>406</v>
      </c>
      <c r="S160" s="41" t="s">
        <v>1878</v>
      </c>
      <c r="T160" s="41" t="s">
        <v>1879</v>
      </c>
      <c r="U160" s="69" t="s">
        <v>1880</v>
      </c>
      <c r="V160" s="68"/>
      <c r="W160" s="68"/>
    </row>
    <row r="161" spans="1:23" ht="13" x14ac:dyDescent="0.3">
      <c r="A161" s="44">
        <v>46080.670706018522</v>
      </c>
      <c r="B161" s="45" t="s">
        <v>784</v>
      </c>
      <c r="C161" s="45" t="s">
        <v>418</v>
      </c>
      <c r="D161" s="45" t="s">
        <v>417</v>
      </c>
      <c r="E161" s="45" t="s">
        <v>28</v>
      </c>
      <c r="F161" s="67" t="s">
        <v>1550</v>
      </c>
      <c r="G161" s="68"/>
      <c r="H161" s="45" t="s">
        <v>7</v>
      </c>
      <c r="I161" s="46"/>
      <c r="J161" s="46"/>
      <c r="K161" s="46"/>
      <c r="L161" s="45" t="s">
        <v>7</v>
      </c>
      <c r="M161" s="45" t="s">
        <v>7</v>
      </c>
      <c r="N161" s="45" t="s">
        <v>419</v>
      </c>
      <c r="O161" s="41" t="s">
        <v>1881</v>
      </c>
      <c r="P161" s="41" t="s">
        <v>1882</v>
      </c>
      <c r="Q161" s="41" t="s">
        <v>1883</v>
      </c>
      <c r="R161" s="45" t="s">
        <v>419</v>
      </c>
      <c r="S161" s="41" t="s">
        <v>1884</v>
      </c>
      <c r="T161" s="41" t="s">
        <v>1885</v>
      </c>
      <c r="U161" s="69" t="s">
        <v>1886</v>
      </c>
      <c r="V161" s="68"/>
      <c r="W161" s="68"/>
    </row>
    <row r="162" spans="1:23" ht="13" x14ac:dyDescent="0.3">
      <c r="A162" s="39">
        <v>46080.679155092592</v>
      </c>
      <c r="B162" s="40" t="s">
        <v>973</v>
      </c>
      <c r="C162" s="40" t="s">
        <v>117</v>
      </c>
      <c r="D162" s="40" t="s">
        <v>116</v>
      </c>
      <c r="E162" s="40" t="s">
        <v>17</v>
      </c>
      <c r="F162" s="70" t="s">
        <v>1550</v>
      </c>
      <c r="G162" s="68"/>
      <c r="H162" s="40" t="s">
        <v>14</v>
      </c>
      <c r="I162" s="42"/>
      <c r="J162" s="42"/>
      <c r="K162" s="42"/>
      <c r="L162" s="40" t="s">
        <v>14</v>
      </c>
      <c r="M162" s="40" t="s">
        <v>14</v>
      </c>
      <c r="N162" s="40" t="s">
        <v>1887</v>
      </c>
      <c r="O162" s="41" t="s">
        <v>1888</v>
      </c>
      <c r="P162" s="41" t="s">
        <v>1889</v>
      </c>
      <c r="Q162" s="41" t="s">
        <v>1890</v>
      </c>
      <c r="R162" s="40" t="s">
        <v>1891</v>
      </c>
      <c r="S162" s="41" t="s">
        <v>1892</v>
      </c>
      <c r="T162" s="41" t="s">
        <v>1893</v>
      </c>
      <c r="U162" s="69" t="s">
        <v>1894</v>
      </c>
      <c r="V162" s="68"/>
      <c r="W162" s="68"/>
    </row>
    <row r="163" spans="1:23" ht="13" x14ac:dyDescent="0.3">
      <c r="A163" s="44">
        <v>46080.681851851848</v>
      </c>
      <c r="B163" s="45" t="s">
        <v>859</v>
      </c>
      <c r="C163" s="45" t="s">
        <v>544</v>
      </c>
      <c r="D163" s="45" t="s">
        <v>543</v>
      </c>
      <c r="E163" s="45" t="s">
        <v>526</v>
      </c>
      <c r="F163" s="67" t="s">
        <v>1550</v>
      </c>
      <c r="G163" s="68"/>
      <c r="H163" s="45" t="s">
        <v>7</v>
      </c>
      <c r="I163" s="46"/>
      <c r="J163" s="46"/>
      <c r="K163" s="46"/>
      <c r="L163" s="45" t="s">
        <v>7</v>
      </c>
      <c r="M163" s="45" t="s">
        <v>7</v>
      </c>
      <c r="N163" s="45" t="s">
        <v>1895</v>
      </c>
      <c r="O163" s="41" t="s">
        <v>1896</v>
      </c>
      <c r="P163" s="41" t="s">
        <v>1897</v>
      </c>
      <c r="Q163" s="41" t="s">
        <v>1898</v>
      </c>
      <c r="R163" s="45" t="s">
        <v>545</v>
      </c>
      <c r="S163" s="41" t="s">
        <v>1899</v>
      </c>
      <c r="T163" s="41" t="s">
        <v>1900</v>
      </c>
      <c r="U163" s="69" t="s">
        <v>1901</v>
      </c>
      <c r="V163" s="68"/>
      <c r="W163" s="68"/>
    </row>
    <row r="164" spans="1:23" ht="13" x14ac:dyDescent="0.3">
      <c r="A164" s="39">
        <v>46080.682025462964</v>
      </c>
      <c r="B164" s="40" t="s">
        <v>777</v>
      </c>
      <c r="C164" s="40" t="s">
        <v>410</v>
      </c>
      <c r="D164" s="40" t="s">
        <v>409</v>
      </c>
      <c r="E164" s="40" t="s">
        <v>28</v>
      </c>
      <c r="F164" s="70" t="s">
        <v>1550</v>
      </c>
      <c r="G164" s="68"/>
      <c r="H164" s="40" t="s">
        <v>7</v>
      </c>
      <c r="I164" s="42"/>
      <c r="J164" s="42"/>
      <c r="K164" s="42"/>
      <c r="L164" s="40" t="s">
        <v>7</v>
      </c>
      <c r="M164" s="40" t="s">
        <v>7</v>
      </c>
      <c r="N164" s="40" t="s">
        <v>1902</v>
      </c>
      <c r="O164" s="41" t="s">
        <v>1903</v>
      </c>
      <c r="P164" s="41" t="s">
        <v>1904</v>
      </c>
      <c r="Q164" s="41" t="s">
        <v>1905</v>
      </c>
      <c r="R164" s="40" t="s">
        <v>1902</v>
      </c>
      <c r="S164" s="41" t="s">
        <v>1906</v>
      </c>
      <c r="T164" s="41" t="s">
        <v>1907</v>
      </c>
      <c r="U164" s="41" t="s">
        <v>1908</v>
      </c>
      <c r="V164" s="69" t="s">
        <v>1909</v>
      </c>
      <c r="W164" s="68"/>
    </row>
    <row r="165" spans="1:23" ht="13" x14ac:dyDescent="0.3">
      <c r="A165" s="44">
        <v>46080.689074074071</v>
      </c>
      <c r="B165" s="45" t="s">
        <v>968</v>
      </c>
      <c r="C165" s="45" t="s">
        <v>371</v>
      </c>
      <c r="D165" s="45" t="s">
        <v>370</v>
      </c>
      <c r="E165" s="45" t="s">
        <v>17</v>
      </c>
      <c r="F165" s="67" t="s">
        <v>1550</v>
      </c>
      <c r="G165" s="68"/>
      <c r="H165" s="45" t="s">
        <v>14</v>
      </c>
      <c r="I165" s="46"/>
      <c r="J165" s="46"/>
      <c r="K165" s="46"/>
      <c r="L165" s="45" t="s">
        <v>14</v>
      </c>
      <c r="M165" s="45" t="s">
        <v>14</v>
      </c>
      <c r="N165" s="45" t="s">
        <v>1910</v>
      </c>
      <c r="O165" s="41" t="s">
        <v>1911</v>
      </c>
      <c r="P165" s="41" t="s">
        <v>1912</v>
      </c>
      <c r="Q165" s="41" t="s">
        <v>1913</v>
      </c>
      <c r="R165" s="45" t="s">
        <v>1910</v>
      </c>
      <c r="S165" s="41" t="s">
        <v>1914</v>
      </c>
      <c r="T165" s="41" t="s">
        <v>1915</v>
      </c>
      <c r="U165" s="41" t="s">
        <v>1916</v>
      </c>
      <c r="V165" s="69" t="s">
        <v>1917</v>
      </c>
      <c r="W165" s="68"/>
    </row>
    <row r="166" spans="1:23" ht="13" x14ac:dyDescent="0.3">
      <c r="A166" s="39">
        <v>46080.701574074075</v>
      </c>
      <c r="B166" s="40" t="s">
        <v>823</v>
      </c>
      <c r="C166" s="40" t="s">
        <v>1918</v>
      </c>
      <c r="D166" s="40" t="s">
        <v>524</v>
      </c>
      <c r="E166" s="40" t="s">
        <v>526</v>
      </c>
      <c r="F166" s="70" t="s">
        <v>1550</v>
      </c>
      <c r="G166" s="68"/>
      <c r="H166" s="40" t="s">
        <v>7</v>
      </c>
      <c r="I166" s="42"/>
      <c r="J166" s="42"/>
      <c r="K166" s="42"/>
      <c r="L166" s="40" t="s">
        <v>7</v>
      </c>
      <c r="M166" s="40" t="s">
        <v>7</v>
      </c>
      <c r="N166" s="40" t="s">
        <v>527</v>
      </c>
      <c r="O166" s="41" t="s">
        <v>1919</v>
      </c>
      <c r="P166" s="41" t="s">
        <v>1920</v>
      </c>
      <c r="Q166" s="41" t="s">
        <v>1921</v>
      </c>
      <c r="R166" s="40" t="s">
        <v>527</v>
      </c>
      <c r="S166" s="41" t="s">
        <v>1922</v>
      </c>
      <c r="T166" s="41" t="s">
        <v>1923</v>
      </c>
      <c r="U166" s="41" t="s">
        <v>1924</v>
      </c>
      <c r="V166" s="69" t="s">
        <v>1925</v>
      </c>
      <c r="W166" s="68"/>
    </row>
    <row r="167" spans="1:23" ht="13" x14ac:dyDescent="0.3">
      <c r="A167" s="44">
        <v>46080.702870370369</v>
      </c>
      <c r="B167" s="45" t="s">
        <v>983</v>
      </c>
      <c r="C167" s="45" t="s">
        <v>64</v>
      </c>
      <c r="D167" s="45" t="s">
        <v>63</v>
      </c>
      <c r="E167" s="45" t="s">
        <v>6</v>
      </c>
      <c r="F167" s="67" t="s">
        <v>1550</v>
      </c>
      <c r="G167" s="68"/>
      <c r="H167" s="45" t="s">
        <v>14</v>
      </c>
      <c r="I167" s="46"/>
      <c r="J167" s="46"/>
      <c r="K167" s="46"/>
      <c r="L167" s="45" t="s">
        <v>14</v>
      </c>
      <c r="M167" s="45" t="s">
        <v>14</v>
      </c>
      <c r="N167" s="45" t="s">
        <v>65</v>
      </c>
      <c r="O167" s="41" t="s">
        <v>1926</v>
      </c>
      <c r="P167" s="41" t="s">
        <v>1927</v>
      </c>
      <c r="Q167" s="41" t="s">
        <v>1928</v>
      </c>
      <c r="R167" s="45" t="s">
        <v>65</v>
      </c>
      <c r="S167" s="41" t="s">
        <v>1929</v>
      </c>
      <c r="T167" s="41" t="s">
        <v>1930</v>
      </c>
      <c r="U167" s="41" t="s">
        <v>1931</v>
      </c>
      <c r="V167" s="69" t="s">
        <v>1932</v>
      </c>
      <c r="W167" s="68"/>
    </row>
    <row r="168" spans="1:23" ht="13" x14ac:dyDescent="0.3">
      <c r="A168" s="39">
        <v>46080.704965277779</v>
      </c>
      <c r="B168" s="40" t="s">
        <v>885</v>
      </c>
      <c r="C168" s="40" t="s">
        <v>62</v>
      </c>
      <c r="D168" s="40" t="s">
        <v>61</v>
      </c>
      <c r="E168" s="40" t="s">
        <v>17</v>
      </c>
      <c r="F168" s="70" t="s">
        <v>1550</v>
      </c>
      <c r="G168" s="68"/>
      <c r="H168" s="40" t="s">
        <v>14</v>
      </c>
      <c r="I168" s="42"/>
      <c r="J168" s="42"/>
      <c r="K168" s="42"/>
      <c r="L168" s="40" t="s">
        <v>14</v>
      </c>
      <c r="M168" s="40" t="s">
        <v>14</v>
      </c>
      <c r="N168" s="40" t="s">
        <v>1933</v>
      </c>
      <c r="O168" s="41" t="s">
        <v>1934</v>
      </c>
      <c r="P168" s="41" t="s">
        <v>1935</v>
      </c>
      <c r="Q168" s="41" t="s">
        <v>1936</v>
      </c>
      <c r="R168" s="40" t="s">
        <v>1933</v>
      </c>
      <c r="S168" s="41" t="s">
        <v>1937</v>
      </c>
      <c r="T168" s="41" t="s">
        <v>1938</v>
      </c>
      <c r="U168" s="41" t="s">
        <v>1939</v>
      </c>
      <c r="V168" s="69" t="s">
        <v>1940</v>
      </c>
      <c r="W168" s="68"/>
    </row>
    <row r="169" spans="1:23" ht="13" x14ac:dyDescent="0.3">
      <c r="A169" s="44">
        <v>46080.706574074073</v>
      </c>
      <c r="B169" s="45" t="s">
        <v>831</v>
      </c>
      <c r="C169" s="45" t="s">
        <v>569</v>
      </c>
      <c r="D169" s="45" t="s">
        <v>568</v>
      </c>
      <c r="E169" s="45" t="s">
        <v>526</v>
      </c>
      <c r="F169" s="67" t="s">
        <v>1550</v>
      </c>
      <c r="G169" s="68"/>
      <c r="H169" s="45" t="s">
        <v>7</v>
      </c>
      <c r="I169" s="46"/>
      <c r="J169" s="46"/>
      <c r="K169" s="46"/>
      <c r="L169" s="45" t="s">
        <v>7</v>
      </c>
      <c r="M169" s="45" t="s">
        <v>7</v>
      </c>
      <c r="N169" s="45" t="s">
        <v>570</v>
      </c>
      <c r="O169" s="41" t="s">
        <v>1941</v>
      </c>
      <c r="P169" s="41" t="s">
        <v>1942</v>
      </c>
      <c r="Q169" s="41" t="s">
        <v>1943</v>
      </c>
      <c r="R169" s="45" t="s">
        <v>570</v>
      </c>
      <c r="S169" s="41" t="s">
        <v>1944</v>
      </c>
      <c r="T169" s="41" t="s">
        <v>1945</v>
      </c>
      <c r="U169" s="41" t="s">
        <v>1946</v>
      </c>
      <c r="V169" s="69" t="s">
        <v>1947</v>
      </c>
      <c r="W169" s="68"/>
    </row>
    <row r="170" spans="1:23" ht="13" x14ac:dyDescent="0.3">
      <c r="A170" s="39">
        <v>46080.716724537036</v>
      </c>
      <c r="B170" s="40" t="s">
        <v>841</v>
      </c>
      <c r="C170" s="40" t="s">
        <v>559</v>
      </c>
      <c r="D170" s="40" t="s">
        <v>558</v>
      </c>
      <c r="E170" s="40" t="s">
        <v>824</v>
      </c>
      <c r="F170" s="70" t="s">
        <v>1550</v>
      </c>
      <c r="G170" s="68"/>
      <c r="H170" s="40" t="s">
        <v>7</v>
      </c>
      <c r="I170" s="42"/>
      <c r="J170" s="42"/>
      <c r="K170" s="42"/>
      <c r="L170" s="40" t="s">
        <v>7</v>
      </c>
      <c r="M170" s="40" t="s">
        <v>7</v>
      </c>
      <c r="N170" s="40" t="s">
        <v>560</v>
      </c>
      <c r="O170" s="41" t="s">
        <v>1948</v>
      </c>
      <c r="P170" s="41" t="s">
        <v>1949</v>
      </c>
      <c r="Q170" s="41" t="s">
        <v>1950</v>
      </c>
      <c r="R170" s="40" t="s">
        <v>560</v>
      </c>
      <c r="S170" s="41" t="s">
        <v>1951</v>
      </c>
      <c r="T170" s="41" t="s">
        <v>1952</v>
      </c>
      <c r="U170" s="41" t="s">
        <v>1953</v>
      </c>
      <c r="V170" s="69" t="s">
        <v>1954</v>
      </c>
      <c r="W170" s="68"/>
    </row>
    <row r="171" spans="1:23" ht="13" x14ac:dyDescent="0.3">
      <c r="A171" s="44">
        <v>46080.722013888888</v>
      </c>
      <c r="B171" s="45" t="s">
        <v>924</v>
      </c>
      <c r="C171" s="45" t="s">
        <v>361</v>
      </c>
      <c r="D171" s="45" t="s">
        <v>360</v>
      </c>
      <c r="E171" s="45" t="s">
        <v>17</v>
      </c>
      <c r="F171" s="67" t="s">
        <v>1550</v>
      </c>
      <c r="G171" s="68"/>
      <c r="H171" s="45" t="s">
        <v>7</v>
      </c>
      <c r="I171" s="46"/>
      <c r="J171" s="46"/>
      <c r="K171" s="46"/>
      <c r="L171" s="45" t="s">
        <v>7</v>
      </c>
      <c r="M171" s="45" t="s">
        <v>7</v>
      </c>
      <c r="N171" s="45" t="s">
        <v>1955</v>
      </c>
      <c r="O171" s="41" t="s">
        <v>1956</v>
      </c>
      <c r="P171" s="41" t="s">
        <v>1957</v>
      </c>
      <c r="Q171" s="41" t="s">
        <v>1958</v>
      </c>
      <c r="R171" s="45" t="s">
        <v>1955</v>
      </c>
      <c r="S171" s="41" t="s">
        <v>1959</v>
      </c>
      <c r="T171" s="41" t="s">
        <v>1960</v>
      </c>
      <c r="U171" s="41" t="s">
        <v>1961</v>
      </c>
      <c r="V171" s="69" t="s">
        <v>1962</v>
      </c>
      <c r="W171" s="68"/>
    </row>
    <row r="172" spans="1:23" ht="13" x14ac:dyDescent="0.3">
      <c r="A172" s="39">
        <v>46080.734236111108</v>
      </c>
      <c r="B172" s="40" t="s">
        <v>1004</v>
      </c>
      <c r="C172" s="40" t="s">
        <v>229</v>
      </c>
      <c r="D172" s="40" t="s">
        <v>228</v>
      </c>
      <c r="E172" s="40" t="s">
        <v>6</v>
      </c>
      <c r="F172" s="70" t="s">
        <v>1550</v>
      </c>
      <c r="G172" s="68"/>
      <c r="H172" s="40" t="s">
        <v>7</v>
      </c>
      <c r="I172" s="42"/>
      <c r="J172" s="42"/>
      <c r="K172" s="42"/>
      <c r="L172" s="40" t="s">
        <v>7</v>
      </c>
      <c r="M172" s="40" t="s">
        <v>14</v>
      </c>
      <c r="N172" s="40" t="s">
        <v>1963</v>
      </c>
      <c r="O172" s="41" t="s">
        <v>1964</v>
      </c>
      <c r="P172" s="41" t="s">
        <v>1965</v>
      </c>
      <c r="Q172" s="41" t="s">
        <v>1966</v>
      </c>
      <c r="R172" s="40" t="s">
        <v>230</v>
      </c>
      <c r="S172" s="41" t="s">
        <v>1967</v>
      </c>
      <c r="T172" s="41" t="s">
        <v>1968</v>
      </c>
      <c r="U172" s="41" t="s">
        <v>1969</v>
      </c>
      <c r="V172" s="69" t="s">
        <v>1970</v>
      </c>
      <c r="W172" s="68"/>
    </row>
    <row r="173" spans="1:23" ht="13" x14ac:dyDescent="0.3">
      <c r="A173" s="44">
        <v>46080.743101851855</v>
      </c>
      <c r="B173" s="45" t="s">
        <v>999</v>
      </c>
      <c r="C173" s="45" t="s">
        <v>998</v>
      </c>
      <c r="D173" s="45" t="s">
        <v>94</v>
      </c>
      <c r="E173" s="45" t="s">
        <v>6</v>
      </c>
      <c r="F173" s="67" t="s">
        <v>1550</v>
      </c>
      <c r="G173" s="68"/>
      <c r="H173" s="45" t="s">
        <v>7</v>
      </c>
      <c r="I173" s="46"/>
      <c r="J173" s="46"/>
      <c r="K173" s="46"/>
      <c r="L173" s="45" t="s">
        <v>7</v>
      </c>
      <c r="M173" s="45" t="s">
        <v>14</v>
      </c>
      <c r="N173" s="45" t="s">
        <v>1971</v>
      </c>
      <c r="O173" s="41" t="s">
        <v>1972</v>
      </c>
      <c r="P173" s="41" t="s">
        <v>1973</v>
      </c>
      <c r="Q173" s="41" t="s">
        <v>1974</v>
      </c>
      <c r="R173" s="45" t="s">
        <v>95</v>
      </c>
      <c r="S173" s="41" t="s">
        <v>1975</v>
      </c>
      <c r="T173" s="41" t="s">
        <v>1976</v>
      </c>
      <c r="U173" s="41" t="s">
        <v>1977</v>
      </c>
      <c r="V173" s="69" t="s">
        <v>1978</v>
      </c>
      <c r="W173" s="68"/>
    </row>
    <row r="174" spans="1:23" ht="13" x14ac:dyDescent="0.3">
      <c r="A174" s="39">
        <v>46080.751400462963</v>
      </c>
      <c r="B174" s="40" t="s">
        <v>1022</v>
      </c>
      <c r="C174" s="40" t="s">
        <v>147</v>
      </c>
      <c r="D174" s="40" t="s">
        <v>146</v>
      </c>
      <c r="E174" s="40" t="s">
        <v>6</v>
      </c>
      <c r="F174" s="70" t="s">
        <v>1550</v>
      </c>
      <c r="G174" s="68"/>
      <c r="H174" s="40" t="s">
        <v>7</v>
      </c>
      <c r="I174" s="42"/>
      <c r="J174" s="42"/>
      <c r="K174" s="42"/>
      <c r="L174" s="40" t="s">
        <v>7</v>
      </c>
      <c r="M174" s="40" t="s">
        <v>14</v>
      </c>
      <c r="N174" s="40" t="s">
        <v>1979</v>
      </c>
      <c r="O174" s="41" t="s">
        <v>1980</v>
      </c>
      <c r="P174" s="41" t="s">
        <v>1981</v>
      </c>
      <c r="Q174" s="41" t="s">
        <v>1982</v>
      </c>
      <c r="R174" s="40" t="s">
        <v>148</v>
      </c>
      <c r="S174" s="41" t="s">
        <v>1983</v>
      </c>
      <c r="T174" s="41" t="s">
        <v>1984</v>
      </c>
      <c r="U174" s="41" t="s">
        <v>1985</v>
      </c>
      <c r="V174" s="69" t="s">
        <v>1986</v>
      </c>
      <c r="W174" s="68"/>
    </row>
    <row r="175" spans="1:23" ht="13" x14ac:dyDescent="0.3">
      <c r="A175" s="44">
        <v>46080.756388888891</v>
      </c>
      <c r="B175" s="45" t="s">
        <v>797</v>
      </c>
      <c r="C175" s="45" t="s">
        <v>397</v>
      </c>
      <c r="D175" s="45" t="s">
        <v>396</v>
      </c>
      <c r="E175" s="45" t="s">
        <v>28</v>
      </c>
      <c r="F175" s="67" t="s">
        <v>1550</v>
      </c>
      <c r="G175" s="68"/>
      <c r="H175" s="45" t="s">
        <v>14</v>
      </c>
      <c r="I175" s="46"/>
      <c r="J175" s="46"/>
      <c r="K175" s="46"/>
      <c r="L175" s="45" t="s">
        <v>14</v>
      </c>
      <c r="M175" s="45" t="s">
        <v>14</v>
      </c>
      <c r="N175" s="45" t="s">
        <v>1987</v>
      </c>
      <c r="O175" s="41" t="s">
        <v>1988</v>
      </c>
      <c r="P175" s="41" t="s">
        <v>1989</v>
      </c>
      <c r="Q175" s="41" t="s">
        <v>1990</v>
      </c>
      <c r="R175" s="45" t="s">
        <v>398</v>
      </c>
      <c r="S175" s="41" t="s">
        <v>1991</v>
      </c>
      <c r="T175" s="41" t="s">
        <v>1992</v>
      </c>
      <c r="U175" s="69" t="s">
        <v>1993</v>
      </c>
      <c r="V175" s="68"/>
      <c r="W175" s="68"/>
    </row>
    <row r="176" spans="1:23" ht="13" x14ac:dyDescent="0.3">
      <c r="A176" s="39">
        <v>46080.757094907407</v>
      </c>
      <c r="B176" s="40" t="s">
        <v>1000</v>
      </c>
      <c r="C176" s="40" t="s">
        <v>223</v>
      </c>
      <c r="D176" s="40" t="s">
        <v>222</v>
      </c>
      <c r="E176" s="40" t="s">
        <v>6</v>
      </c>
      <c r="F176" s="70" t="s">
        <v>1550</v>
      </c>
      <c r="G176" s="68"/>
      <c r="H176" s="40" t="s">
        <v>14</v>
      </c>
      <c r="I176" s="42"/>
      <c r="J176" s="42"/>
      <c r="K176" s="42"/>
      <c r="L176" s="40" t="s">
        <v>14</v>
      </c>
      <c r="M176" s="40" t="s">
        <v>14</v>
      </c>
      <c r="N176" s="40" t="s">
        <v>224</v>
      </c>
      <c r="O176" s="41" t="s">
        <v>1994</v>
      </c>
      <c r="P176" s="41" t="s">
        <v>1995</v>
      </c>
      <c r="Q176" s="41" t="s">
        <v>1996</v>
      </c>
      <c r="R176" s="40" t="s">
        <v>224</v>
      </c>
      <c r="S176" s="41" t="s">
        <v>1997</v>
      </c>
      <c r="T176" s="41" t="s">
        <v>1998</v>
      </c>
      <c r="U176" s="41" t="s">
        <v>1999</v>
      </c>
      <c r="V176" s="69" t="s">
        <v>2000</v>
      </c>
      <c r="W176" s="68"/>
    </row>
    <row r="177" spans="1:23" ht="13" x14ac:dyDescent="0.3">
      <c r="A177" s="44">
        <v>46080.757557870369</v>
      </c>
      <c r="B177" s="45" t="s">
        <v>991</v>
      </c>
      <c r="C177" s="45" t="s">
        <v>203</v>
      </c>
      <c r="D177" s="45" t="s">
        <v>202</v>
      </c>
      <c r="E177" s="45" t="s">
        <v>6</v>
      </c>
      <c r="F177" s="67" t="s">
        <v>1550</v>
      </c>
      <c r="G177" s="68"/>
      <c r="H177" s="45" t="s">
        <v>14</v>
      </c>
      <c r="I177" s="46"/>
      <c r="J177" s="46"/>
      <c r="K177" s="46"/>
      <c r="L177" s="45" t="s">
        <v>14</v>
      </c>
      <c r="M177" s="45" t="s">
        <v>14</v>
      </c>
      <c r="N177" s="45" t="s">
        <v>2001</v>
      </c>
      <c r="O177" s="41" t="s">
        <v>2002</v>
      </c>
      <c r="P177" s="41" t="s">
        <v>2003</v>
      </c>
      <c r="Q177" s="41" t="s">
        <v>2004</v>
      </c>
      <c r="R177" s="45" t="s">
        <v>2001</v>
      </c>
      <c r="S177" s="41" t="s">
        <v>2005</v>
      </c>
      <c r="T177" s="41" t="s">
        <v>2006</v>
      </c>
      <c r="U177" s="41" t="s">
        <v>2007</v>
      </c>
      <c r="V177" s="69" t="s">
        <v>2008</v>
      </c>
      <c r="W177" s="68"/>
    </row>
    <row r="178" spans="1:23" ht="13" x14ac:dyDescent="0.3">
      <c r="A178" s="39">
        <v>46080.762280092589</v>
      </c>
      <c r="B178" s="40" t="s">
        <v>974</v>
      </c>
      <c r="C178" s="40" t="s">
        <v>48</v>
      </c>
      <c r="D178" s="40" t="s">
        <v>47</v>
      </c>
      <c r="E178" s="40" t="s">
        <v>47</v>
      </c>
      <c r="F178" s="70" t="s">
        <v>1550</v>
      </c>
      <c r="G178" s="68"/>
      <c r="H178" s="40" t="s">
        <v>14</v>
      </c>
      <c r="I178" s="42"/>
      <c r="J178" s="42"/>
      <c r="K178" s="42"/>
      <c r="L178" s="40" t="s">
        <v>14</v>
      </c>
      <c r="M178" s="40" t="s">
        <v>14</v>
      </c>
      <c r="N178" s="40" t="s">
        <v>2009</v>
      </c>
      <c r="O178" s="41" t="s">
        <v>2010</v>
      </c>
      <c r="P178" s="41" t="s">
        <v>2011</v>
      </c>
      <c r="Q178" s="41" t="s">
        <v>2012</v>
      </c>
      <c r="R178" s="40" t="s">
        <v>49</v>
      </c>
      <c r="S178" s="41" t="s">
        <v>2013</v>
      </c>
      <c r="T178" s="41" t="s">
        <v>2014</v>
      </c>
      <c r="U178" s="41" t="s">
        <v>2015</v>
      </c>
      <c r="V178" s="69" t="s">
        <v>2016</v>
      </c>
      <c r="W178" s="68"/>
    </row>
    <row r="179" spans="1:23" ht="13" x14ac:dyDescent="0.3">
      <c r="A179" s="44">
        <v>46080.76326388889</v>
      </c>
      <c r="B179" s="45" t="s">
        <v>957</v>
      </c>
      <c r="C179" s="45" t="s">
        <v>387</v>
      </c>
      <c r="D179" s="45" t="s">
        <v>386</v>
      </c>
      <c r="E179" s="45" t="s">
        <v>17</v>
      </c>
      <c r="F179" s="67" t="s">
        <v>1550</v>
      </c>
      <c r="G179" s="68"/>
      <c r="H179" s="45" t="s">
        <v>14</v>
      </c>
      <c r="I179" s="46"/>
      <c r="J179" s="46"/>
      <c r="K179" s="46"/>
      <c r="L179" s="45" t="s">
        <v>14</v>
      </c>
      <c r="M179" s="45" t="s">
        <v>14</v>
      </c>
      <c r="N179" s="45" t="s">
        <v>2017</v>
      </c>
      <c r="O179" s="41" t="s">
        <v>2018</v>
      </c>
      <c r="P179" s="41" t="s">
        <v>2019</v>
      </c>
      <c r="Q179" s="41" t="s">
        <v>2020</v>
      </c>
      <c r="R179" s="45" t="s">
        <v>2021</v>
      </c>
      <c r="S179" s="41" t="s">
        <v>2022</v>
      </c>
      <c r="T179" s="41" t="s">
        <v>2023</v>
      </c>
      <c r="U179" s="41" t="s">
        <v>2024</v>
      </c>
      <c r="V179" s="69" t="s">
        <v>2025</v>
      </c>
      <c r="W179" s="68"/>
    </row>
    <row r="180" spans="1:23" ht="13" x14ac:dyDescent="0.3">
      <c r="A180" s="39">
        <v>46080.793877314813</v>
      </c>
      <c r="B180" s="40" t="s">
        <v>1008</v>
      </c>
      <c r="C180" s="40" t="s">
        <v>232</v>
      </c>
      <c r="D180" s="40" t="s">
        <v>231</v>
      </c>
      <c r="E180" s="40" t="s">
        <v>6</v>
      </c>
      <c r="F180" s="70" t="s">
        <v>1550</v>
      </c>
      <c r="G180" s="68"/>
      <c r="H180" s="40" t="s">
        <v>7</v>
      </c>
      <c r="I180" s="42"/>
      <c r="J180" s="42"/>
      <c r="K180" s="42"/>
      <c r="L180" s="40" t="s">
        <v>7</v>
      </c>
      <c r="M180" s="40" t="s">
        <v>14</v>
      </c>
      <c r="N180" s="40" t="s">
        <v>2026</v>
      </c>
      <c r="O180" s="41" t="s">
        <v>2027</v>
      </c>
      <c r="P180" s="41" t="s">
        <v>2028</v>
      </c>
      <c r="Q180" s="41" t="s">
        <v>2029</v>
      </c>
      <c r="R180" s="40" t="s">
        <v>233</v>
      </c>
      <c r="S180" s="41" t="s">
        <v>2030</v>
      </c>
      <c r="T180" s="41" t="s">
        <v>2031</v>
      </c>
      <c r="U180" s="41" t="s">
        <v>2032</v>
      </c>
      <c r="V180" s="69" t="s">
        <v>2033</v>
      </c>
      <c r="W180" s="68"/>
    </row>
    <row r="181" spans="1:23" ht="13" x14ac:dyDescent="0.3">
      <c r="A181" s="44">
        <v>46080.795034722221</v>
      </c>
      <c r="B181" s="45" t="s">
        <v>879</v>
      </c>
      <c r="C181" s="45" t="s">
        <v>21</v>
      </c>
      <c r="D181" s="45" t="s">
        <v>20</v>
      </c>
      <c r="E181" s="45" t="s">
        <v>17</v>
      </c>
      <c r="F181" s="67" t="s">
        <v>1550</v>
      </c>
      <c r="G181" s="68"/>
      <c r="H181" s="45" t="s">
        <v>7</v>
      </c>
      <c r="I181" s="46"/>
      <c r="J181" s="46"/>
      <c r="K181" s="46"/>
      <c r="L181" s="45" t="s">
        <v>7</v>
      </c>
      <c r="M181" s="45" t="s">
        <v>14</v>
      </c>
      <c r="N181" s="45" t="s">
        <v>2034</v>
      </c>
      <c r="O181" s="41" t="s">
        <v>2035</v>
      </c>
      <c r="P181" s="41" t="s">
        <v>2036</v>
      </c>
      <c r="Q181" s="41" t="s">
        <v>2037</v>
      </c>
      <c r="R181" s="45" t="s">
        <v>22</v>
      </c>
      <c r="S181" s="41" t="s">
        <v>2038</v>
      </c>
      <c r="T181" s="41" t="s">
        <v>2039</v>
      </c>
      <c r="U181" s="41" t="s">
        <v>2040</v>
      </c>
      <c r="V181" s="69" t="s">
        <v>2041</v>
      </c>
      <c r="W181" s="68"/>
    </row>
    <row r="182" spans="1:23" ht="13" x14ac:dyDescent="0.3">
      <c r="A182" s="39">
        <v>46080.799872685187</v>
      </c>
      <c r="B182" s="40" t="s">
        <v>1003</v>
      </c>
      <c r="C182" s="40" t="s">
        <v>226</v>
      </c>
      <c r="D182" s="40" t="s">
        <v>225</v>
      </c>
      <c r="E182" s="40" t="s">
        <v>6</v>
      </c>
      <c r="F182" s="70" t="s">
        <v>1550</v>
      </c>
      <c r="G182" s="68"/>
      <c r="H182" s="40" t="s">
        <v>14</v>
      </c>
      <c r="I182" s="42"/>
      <c r="J182" s="42"/>
      <c r="K182" s="42"/>
      <c r="L182" s="40" t="s">
        <v>14</v>
      </c>
      <c r="M182" s="40" t="s">
        <v>14</v>
      </c>
      <c r="N182" s="70" t="s">
        <v>227</v>
      </c>
      <c r="O182" s="68"/>
      <c r="P182" s="68"/>
      <c r="Q182" s="68"/>
      <c r="R182" s="40" t="s">
        <v>227</v>
      </c>
      <c r="S182" s="41" t="s">
        <v>2042</v>
      </c>
      <c r="T182" s="41" t="s">
        <v>2043</v>
      </c>
      <c r="U182" s="41" t="s">
        <v>2044</v>
      </c>
      <c r="V182" s="69" t="s">
        <v>2045</v>
      </c>
      <c r="W182" s="68"/>
    </row>
    <row r="183" spans="1:23" ht="13" x14ac:dyDescent="0.3">
      <c r="A183" s="44">
        <v>46080.809479166666</v>
      </c>
      <c r="B183" s="45" t="s">
        <v>731</v>
      </c>
      <c r="C183" s="45" t="s">
        <v>488</v>
      </c>
      <c r="D183" s="45" t="s">
        <v>487</v>
      </c>
      <c r="E183" s="45" t="s">
        <v>127</v>
      </c>
      <c r="F183" s="67" t="s">
        <v>1550</v>
      </c>
      <c r="G183" s="68"/>
      <c r="H183" s="45" t="s">
        <v>14</v>
      </c>
      <c r="I183" s="46"/>
      <c r="J183" s="46"/>
      <c r="K183" s="46"/>
      <c r="L183" s="45" t="s">
        <v>14</v>
      </c>
      <c r="M183" s="45" t="s">
        <v>14</v>
      </c>
      <c r="N183" s="45" t="s">
        <v>2046</v>
      </c>
      <c r="O183" s="41" t="s">
        <v>2047</v>
      </c>
      <c r="P183" s="41" t="s">
        <v>2048</v>
      </c>
      <c r="Q183" s="41" t="s">
        <v>2049</v>
      </c>
      <c r="R183" s="45" t="s">
        <v>489</v>
      </c>
      <c r="S183" s="41" t="s">
        <v>2050</v>
      </c>
      <c r="T183" s="41" t="s">
        <v>2051</v>
      </c>
      <c r="U183" s="41" t="s">
        <v>2052</v>
      </c>
      <c r="V183" s="69" t="s">
        <v>2053</v>
      </c>
      <c r="W183" s="68"/>
    </row>
    <row r="184" spans="1:23" ht="13" x14ac:dyDescent="0.3">
      <c r="A184" s="39">
        <v>46080.811064814814</v>
      </c>
      <c r="B184" s="40" t="s">
        <v>904</v>
      </c>
      <c r="C184" s="40" t="s">
        <v>195</v>
      </c>
      <c r="D184" s="40" t="s">
        <v>194</v>
      </c>
      <c r="E184" s="40" t="s">
        <v>17</v>
      </c>
      <c r="F184" s="70" t="s">
        <v>1550</v>
      </c>
      <c r="G184" s="68"/>
      <c r="H184" s="40" t="s">
        <v>14</v>
      </c>
      <c r="I184" s="42"/>
      <c r="J184" s="42"/>
      <c r="K184" s="42"/>
      <c r="L184" s="40" t="s">
        <v>14</v>
      </c>
      <c r="M184" s="40" t="s">
        <v>14</v>
      </c>
      <c r="N184" s="40" t="s">
        <v>2054</v>
      </c>
      <c r="O184" s="41" t="s">
        <v>2055</v>
      </c>
      <c r="P184" s="41" t="s">
        <v>2056</v>
      </c>
      <c r="Q184" s="41" t="s">
        <v>2057</v>
      </c>
      <c r="R184" s="40" t="s">
        <v>196</v>
      </c>
      <c r="S184" s="41" t="s">
        <v>2058</v>
      </c>
      <c r="T184" s="41" t="s">
        <v>2059</v>
      </c>
      <c r="U184" s="41" t="s">
        <v>2060</v>
      </c>
      <c r="V184" s="69" t="s">
        <v>2061</v>
      </c>
      <c r="W184" s="68"/>
    </row>
    <row r="185" spans="1:23" ht="13" x14ac:dyDescent="0.3">
      <c r="A185" s="44">
        <v>46080.823611111111</v>
      </c>
      <c r="B185" s="45" t="s">
        <v>854</v>
      </c>
      <c r="C185" s="45" t="s">
        <v>577</v>
      </c>
      <c r="D185" s="45" t="s">
        <v>576</v>
      </c>
      <c r="E185" s="45" t="s">
        <v>526</v>
      </c>
      <c r="F185" s="67" t="s">
        <v>1550</v>
      </c>
      <c r="G185" s="68"/>
      <c r="H185" s="45" t="s">
        <v>7</v>
      </c>
      <c r="I185" s="46"/>
      <c r="J185" s="46"/>
      <c r="K185" s="46"/>
      <c r="L185" s="45" t="s">
        <v>7</v>
      </c>
      <c r="M185" s="45" t="s">
        <v>7</v>
      </c>
      <c r="N185" s="45" t="s">
        <v>2062</v>
      </c>
      <c r="O185" s="41" t="s">
        <v>2063</v>
      </c>
      <c r="P185" s="41" t="s">
        <v>2064</v>
      </c>
      <c r="Q185" s="41" t="s">
        <v>2065</v>
      </c>
      <c r="R185" s="45" t="s">
        <v>2062</v>
      </c>
      <c r="S185" s="41" t="s">
        <v>2066</v>
      </c>
      <c r="T185" s="41" t="s">
        <v>2067</v>
      </c>
      <c r="U185" s="69" t="s">
        <v>2068</v>
      </c>
      <c r="V185" s="68"/>
      <c r="W185" s="68"/>
    </row>
    <row r="186" spans="1:23" ht="13" x14ac:dyDescent="0.3">
      <c r="A186" s="39">
        <v>46080.82471064815</v>
      </c>
      <c r="B186" s="40" t="s">
        <v>986</v>
      </c>
      <c r="C186" s="40" t="s">
        <v>237</v>
      </c>
      <c r="D186" s="40" t="s">
        <v>236</v>
      </c>
      <c r="E186" s="40" t="s">
        <v>6</v>
      </c>
      <c r="F186" s="70" t="s">
        <v>1550</v>
      </c>
      <c r="G186" s="68"/>
      <c r="H186" s="40" t="s">
        <v>7</v>
      </c>
      <c r="I186" s="42"/>
      <c r="J186" s="42"/>
      <c r="K186" s="42"/>
      <c r="L186" s="40" t="s">
        <v>7</v>
      </c>
      <c r="M186" s="40" t="s">
        <v>14</v>
      </c>
      <c r="N186" s="40" t="s">
        <v>2069</v>
      </c>
      <c r="O186" s="41" t="s">
        <v>2070</v>
      </c>
      <c r="P186" s="41" t="s">
        <v>2071</v>
      </c>
      <c r="Q186" s="41" t="s">
        <v>2072</v>
      </c>
      <c r="R186" s="40" t="s">
        <v>238</v>
      </c>
      <c r="S186" s="41" t="s">
        <v>2073</v>
      </c>
      <c r="T186" s="41" t="s">
        <v>2074</v>
      </c>
      <c r="U186" s="41" t="s">
        <v>2075</v>
      </c>
      <c r="V186" s="69" t="s">
        <v>2076</v>
      </c>
      <c r="W186" s="68"/>
    </row>
    <row r="187" spans="1:23" ht="13" x14ac:dyDescent="0.3">
      <c r="A187" s="44">
        <v>46080.825138888889</v>
      </c>
      <c r="B187" s="45" t="s">
        <v>782</v>
      </c>
      <c r="C187" s="45" t="s">
        <v>412</v>
      </c>
      <c r="D187" s="45" t="s">
        <v>411</v>
      </c>
      <c r="E187" s="45" t="s">
        <v>28</v>
      </c>
      <c r="F187" s="67" t="s">
        <v>1550</v>
      </c>
      <c r="G187" s="68"/>
      <c r="H187" s="45" t="s">
        <v>14</v>
      </c>
      <c r="I187" s="46"/>
      <c r="J187" s="46"/>
      <c r="K187" s="46"/>
      <c r="L187" s="45" t="s">
        <v>14</v>
      </c>
      <c r="M187" s="45" t="s">
        <v>7</v>
      </c>
      <c r="N187" s="45" t="s">
        <v>2077</v>
      </c>
      <c r="O187" s="41" t="s">
        <v>2078</v>
      </c>
      <c r="P187" s="41" t="s">
        <v>2079</v>
      </c>
      <c r="Q187" s="41" t="s">
        <v>2080</v>
      </c>
      <c r="R187" s="45" t="s">
        <v>2081</v>
      </c>
      <c r="S187" s="41" t="s">
        <v>2082</v>
      </c>
      <c r="T187" s="41" t="s">
        <v>2083</v>
      </c>
      <c r="U187" s="69" t="s">
        <v>2084</v>
      </c>
      <c r="V187" s="68"/>
      <c r="W187" s="68"/>
    </row>
    <row r="188" spans="1:23" ht="13" x14ac:dyDescent="0.3">
      <c r="A188" s="39">
        <v>46080.827326388891</v>
      </c>
      <c r="B188" s="40" t="s">
        <v>938</v>
      </c>
      <c r="C188" s="40" t="s">
        <v>300</v>
      </c>
      <c r="D188" s="40" t="s">
        <v>299</v>
      </c>
      <c r="E188" s="40" t="s">
        <v>17</v>
      </c>
      <c r="F188" s="70" t="s">
        <v>1550</v>
      </c>
      <c r="G188" s="68"/>
      <c r="H188" s="40" t="s">
        <v>14</v>
      </c>
      <c r="I188" s="42"/>
      <c r="J188" s="42"/>
      <c r="K188" s="42"/>
      <c r="L188" s="40" t="s">
        <v>14</v>
      </c>
      <c r="M188" s="40" t="s">
        <v>14</v>
      </c>
      <c r="N188" s="40" t="s">
        <v>2085</v>
      </c>
      <c r="O188" s="41" t="s">
        <v>2086</v>
      </c>
      <c r="P188" s="41" t="s">
        <v>2087</v>
      </c>
      <c r="Q188" s="41" t="s">
        <v>2088</v>
      </c>
      <c r="R188" s="40" t="s">
        <v>2085</v>
      </c>
      <c r="S188" s="41" t="s">
        <v>2089</v>
      </c>
      <c r="T188" s="41" t="s">
        <v>2090</v>
      </c>
      <c r="U188" s="41" t="s">
        <v>2091</v>
      </c>
      <c r="V188" s="69" t="s">
        <v>2092</v>
      </c>
      <c r="W188" s="68"/>
    </row>
    <row r="189" spans="1:23" ht="13" x14ac:dyDescent="0.3">
      <c r="A189" s="44">
        <v>46080.842349537037</v>
      </c>
      <c r="B189" s="45" t="s">
        <v>1016</v>
      </c>
      <c r="C189" s="45" t="s">
        <v>219</v>
      </c>
      <c r="D189" s="45" t="s">
        <v>218</v>
      </c>
      <c r="E189" s="45" t="s">
        <v>975</v>
      </c>
      <c r="F189" s="67" t="s">
        <v>1550</v>
      </c>
      <c r="G189" s="68"/>
      <c r="H189" s="45" t="s">
        <v>7</v>
      </c>
      <c r="I189" s="46"/>
      <c r="J189" s="46"/>
      <c r="K189" s="46"/>
      <c r="L189" s="45" t="s">
        <v>7</v>
      </c>
      <c r="M189" s="45" t="s">
        <v>7</v>
      </c>
      <c r="N189" s="45" t="s">
        <v>2093</v>
      </c>
      <c r="O189" s="41" t="s">
        <v>2094</v>
      </c>
      <c r="P189" s="41" t="s">
        <v>2095</v>
      </c>
      <c r="Q189" s="41" t="s">
        <v>2096</v>
      </c>
      <c r="R189" s="45" t="s">
        <v>2097</v>
      </c>
      <c r="S189" s="41" t="s">
        <v>2098</v>
      </c>
      <c r="T189" s="41" t="s">
        <v>2099</v>
      </c>
      <c r="U189" s="41" t="s">
        <v>2100</v>
      </c>
      <c r="V189" s="69" t="s">
        <v>2101</v>
      </c>
      <c r="W189" s="68"/>
    </row>
    <row r="190" spans="1:23" ht="13" x14ac:dyDescent="0.3">
      <c r="A190" s="39">
        <v>46080.853414351855</v>
      </c>
      <c r="B190" s="40" t="s">
        <v>978</v>
      </c>
      <c r="C190" s="40" t="s">
        <v>97</v>
      </c>
      <c r="D190" s="40" t="s">
        <v>96</v>
      </c>
      <c r="E190" s="40" t="s">
        <v>6</v>
      </c>
      <c r="F190" s="70" t="s">
        <v>1550</v>
      </c>
      <c r="G190" s="68"/>
      <c r="H190" s="40" t="s">
        <v>7</v>
      </c>
      <c r="I190" s="42"/>
      <c r="J190" s="42"/>
      <c r="K190" s="42"/>
      <c r="L190" s="40" t="s">
        <v>7</v>
      </c>
      <c r="M190" s="40" t="s">
        <v>7</v>
      </c>
      <c r="N190" s="40" t="s">
        <v>2102</v>
      </c>
      <c r="O190" s="41" t="s">
        <v>2103</v>
      </c>
      <c r="P190" s="41" t="s">
        <v>2104</v>
      </c>
      <c r="Q190" s="41" t="s">
        <v>2105</v>
      </c>
      <c r="R190" s="40" t="s">
        <v>2106</v>
      </c>
      <c r="S190" s="41" t="s">
        <v>2107</v>
      </c>
      <c r="T190" s="41" t="s">
        <v>2108</v>
      </c>
      <c r="U190" s="41" t="s">
        <v>2109</v>
      </c>
      <c r="V190" s="69" t="s">
        <v>2110</v>
      </c>
      <c r="W190" s="68"/>
    </row>
    <row r="191" spans="1:23" ht="13" x14ac:dyDescent="0.3">
      <c r="A191" s="44">
        <v>46080.855092592596</v>
      </c>
      <c r="B191" s="45" t="s">
        <v>2111</v>
      </c>
      <c r="C191" s="45" t="s">
        <v>78</v>
      </c>
      <c r="D191" s="45" t="s">
        <v>77</v>
      </c>
      <c r="E191" s="45" t="s">
        <v>17</v>
      </c>
      <c r="F191" s="67" t="s">
        <v>1550</v>
      </c>
      <c r="G191" s="68"/>
      <c r="H191" s="45" t="s">
        <v>7</v>
      </c>
      <c r="I191" s="46"/>
      <c r="J191" s="46"/>
      <c r="K191" s="46"/>
      <c r="L191" s="45" t="s">
        <v>7</v>
      </c>
      <c r="M191" s="45" t="s">
        <v>7</v>
      </c>
      <c r="N191" s="45" t="s">
        <v>2112</v>
      </c>
      <c r="O191" s="41" t="s">
        <v>2113</v>
      </c>
      <c r="P191" s="41" t="s">
        <v>2114</v>
      </c>
      <c r="Q191" s="41" t="s">
        <v>2115</v>
      </c>
      <c r="R191" s="45" t="s">
        <v>79</v>
      </c>
      <c r="S191" s="41" t="s">
        <v>2116</v>
      </c>
      <c r="T191" s="41" t="s">
        <v>2117</v>
      </c>
      <c r="U191" s="41" t="s">
        <v>2118</v>
      </c>
      <c r="V191" s="69" t="s">
        <v>2119</v>
      </c>
      <c r="W191" s="68"/>
    </row>
    <row r="192" spans="1:23" ht="13" x14ac:dyDescent="0.3">
      <c r="A192" s="39">
        <v>46080.862696759257</v>
      </c>
      <c r="B192" s="40" t="s">
        <v>897</v>
      </c>
      <c r="C192" s="40" t="s">
        <v>193</v>
      </c>
      <c r="D192" s="40" t="s">
        <v>192</v>
      </c>
      <c r="E192" s="40" t="s">
        <v>17</v>
      </c>
      <c r="F192" s="70" t="s">
        <v>1550</v>
      </c>
      <c r="G192" s="68"/>
      <c r="H192" s="40" t="s">
        <v>14</v>
      </c>
      <c r="I192" s="42"/>
      <c r="J192" s="42"/>
      <c r="K192" s="42"/>
      <c r="L192" s="40" t="s">
        <v>14</v>
      </c>
      <c r="M192" s="40" t="s">
        <v>14</v>
      </c>
      <c r="N192" s="40" t="s">
        <v>2120</v>
      </c>
      <c r="O192" s="41" t="s">
        <v>2121</v>
      </c>
      <c r="P192" s="41" t="s">
        <v>2122</v>
      </c>
      <c r="Q192" s="41" t="s">
        <v>2123</v>
      </c>
      <c r="R192" s="40" t="s">
        <v>2120</v>
      </c>
      <c r="S192" s="41" t="s">
        <v>2124</v>
      </c>
      <c r="T192" s="41" t="s">
        <v>2125</v>
      </c>
      <c r="U192" s="41" t="s">
        <v>2126</v>
      </c>
      <c r="V192" s="69" t="s">
        <v>2127</v>
      </c>
      <c r="W192" s="68"/>
    </row>
    <row r="193" spans="1:23" ht="13" x14ac:dyDescent="0.3">
      <c r="A193" s="44">
        <v>46080.863576388889</v>
      </c>
      <c r="B193" s="45" t="s">
        <v>852</v>
      </c>
      <c r="C193" s="45" t="s">
        <v>572</v>
      </c>
      <c r="D193" s="45" t="s">
        <v>571</v>
      </c>
      <c r="E193" s="45" t="s">
        <v>526</v>
      </c>
      <c r="F193" s="67" t="s">
        <v>1550</v>
      </c>
      <c r="G193" s="68"/>
      <c r="H193" s="45" t="s">
        <v>7</v>
      </c>
      <c r="I193" s="46"/>
      <c r="J193" s="46"/>
      <c r="K193" s="46"/>
      <c r="L193" s="45" t="s">
        <v>7</v>
      </c>
      <c r="M193" s="45" t="s">
        <v>7</v>
      </c>
      <c r="N193" s="45" t="s">
        <v>2128</v>
      </c>
      <c r="O193" s="41" t="s">
        <v>2129</v>
      </c>
      <c r="P193" s="41" t="s">
        <v>2130</v>
      </c>
      <c r="Q193" s="41" t="s">
        <v>2131</v>
      </c>
      <c r="R193" s="45" t="s">
        <v>2132</v>
      </c>
      <c r="S193" s="41" t="s">
        <v>2133</v>
      </c>
      <c r="T193" s="41" t="s">
        <v>2134</v>
      </c>
      <c r="U193" s="69" t="s">
        <v>2135</v>
      </c>
      <c r="V193" s="68"/>
      <c r="W193" s="68"/>
    </row>
    <row r="194" spans="1:23" ht="13" x14ac:dyDescent="0.3">
      <c r="A194" s="39">
        <v>46080.864398148151</v>
      </c>
      <c r="B194" s="40" t="s">
        <v>993</v>
      </c>
      <c r="C194" s="40" t="s">
        <v>90</v>
      </c>
      <c r="D194" s="40" t="s">
        <v>89</v>
      </c>
      <c r="E194" s="40" t="s">
        <v>2136</v>
      </c>
      <c r="F194" s="70" t="s">
        <v>1550</v>
      </c>
      <c r="G194" s="68"/>
      <c r="H194" s="40" t="s">
        <v>14</v>
      </c>
      <c r="I194" s="42"/>
      <c r="J194" s="42"/>
      <c r="K194" s="42"/>
      <c r="L194" s="40" t="s">
        <v>14</v>
      </c>
      <c r="M194" s="40" t="s">
        <v>14</v>
      </c>
      <c r="N194" s="40" t="s">
        <v>2137</v>
      </c>
      <c r="O194" s="41" t="s">
        <v>2138</v>
      </c>
      <c r="P194" s="41" t="s">
        <v>2139</v>
      </c>
      <c r="Q194" s="41" t="s">
        <v>2140</v>
      </c>
      <c r="R194" s="40" t="s">
        <v>2137</v>
      </c>
      <c r="S194" s="41" t="s">
        <v>2141</v>
      </c>
      <c r="T194" s="41" t="s">
        <v>2142</v>
      </c>
      <c r="U194" s="41" t="s">
        <v>2143</v>
      </c>
      <c r="V194" s="69" t="s">
        <v>2144</v>
      </c>
      <c r="W194" s="68"/>
    </row>
    <row r="195" spans="1:23" ht="13" x14ac:dyDescent="0.3">
      <c r="A195" s="44">
        <v>46080.865254629629</v>
      </c>
      <c r="B195" s="45" t="s">
        <v>736</v>
      </c>
      <c r="C195" s="45" t="s">
        <v>491</v>
      </c>
      <c r="D195" s="45" t="s">
        <v>490</v>
      </c>
      <c r="E195" s="45" t="s">
        <v>127</v>
      </c>
      <c r="F195" s="67" t="s">
        <v>1550</v>
      </c>
      <c r="G195" s="68"/>
      <c r="H195" s="45" t="s">
        <v>7</v>
      </c>
      <c r="I195" s="46"/>
      <c r="J195" s="46"/>
      <c r="K195" s="46"/>
      <c r="L195" s="45" t="s">
        <v>7</v>
      </c>
      <c r="M195" s="45" t="s">
        <v>7</v>
      </c>
      <c r="N195" s="45" t="s">
        <v>2145</v>
      </c>
      <c r="O195" s="41" t="s">
        <v>2146</v>
      </c>
      <c r="P195" s="41" t="s">
        <v>2147</v>
      </c>
      <c r="Q195" s="41" t="s">
        <v>2148</v>
      </c>
      <c r="R195" s="45" t="s">
        <v>2149</v>
      </c>
      <c r="S195" s="41" t="s">
        <v>2150</v>
      </c>
      <c r="T195" s="41" t="s">
        <v>2151</v>
      </c>
      <c r="U195" s="41" t="s">
        <v>2152</v>
      </c>
      <c r="V195" s="69" t="s">
        <v>2153</v>
      </c>
      <c r="W195" s="68"/>
    </row>
    <row r="196" spans="1:23" ht="13" x14ac:dyDescent="0.3">
      <c r="A196" s="39">
        <v>46080.870138888888</v>
      </c>
      <c r="B196" s="40" t="s">
        <v>1010</v>
      </c>
      <c r="C196" s="40" t="s">
        <v>235</v>
      </c>
      <c r="D196" s="40" t="s">
        <v>234</v>
      </c>
      <c r="E196" s="40" t="s">
        <v>6</v>
      </c>
      <c r="F196" s="70" t="s">
        <v>1550</v>
      </c>
      <c r="G196" s="68"/>
      <c r="H196" s="40" t="s">
        <v>14</v>
      </c>
      <c r="I196" s="42"/>
      <c r="J196" s="42"/>
      <c r="K196" s="42"/>
      <c r="L196" s="40" t="s">
        <v>14</v>
      </c>
      <c r="M196" s="40" t="s">
        <v>14</v>
      </c>
      <c r="N196" s="40" t="s">
        <v>2154</v>
      </c>
      <c r="O196" s="41" t="s">
        <v>2155</v>
      </c>
      <c r="P196" s="41" t="s">
        <v>2156</v>
      </c>
      <c r="Q196" s="41" t="s">
        <v>2157</v>
      </c>
      <c r="R196" s="40" t="s">
        <v>2158</v>
      </c>
      <c r="S196" s="41" t="s">
        <v>2159</v>
      </c>
      <c r="T196" s="41" t="s">
        <v>2160</v>
      </c>
      <c r="U196" s="41" t="s">
        <v>2161</v>
      </c>
      <c r="V196" s="69" t="s">
        <v>2162</v>
      </c>
      <c r="W196" s="68"/>
    </row>
    <row r="197" spans="1:23" ht="13" x14ac:dyDescent="0.3">
      <c r="A197" s="44">
        <v>46080.870648148149</v>
      </c>
      <c r="B197" s="45" t="s">
        <v>898</v>
      </c>
      <c r="C197" s="45" t="s">
        <v>211</v>
      </c>
      <c r="D197" s="45" t="s">
        <v>210</v>
      </c>
      <c r="E197" s="45" t="s">
        <v>17</v>
      </c>
      <c r="F197" s="67" t="s">
        <v>1550</v>
      </c>
      <c r="G197" s="68"/>
      <c r="H197" s="45" t="s">
        <v>14</v>
      </c>
      <c r="I197" s="46"/>
      <c r="J197" s="46"/>
      <c r="K197" s="46"/>
      <c r="L197" s="45" t="s">
        <v>14</v>
      </c>
      <c r="M197" s="45" t="s">
        <v>14</v>
      </c>
      <c r="N197" s="45" t="s">
        <v>2163</v>
      </c>
      <c r="O197" s="41" t="s">
        <v>2164</v>
      </c>
      <c r="P197" s="41" t="s">
        <v>2165</v>
      </c>
      <c r="Q197" s="41" t="s">
        <v>2166</v>
      </c>
      <c r="R197" s="45" t="s">
        <v>2167</v>
      </c>
      <c r="S197" s="41" t="s">
        <v>2168</v>
      </c>
      <c r="T197" s="41" t="s">
        <v>2169</v>
      </c>
      <c r="U197" s="41" t="s">
        <v>2170</v>
      </c>
      <c r="V197" s="69" t="s">
        <v>2171</v>
      </c>
      <c r="W197" s="68"/>
    </row>
    <row r="198" spans="1:23" ht="13" x14ac:dyDescent="0.3">
      <c r="A198" s="39">
        <v>46080.875509259262</v>
      </c>
      <c r="B198" s="40" t="s">
        <v>940</v>
      </c>
      <c r="C198" s="40" t="s">
        <v>379</v>
      </c>
      <c r="D198" s="40" t="s">
        <v>378</v>
      </c>
      <c r="E198" s="40" t="s">
        <v>17</v>
      </c>
      <c r="F198" s="70" t="s">
        <v>1550</v>
      </c>
      <c r="G198" s="68"/>
      <c r="H198" s="40" t="s">
        <v>7</v>
      </c>
      <c r="I198" s="42"/>
      <c r="J198" s="42"/>
      <c r="K198" s="42"/>
      <c r="L198" s="40" t="s">
        <v>7</v>
      </c>
      <c r="M198" s="40" t="s">
        <v>7</v>
      </c>
      <c r="N198" s="40" t="s">
        <v>2172</v>
      </c>
      <c r="O198" s="41" t="s">
        <v>2173</v>
      </c>
      <c r="P198" s="41" t="s">
        <v>2174</v>
      </c>
      <c r="Q198" s="41" t="s">
        <v>2175</v>
      </c>
      <c r="R198" s="40" t="s">
        <v>380</v>
      </c>
      <c r="S198" s="41" t="s">
        <v>2176</v>
      </c>
      <c r="T198" s="41" t="s">
        <v>2177</v>
      </c>
      <c r="U198" s="41" t="s">
        <v>2178</v>
      </c>
      <c r="V198" s="69" t="s">
        <v>2179</v>
      </c>
      <c r="W198" s="68"/>
    </row>
    <row r="199" spans="1:23" ht="13" x14ac:dyDescent="0.3">
      <c r="A199" s="44">
        <v>46080.887789351851</v>
      </c>
      <c r="B199" s="45" t="s">
        <v>997</v>
      </c>
      <c r="C199" s="45" t="s">
        <v>2180</v>
      </c>
      <c r="D199" s="45" t="s">
        <v>111</v>
      </c>
      <c r="E199" s="45" t="s">
        <v>6</v>
      </c>
      <c r="F199" s="67" t="s">
        <v>1550</v>
      </c>
      <c r="G199" s="68"/>
      <c r="H199" s="45" t="s">
        <v>7</v>
      </c>
      <c r="I199" s="46"/>
      <c r="J199" s="46"/>
      <c r="K199" s="46"/>
      <c r="L199" s="45" t="s">
        <v>7</v>
      </c>
      <c r="M199" s="45" t="s">
        <v>7</v>
      </c>
      <c r="N199" s="45" t="s">
        <v>112</v>
      </c>
      <c r="O199" s="41" t="s">
        <v>2181</v>
      </c>
      <c r="P199" s="41" t="s">
        <v>2182</v>
      </c>
      <c r="Q199" s="41" t="s">
        <v>2183</v>
      </c>
      <c r="R199" s="45" t="s">
        <v>112</v>
      </c>
      <c r="S199" s="41" t="s">
        <v>2184</v>
      </c>
      <c r="T199" s="41" t="s">
        <v>2185</v>
      </c>
      <c r="U199" s="41" t="s">
        <v>2186</v>
      </c>
      <c r="V199" s="69" t="s">
        <v>2187</v>
      </c>
      <c r="W199" s="68"/>
    </row>
    <row r="200" spans="1:23" ht="13" x14ac:dyDescent="0.3">
      <c r="A200" s="39">
        <v>46080.890462962961</v>
      </c>
      <c r="B200" s="40" t="s">
        <v>962</v>
      </c>
      <c r="C200" s="40" t="s">
        <v>57</v>
      </c>
      <c r="D200" s="40" t="s">
        <v>56</v>
      </c>
      <c r="E200" s="40" t="s">
        <v>17</v>
      </c>
      <c r="F200" s="70" t="s">
        <v>1550</v>
      </c>
      <c r="G200" s="68"/>
      <c r="H200" s="40" t="s">
        <v>14</v>
      </c>
      <c r="I200" s="42"/>
      <c r="J200" s="42"/>
      <c r="K200" s="42"/>
      <c r="L200" s="40" t="s">
        <v>14</v>
      </c>
      <c r="M200" s="40" t="s">
        <v>14</v>
      </c>
      <c r="N200" s="40" t="s">
        <v>58</v>
      </c>
      <c r="O200" s="41" t="s">
        <v>2188</v>
      </c>
      <c r="P200" s="41" t="s">
        <v>2189</v>
      </c>
      <c r="Q200" s="41" t="s">
        <v>2190</v>
      </c>
      <c r="R200" s="40" t="s">
        <v>58</v>
      </c>
      <c r="S200" s="41" t="s">
        <v>2191</v>
      </c>
      <c r="T200" s="41" t="s">
        <v>2192</v>
      </c>
      <c r="U200" s="41" t="s">
        <v>2193</v>
      </c>
      <c r="V200" s="69" t="s">
        <v>2194</v>
      </c>
      <c r="W200" s="68"/>
    </row>
    <row r="201" spans="1:23" ht="13" x14ac:dyDescent="0.3">
      <c r="A201" s="44">
        <v>46080.892951388887</v>
      </c>
      <c r="B201" s="45" t="s">
        <v>744</v>
      </c>
      <c r="C201" s="50" t="s">
        <v>523</v>
      </c>
      <c r="D201" s="45" t="s">
        <v>522</v>
      </c>
      <c r="E201" s="45" t="s">
        <v>127</v>
      </c>
      <c r="F201" s="67" t="s">
        <v>1550</v>
      </c>
      <c r="G201" s="68"/>
      <c r="H201" s="45" t="s">
        <v>14</v>
      </c>
      <c r="I201" s="46"/>
      <c r="J201" s="46"/>
      <c r="K201" s="46"/>
      <c r="L201" s="45" t="s">
        <v>14</v>
      </c>
      <c r="M201" s="45" t="s">
        <v>14</v>
      </c>
      <c r="N201" s="45" t="s">
        <v>2195</v>
      </c>
      <c r="O201" s="41" t="s">
        <v>2196</v>
      </c>
      <c r="P201" s="41" t="s">
        <v>2197</v>
      </c>
      <c r="Q201" s="41" t="s">
        <v>2198</v>
      </c>
      <c r="R201" s="45" t="s">
        <v>2195</v>
      </c>
      <c r="S201" s="41" t="s">
        <v>2199</v>
      </c>
      <c r="T201" s="41" t="s">
        <v>2200</v>
      </c>
      <c r="U201" s="69" t="s">
        <v>2201</v>
      </c>
      <c r="V201" s="68"/>
      <c r="W201" s="68"/>
    </row>
    <row r="202" spans="1:23" ht="13" x14ac:dyDescent="0.3">
      <c r="A202" s="39">
        <v>46080.902650462966</v>
      </c>
      <c r="B202" s="40" t="s">
        <v>739</v>
      </c>
      <c r="C202" s="40" t="s">
        <v>513</v>
      </c>
      <c r="D202" s="40" t="s">
        <v>512</v>
      </c>
      <c r="E202" s="40" t="s">
        <v>1241</v>
      </c>
      <c r="F202" s="70" t="s">
        <v>1550</v>
      </c>
      <c r="G202" s="68"/>
      <c r="H202" s="40" t="s">
        <v>14</v>
      </c>
      <c r="I202" s="42"/>
      <c r="J202" s="42"/>
      <c r="K202" s="42"/>
      <c r="L202" s="40" t="s">
        <v>14</v>
      </c>
      <c r="M202" s="40" t="s">
        <v>14</v>
      </c>
      <c r="N202" s="40" t="s">
        <v>2202</v>
      </c>
      <c r="O202" s="41" t="s">
        <v>2203</v>
      </c>
      <c r="P202" s="41" t="s">
        <v>2204</v>
      </c>
      <c r="Q202" s="41" t="s">
        <v>2205</v>
      </c>
      <c r="R202" s="40" t="s">
        <v>2202</v>
      </c>
      <c r="S202" s="41" t="s">
        <v>2206</v>
      </c>
      <c r="T202" s="41" t="s">
        <v>2207</v>
      </c>
      <c r="U202" s="41" t="s">
        <v>2208</v>
      </c>
      <c r="V202" s="69" t="s">
        <v>2209</v>
      </c>
      <c r="W202" s="68"/>
    </row>
    <row r="203" spans="1:23" ht="13" x14ac:dyDescent="0.3">
      <c r="A203" s="44">
        <v>46080.906145833331</v>
      </c>
      <c r="B203" s="45" t="s">
        <v>912</v>
      </c>
      <c r="C203" s="45" t="s">
        <v>201</v>
      </c>
      <c r="D203" s="45" t="s">
        <v>200</v>
      </c>
      <c r="E203" s="45" t="s">
        <v>17</v>
      </c>
      <c r="F203" s="67" t="s">
        <v>1550</v>
      </c>
      <c r="G203" s="68"/>
      <c r="H203" s="45" t="s">
        <v>14</v>
      </c>
      <c r="I203" s="46"/>
      <c r="J203" s="46"/>
      <c r="K203" s="46"/>
      <c r="L203" s="45" t="s">
        <v>14</v>
      </c>
      <c r="M203" s="45" t="s">
        <v>14</v>
      </c>
      <c r="N203" s="67" t="s">
        <v>2210</v>
      </c>
      <c r="O203" s="68"/>
      <c r="P203" s="68"/>
      <c r="Q203" s="41" t="s">
        <v>2211</v>
      </c>
      <c r="R203" s="45" t="s">
        <v>2210</v>
      </c>
      <c r="S203" s="41" t="s">
        <v>2212</v>
      </c>
      <c r="T203" s="41" t="s">
        <v>2213</v>
      </c>
      <c r="U203" s="41" t="s">
        <v>2214</v>
      </c>
      <c r="V203" s="69" t="s">
        <v>2215</v>
      </c>
      <c r="W203" s="68"/>
    </row>
    <row r="204" spans="1:23" ht="13" x14ac:dyDescent="0.3">
      <c r="A204" s="39">
        <v>46080.910902777781</v>
      </c>
      <c r="B204" s="40" t="s">
        <v>933</v>
      </c>
      <c r="C204" s="40" t="s">
        <v>249</v>
      </c>
      <c r="D204" s="40" t="s">
        <v>248</v>
      </c>
      <c r="E204" s="40" t="s">
        <v>17</v>
      </c>
      <c r="F204" s="70" t="s">
        <v>1550</v>
      </c>
      <c r="G204" s="68"/>
      <c r="H204" s="40" t="s">
        <v>14</v>
      </c>
      <c r="I204" s="42"/>
      <c r="J204" s="42"/>
      <c r="K204" s="42"/>
      <c r="L204" s="40" t="s">
        <v>14</v>
      </c>
      <c r="M204" s="40" t="s">
        <v>14</v>
      </c>
      <c r="N204" s="40" t="s">
        <v>2216</v>
      </c>
      <c r="O204" s="41" t="s">
        <v>2217</v>
      </c>
      <c r="P204" s="41" t="s">
        <v>2218</v>
      </c>
      <c r="Q204" s="41" t="s">
        <v>2219</v>
      </c>
      <c r="R204" s="40" t="s">
        <v>2220</v>
      </c>
      <c r="S204" s="41" t="s">
        <v>2221</v>
      </c>
      <c r="T204" s="41" t="s">
        <v>2222</v>
      </c>
      <c r="U204" s="41" t="s">
        <v>2223</v>
      </c>
      <c r="V204" s="69" t="s">
        <v>2224</v>
      </c>
      <c r="W204" s="68"/>
    </row>
    <row r="205" spans="1:23" ht="13" x14ac:dyDescent="0.3">
      <c r="A205" s="44">
        <v>46080.915914351855</v>
      </c>
      <c r="B205" s="45" t="s">
        <v>877</v>
      </c>
      <c r="C205" s="45" t="s">
        <v>81</v>
      </c>
      <c r="D205" s="45" t="s">
        <v>80</v>
      </c>
      <c r="E205" s="45" t="s">
        <v>17</v>
      </c>
      <c r="F205" s="67" t="s">
        <v>1550</v>
      </c>
      <c r="G205" s="68"/>
      <c r="H205" s="45" t="s">
        <v>14</v>
      </c>
      <c r="I205" s="46"/>
      <c r="J205" s="46"/>
      <c r="K205" s="46"/>
      <c r="L205" s="45" t="s">
        <v>14</v>
      </c>
      <c r="M205" s="45" t="s">
        <v>14</v>
      </c>
      <c r="N205" s="67" t="s">
        <v>2225</v>
      </c>
      <c r="O205" s="68"/>
      <c r="P205" s="68"/>
      <c r="Q205" s="41" t="s">
        <v>2226</v>
      </c>
      <c r="R205" s="45" t="s">
        <v>2225</v>
      </c>
      <c r="S205" s="41" t="s">
        <v>2227</v>
      </c>
      <c r="T205" s="41" t="s">
        <v>2228</v>
      </c>
      <c r="U205" s="41" t="s">
        <v>2229</v>
      </c>
      <c r="V205" s="69" t="s">
        <v>2230</v>
      </c>
      <c r="W205" s="68"/>
    </row>
    <row r="206" spans="1:23" ht="13" x14ac:dyDescent="0.3">
      <c r="A206" s="39">
        <v>46080.937835648147</v>
      </c>
      <c r="B206" s="40" t="s">
        <v>1013</v>
      </c>
      <c r="C206" s="40" t="s">
        <v>144</v>
      </c>
      <c r="D206" s="40" t="s">
        <v>143</v>
      </c>
      <c r="E206" s="40" t="s">
        <v>6</v>
      </c>
      <c r="F206" s="70" t="s">
        <v>1550</v>
      </c>
      <c r="G206" s="68"/>
      <c r="H206" s="40" t="s">
        <v>7</v>
      </c>
      <c r="I206" s="42"/>
      <c r="J206" s="42"/>
      <c r="K206" s="42"/>
      <c r="L206" s="40" t="s">
        <v>7</v>
      </c>
      <c r="M206" s="40" t="s">
        <v>14</v>
      </c>
      <c r="N206" s="40" t="s">
        <v>2231</v>
      </c>
      <c r="O206" s="41" t="s">
        <v>2232</v>
      </c>
      <c r="P206" s="41" t="s">
        <v>2233</v>
      </c>
      <c r="Q206" s="41" t="s">
        <v>2234</v>
      </c>
      <c r="R206" s="40" t="s">
        <v>145</v>
      </c>
      <c r="S206" s="41" t="s">
        <v>2235</v>
      </c>
      <c r="T206" s="41" t="s">
        <v>2236</v>
      </c>
      <c r="U206" s="41" t="s">
        <v>2237</v>
      </c>
      <c r="V206" s="69" t="s">
        <v>2238</v>
      </c>
      <c r="W206" s="68"/>
    </row>
    <row r="207" spans="1:23" ht="13" x14ac:dyDescent="0.3">
      <c r="A207" s="44">
        <v>46080.940312500003</v>
      </c>
      <c r="B207" s="45" t="s">
        <v>1017</v>
      </c>
      <c r="C207" s="45" t="s">
        <v>168</v>
      </c>
      <c r="D207" s="45" t="s">
        <v>167</v>
      </c>
      <c r="E207" s="45" t="s">
        <v>6</v>
      </c>
      <c r="F207" s="67" t="s">
        <v>1550</v>
      </c>
      <c r="G207" s="68"/>
      <c r="H207" s="45" t="s">
        <v>14</v>
      </c>
      <c r="I207" s="46"/>
      <c r="J207" s="46"/>
      <c r="K207" s="46"/>
      <c r="L207" s="45" t="s">
        <v>14</v>
      </c>
      <c r="M207" s="45" t="s">
        <v>14</v>
      </c>
      <c r="N207" s="45" t="s">
        <v>2239</v>
      </c>
      <c r="O207" s="41" t="s">
        <v>2240</v>
      </c>
      <c r="P207" s="41" t="s">
        <v>2241</v>
      </c>
      <c r="Q207" s="41" t="s">
        <v>2242</v>
      </c>
      <c r="R207" s="45" t="s">
        <v>2243</v>
      </c>
      <c r="S207" s="41" t="s">
        <v>2244</v>
      </c>
      <c r="T207" s="41" t="s">
        <v>2245</v>
      </c>
      <c r="U207" s="69" t="s">
        <v>2246</v>
      </c>
      <c r="V207" s="68"/>
      <c r="W207" s="68"/>
    </row>
    <row r="208" spans="1:23" ht="13" x14ac:dyDescent="0.3">
      <c r="A208" s="39">
        <v>46080.944328703707</v>
      </c>
      <c r="B208" s="40" t="s">
        <v>980</v>
      </c>
      <c r="C208" s="40" t="s">
        <v>41</v>
      </c>
      <c r="D208" s="40" t="s">
        <v>40</v>
      </c>
      <c r="E208" s="40" t="s">
        <v>2247</v>
      </c>
      <c r="F208" s="70" t="s">
        <v>1550</v>
      </c>
      <c r="G208" s="68"/>
      <c r="H208" s="40" t="s">
        <v>14</v>
      </c>
      <c r="I208" s="42"/>
      <c r="J208" s="42"/>
      <c r="K208" s="42"/>
      <c r="L208" s="40" t="s">
        <v>14</v>
      </c>
      <c r="M208" s="40" t="s">
        <v>14</v>
      </c>
      <c r="N208" s="40" t="s">
        <v>2248</v>
      </c>
      <c r="O208" s="41" t="s">
        <v>2249</v>
      </c>
      <c r="P208" s="41" t="s">
        <v>2250</v>
      </c>
      <c r="Q208" s="41" t="s">
        <v>2251</v>
      </c>
      <c r="R208" s="40" t="s">
        <v>2252</v>
      </c>
      <c r="S208" s="41" t="s">
        <v>2253</v>
      </c>
      <c r="T208" s="41" t="s">
        <v>2254</v>
      </c>
      <c r="U208" s="41" t="s">
        <v>2255</v>
      </c>
      <c r="V208" s="69" t="s">
        <v>2256</v>
      </c>
      <c r="W208" s="68"/>
    </row>
    <row r="209" spans="1:23" ht="13" x14ac:dyDescent="0.3">
      <c r="A209" s="44">
        <v>46080.944490740738</v>
      </c>
      <c r="B209" s="45" t="s">
        <v>883</v>
      </c>
      <c r="C209" s="45" t="s">
        <v>83</v>
      </c>
      <c r="D209" s="45" t="s">
        <v>82</v>
      </c>
      <c r="E209" s="45" t="s">
        <v>17</v>
      </c>
      <c r="F209" s="67" t="s">
        <v>1550</v>
      </c>
      <c r="G209" s="68"/>
      <c r="H209" s="45" t="s">
        <v>7</v>
      </c>
      <c r="I209" s="46"/>
      <c r="J209" s="46"/>
      <c r="K209" s="46"/>
      <c r="L209" s="45" t="s">
        <v>7</v>
      </c>
      <c r="M209" s="45" t="s">
        <v>14</v>
      </c>
      <c r="N209" s="45" t="s">
        <v>2257</v>
      </c>
      <c r="O209" s="41" t="s">
        <v>2258</v>
      </c>
      <c r="P209" s="41" t="s">
        <v>2259</v>
      </c>
      <c r="Q209" s="41" t="s">
        <v>2260</v>
      </c>
      <c r="R209" s="45" t="s">
        <v>2261</v>
      </c>
      <c r="S209" s="41" t="s">
        <v>2262</v>
      </c>
      <c r="T209" s="41" t="s">
        <v>2263</v>
      </c>
      <c r="U209" s="41" t="s">
        <v>2264</v>
      </c>
      <c r="V209" s="69" t="s">
        <v>2265</v>
      </c>
      <c r="W209" s="68"/>
    </row>
    <row r="210" spans="1:23" ht="13" x14ac:dyDescent="0.3">
      <c r="A210" s="39">
        <v>46080.945462962962</v>
      </c>
      <c r="B210" s="40" t="s">
        <v>1021</v>
      </c>
      <c r="C210" s="40" t="s">
        <v>365</v>
      </c>
      <c r="D210" s="40" t="s">
        <v>364</v>
      </c>
      <c r="E210" s="40" t="s">
        <v>6</v>
      </c>
      <c r="F210" s="70" t="s">
        <v>1550</v>
      </c>
      <c r="G210" s="68"/>
      <c r="H210" s="40" t="s">
        <v>14</v>
      </c>
      <c r="I210" s="42"/>
      <c r="J210" s="42"/>
      <c r="K210" s="42"/>
      <c r="L210" s="40" t="s">
        <v>14</v>
      </c>
      <c r="M210" s="40" t="s">
        <v>14</v>
      </c>
      <c r="N210" s="40" t="s">
        <v>366</v>
      </c>
      <c r="O210" s="41" t="s">
        <v>2266</v>
      </c>
      <c r="P210" s="41" t="s">
        <v>2267</v>
      </c>
      <c r="Q210" s="41" t="s">
        <v>2268</v>
      </c>
      <c r="R210" s="40" t="s">
        <v>2269</v>
      </c>
      <c r="S210" s="41" t="s">
        <v>2270</v>
      </c>
      <c r="T210" s="41" t="s">
        <v>2271</v>
      </c>
      <c r="U210" s="41" t="s">
        <v>2272</v>
      </c>
      <c r="V210" s="69" t="s">
        <v>2273</v>
      </c>
      <c r="W210" s="68"/>
    </row>
    <row r="211" spans="1:23" ht="13" x14ac:dyDescent="0.3">
      <c r="A211" s="44">
        <v>46080.945787037039</v>
      </c>
      <c r="B211" s="45" t="s">
        <v>2274</v>
      </c>
      <c r="C211" s="45" t="s">
        <v>71</v>
      </c>
      <c r="D211" s="45" t="s">
        <v>70</v>
      </c>
      <c r="E211" s="45" t="s">
        <v>72</v>
      </c>
      <c r="F211" s="67" t="s">
        <v>1550</v>
      </c>
      <c r="G211" s="68"/>
      <c r="H211" s="45" t="s">
        <v>7</v>
      </c>
      <c r="I211" s="46"/>
      <c r="J211" s="46"/>
      <c r="K211" s="46"/>
      <c r="L211" s="45" t="s">
        <v>7</v>
      </c>
      <c r="M211" s="45" t="s">
        <v>7</v>
      </c>
      <c r="N211" s="45" t="s">
        <v>2275</v>
      </c>
      <c r="O211" s="41" t="s">
        <v>2276</v>
      </c>
      <c r="P211" s="41" t="s">
        <v>2277</v>
      </c>
      <c r="Q211" s="41" t="s">
        <v>2278</v>
      </c>
      <c r="R211" s="45" t="s">
        <v>73</v>
      </c>
      <c r="S211" s="41" t="s">
        <v>2279</v>
      </c>
      <c r="T211" s="41" t="s">
        <v>2280</v>
      </c>
      <c r="U211" s="41" t="s">
        <v>2281</v>
      </c>
      <c r="V211" s="69" t="s">
        <v>2282</v>
      </c>
      <c r="W211" s="68"/>
    </row>
    <row r="212" spans="1:23" ht="13" x14ac:dyDescent="0.3">
      <c r="A212" s="39">
        <v>46080.953773148147</v>
      </c>
      <c r="B212" s="40" t="s">
        <v>928</v>
      </c>
      <c r="C212" s="40" t="s">
        <v>247</v>
      </c>
      <c r="D212" s="40" t="s">
        <v>246</v>
      </c>
      <c r="E212" s="40" t="s">
        <v>17</v>
      </c>
      <c r="F212" s="70" t="s">
        <v>1550</v>
      </c>
      <c r="G212" s="68"/>
      <c r="H212" s="40" t="s">
        <v>14</v>
      </c>
      <c r="I212" s="42"/>
      <c r="J212" s="42"/>
      <c r="K212" s="42"/>
      <c r="L212" s="40" t="s">
        <v>14</v>
      </c>
      <c r="M212" s="40" t="s">
        <v>14</v>
      </c>
      <c r="N212" s="40" t="s">
        <v>2283</v>
      </c>
      <c r="O212" s="41" t="s">
        <v>2284</v>
      </c>
      <c r="P212" s="41" t="s">
        <v>2285</v>
      </c>
      <c r="Q212" s="41" t="s">
        <v>2286</v>
      </c>
      <c r="R212" s="40" t="s">
        <v>2287</v>
      </c>
      <c r="S212" s="41" t="s">
        <v>2288</v>
      </c>
      <c r="T212" s="41" t="s">
        <v>2289</v>
      </c>
      <c r="U212" s="41" t="s">
        <v>2290</v>
      </c>
      <c r="V212" s="69" t="s">
        <v>2291</v>
      </c>
      <c r="W212" s="68"/>
    </row>
    <row r="213" spans="1:23" ht="13" x14ac:dyDescent="0.3">
      <c r="A213" s="44">
        <v>46080.956354166665</v>
      </c>
      <c r="B213" s="45" t="s">
        <v>990</v>
      </c>
      <c r="C213" s="45" t="s">
        <v>163</v>
      </c>
      <c r="D213" s="45" t="s">
        <v>162</v>
      </c>
      <c r="E213" s="45" t="s">
        <v>6</v>
      </c>
      <c r="F213" s="67" t="s">
        <v>1550</v>
      </c>
      <c r="G213" s="68"/>
      <c r="H213" s="45" t="s">
        <v>7</v>
      </c>
      <c r="I213" s="46"/>
      <c r="J213" s="46"/>
      <c r="K213" s="46"/>
      <c r="L213" s="45" t="s">
        <v>7</v>
      </c>
      <c r="M213" s="45" t="s">
        <v>14</v>
      </c>
      <c r="N213" s="45" t="s">
        <v>2292</v>
      </c>
      <c r="O213" s="41" t="s">
        <v>2293</v>
      </c>
      <c r="P213" s="41" t="s">
        <v>2294</v>
      </c>
      <c r="Q213" s="41" t="s">
        <v>2295</v>
      </c>
      <c r="R213" s="45" t="s">
        <v>164</v>
      </c>
      <c r="S213" s="41" t="s">
        <v>2296</v>
      </c>
      <c r="T213" s="41" t="s">
        <v>2297</v>
      </c>
      <c r="U213" s="41" t="s">
        <v>2298</v>
      </c>
      <c r="V213" s="69" t="s">
        <v>2299</v>
      </c>
      <c r="W213" s="68"/>
    </row>
    <row r="214" spans="1:23" ht="13" x14ac:dyDescent="0.3">
      <c r="A214" s="39">
        <v>46080.970057870371</v>
      </c>
      <c r="B214" s="40" t="s">
        <v>966</v>
      </c>
      <c r="C214" s="40" t="s">
        <v>389</v>
      </c>
      <c r="D214" s="40" t="s">
        <v>388</v>
      </c>
      <c r="E214" s="51">
        <v>414</v>
      </c>
      <c r="F214" s="70" t="s">
        <v>1550</v>
      </c>
      <c r="G214" s="68"/>
      <c r="H214" s="40" t="s">
        <v>7</v>
      </c>
      <c r="I214" s="42"/>
      <c r="J214" s="42"/>
      <c r="K214" s="42"/>
      <c r="L214" s="40" t="s">
        <v>7</v>
      </c>
      <c r="M214" s="40" t="s">
        <v>7</v>
      </c>
      <c r="N214" s="40" t="s">
        <v>2300</v>
      </c>
      <c r="O214" s="41" t="s">
        <v>2301</v>
      </c>
      <c r="P214" s="41" t="s">
        <v>2302</v>
      </c>
      <c r="Q214" s="41" t="s">
        <v>2303</v>
      </c>
      <c r="R214" s="40" t="s">
        <v>2300</v>
      </c>
      <c r="S214" s="41" t="s">
        <v>2304</v>
      </c>
      <c r="T214" s="41" t="s">
        <v>2305</v>
      </c>
      <c r="U214" s="41" t="s">
        <v>2306</v>
      </c>
      <c r="V214" s="69" t="s">
        <v>2307</v>
      </c>
      <c r="W214" s="68"/>
    </row>
    <row r="215" spans="1:23" ht="13" x14ac:dyDescent="0.3">
      <c r="A215" s="44">
        <v>46080.971689814818</v>
      </c>
      <c r="B215" s="45" t="s">
        <v>899</v>
      </c>
      <c r="C215" s="45" t="s">
        <v>39</v>
      </c>
      <c r="D215" s="45" t="s">
        <v>38</v>
      </c>
      <c r="E215" s="45" t="s">
        <v>17</v>
      </c>
      <c r="F215" s="67" t="s">
        <v>1550</v>
      </c>
      <c r="G215" s="68"/>
      <c r="H215" s="45" t="s">
        <v>14</v>
      </c>
      <c r="I215" s="46"/>
      <c r="J215" s="46"/>
      <c r="K215" s="46"/>
      <c r="L215" s="45" t="s">
        <v>14</v>
      </c>
      <c r="M215" s="45" t="s">
        <v>14</v>
      </c>
      <c r="N215" s="45" t="s">
        <v>2308</v>
      </c>
      <c r="O215" s="41" t="s">
        <v>2309</v>
      </c>
      <c r="P215" s="41" t="s">
        <v>2310</v>
      </c>
      <c r="Q215" s="41" t="s">
        <v>2311</v>
      </c>
      <c r="R215" s="45" t="s">
        <v>2312</v>
      </c>
      <c r="S215" s="41" t="s">
        <v>2313</v>
      </c>
      <c r="T215" s="41" t="s">
        <v>2314</v>
      </c>
      <c r="U215" s="41" t="s">
        <v>2315</v>
      </c>
      <c r="V215" s="69" t="s">
        <v>2316</v>
      </c>
      <c r="W215" s="68"/>
    </row>
    <row r="216" spans="1:23" ht="13" x14ac:dyDescent="0.3">
      <c r="A216" s="39">
        <v>46080.974710648145</v>
      </c>
      <c r="B216" s="40" t="s">
        <v>901</v>
      </c>
      <c r="C216" s="40" t="s">
        <v>213</v>
      </c>
      <c r="D216" s="40" t="s">
        <v>212</v>
      </c>
      <c r="E216" s="40" t="s">
        <v>17</v>
      </c>
      <c r="F216" s="70" t="s">
        <v>1550</v>
      </c>
      <c r="G216" s="68"/>
      <c r="H216" s="40" t="s">
        <v>7</v>
      </c>
      <c r="I216" s="42"/>
      <c r="J216" s="42"/>
      <c r="K216" s="42"/>
      <c r="L216" s="40" t="s">
        <v>7</v>
      </c>
      <c r="M216" s="40" t="s">
        <v>7</v>
      </c>
      <c r="N216" s="40" t="s">
        <v>2317</v>
      </c>
      <c r="O216" s="41" t="s">
        <v>2318</v>
      </c>
      <c r="P216" s="41" t="s">
        <v>2319</v>
      </c>
      <c r="Q216" s="41" t="s">
        <v>2320</v>
      </c>
      <c r="R216" s="40" t="s">
        <v>2317</v>
      </c>
      <c r="S216" s="41" t="s">
        <v>2321</v>
      </c>
      <c r="T216" s="41" t="s">
        <v>2322</v>
      </c>
      <c r="U216" s="41" t="s">
        <v>2323</v>
      </c>
      <c r="V216" s="69" t="s">
        <v>2324</v>
      </c>
      <c r="W216" s="68"/>
    </row>
    <row r="217" spans="1:23" ht="13" x14ac:dyDescent="0.3">
      <c r="A217" s="44">
        <v>46080.975347222222</v>
      </c>
      <c r="B217" s="45" t="s">
        <v>951</v>
      </c>
      <c r="C217" s="45" t="s">
        <v>298</v>
      </c>
      <c r="D217" s="45" t="s">
        <v>297</v>
      </c>
      <c r="E217" s="45" t="s">
        <v>17</v>
      </c>
      <c r="F217" s="67" t="s">
        <v>1550</v>
      </c>
      <c r="G217" s="68"/>
      <c r="H217" s="45" t="s">
        <v>14</v>
      </c>
      <c r="I217" s="46"/>
      <c r="J217" s="46"/>
      <c r="K217" s="46"/>
      <c r="L217" s="45" t="s">
        <v>14</v>
      </c>
      <c r="M217" s="45" t="s">
        <v>14</v>
      </c>
      <c r="N217" s="45" t="s">
        <v>2325</v>
      </c>
      <c r="O217" s="41" t="s">
        <v>2326</v>
      </c>
      <c r="P217" s="41" t="s">
        <v>2327</v>
      </c>
      <c r="Q217" s="41" t="s">
        <v>2328</v>
      </c>
      <c r="R217" s="45" t="s">
        <v>2329</v>
      </c>
      <c r="S217" s="41" t="s">
        <v>2330</v>
      </c>
      <c r="T217" s="41" t="s">
        <v>2331</v>
      </c>
      <c r="U217" s="41" t="s">
        <v>2332</v>
      </c>
      <c r="V217" s="69" t="s">
        <v>2333</v>
      </c>
      <c r="W217" s="68"/>
    </row>
    <row r="218" spans="1:23" ht="13" x14ac:dyDescent="0.3">
      <c r="A218" s="39">
        <v>46080.97556712963</v>
      </c>
      <c r="B218" s="40" t="s">
        <v>794</v>
      </c>
      <c r="C218" s="40" t="s">
        <v>422</v>
      </c>
      <c r="D218" s="40" t="s">
        <v>421</v>
      </c>
      <c r="E218" s="40" t="s">
        <v>28</v>
      </c>
      <c r="F218" s="70" t="s">
        <v>1550</v>
      </c>
      <c r="G218" s="68"/>
      <c r="H218" s="40" t="s">
        <v>14</v>
      </c>
      <c r="I218" s="42"/>
      <c r="J218" s="42"/>
      <c r="K218" s="42"/>
      <c r="L218" s="40" t="s">
        <v>14</v>
      </c>
      <c r="M218" s="40" t="s">
        <v>14</v>
      </c>
      <c r="N218" s="40" t="s">
        <v>2334</v>
      </c>
      <c r="O218" s="41" t="s">
        <v>2335</v>
      </c>
      <c r="P218" s="41" t="s">
        <v>2336</v>
      </c>
      <c r="Q218" s="41" t="s">
        <v>2337</v>
      </c>
      <c r="R218" s="40" t="s">
        <v>423</v>
      </c>
      <c r="S218" s="41" t="s">
        <v>2338</v>
      </c>
      <c r="T218" s="41" t="s">
        <v>2339</v>
      </c>
      <c r="U218" s="69" t="s">
        <v>2340</v>
      </c>
      <c r="V218" s="68"/>
      <c r="W218" s="68"/>
    </row>
    <row r="219" spans="1:23" ht="13" x14ac:dyDescent="0.3">
      <c r="A219" s="44">
        <v>46080.975868055553</v>
      </c>
      <c r="B219" s="45" t="s">
        <v>773</v>
      </c>
      <c r="C219" s="45" t="s">
        <v>400</v>
      </c>
      <c r="D219" s="45" t="s">
        <v>399</v>
      </c>
      <c r="E219" s="45" t="s">
        <v>28</v>
      </c>
      <c r="F219" s="67" t="s">
        <v>1550</v>
      </c>
      <c r="G219" s="68"/>
      <c r="H219" s="45" t="s">
        <v>7</v>
      </c>
      <c r="I219" s="46"/>
      <c r="J219" s="46"/>
      <c r="K219" s="46"/>
      <c r="L219" s="45" t="s">
        <v>7</v>
      </c>
      <c r="M219" s="45" t="s">
        <v>7</v>
      </c>
      <c r="N219" s="45" t="s">
        <v>2341</v>
      </c>
      <c r="O219" s="41" t="s">
        <v>2342</v>
      </c>
      <c r="P219" s="41" t="s">
        <v>2343</v>
      </c>
      <c r="Q219" s="41" t="s">
        <v>2344</v>
      </c>
      <c r="R219" s="45" t="s">
        <v>2341</v>
      </c>
      <c r="S219" s="41" t="s">
        <v>2345</v>
      </c>
      <c r="T219" s="41" t="s">
        <v>2346</v>
      </c>
      <c r="U219" s="69" t="s">
        <v>2347</v>
      </c>
      <c r="V219" s="68"/>
      <c r="W219" s="68"/>
    </row>
    <row r="220" spans="1:23" ht="13" x14ac:dyDescent="0.3">
      <c r="A220" s="39">
        <v>46080.976157407407</v>
      </c>
      <c r="B220" s="40" t="s">
        <v>860</v>
      </c>
      <c r="C220" s="40" t="s">
        <v>552</v>
      </c>
      <c r="D220" s="40" t="s">
        <v>551</v>
      </c>
      <c r="E220" s="40" t="s">
        <v>526</v>
      </c>
      <c r="F220" s="70" t="s">
        <v>1550</v>
      </c>
      <c r="G220" s="68"/>
      <c r="H220" s="40" t="s">
        <v>7</v>
      </c>
      <c r="I220" s="42"/>
      <c r="J220" s="42"/>
      <c r="K220" s="42"/>
      <c r="L220" s="40" t="s">
        <v>7</v>
      </c>
      <c r="M220" s="40" t="s">
        <v>7</v>
      </c>
      <c r="N220" s="40" t="s">
        <v>2348</v>
      </c>
      <c r="O220" s="41" t="s">
        <v>2349</v>
      </c>
      <c r="P220" s="41" t="s">
        <v>2350</v>
      </c>
      <c r="Q220" s="41" t="s">
        <v>2351</v>
      </c>
      <c r="R220" s="40" t="s">
        <v>553</v>
      </c>
      <c r="S220" s="41" t="s">
        <v>2352</v>
      </c>
      <c r="T220" s="41" t="s">
        <v>2353</v>
      </c>
      <c r="U220" s="69" t="s">
        <v>2354</v>
      </c>
      <c r="V220" s="68"/>
      <c r="W220" s="68"/>
    </row>
    <row r="221" spans="1:23" ht="13" x14ac:dyDescent="0.3">
      <c r="A221" s="44">
        <v>46080.976342592592</v>
      </c>
      <c r="B221" s="45" t="s">
        <v>840</v>
      </c>
      <c r="C221" s="45" t="s">
        <v>550</v>
      </c>
      <c r="D221" s="45" t="s">
        <v>549</v>
      </c>
      <c r="E221" s="45" t="s">
        <v>526</v>
      </c>
      <c r="F221" s="67" t="s">
        <v>1550</v>
      </c>
      <c r="G221" s="68"/>
      <c r="H221" s="45" t="s">
        <v>7</v>
      </c>
      <c r="I221" s="46"/>
      <c r="J221" s="46"/>
      <c r="K221" s="46"/>
      <c r="L221" s="45" t="s">
        <v>7</v>
      </c>
      <c r="M221" s="45" t="s">
        <v>7</v>
      </c>
      <c r="N221" s="45" t="s">
        <v>2355</v>
      </c>
      <c r="O221" s="41" t="s">
        <v>2356</v>
      </c>
      <c r="P221" s="41" t="s">
        <v>2357</v>
      </c>
      <c r="Q221" s="41" t="s">
        <v>2358</v>
      </c>
      <c r="R221" s="45" t="s">
        <v>2359</v>
      </c>
      <c r="S221" s="41" t="s">
        <v>2360</v>
      </c>
      <c r="T221" s="41" t="s">
        <v>2361</v>
      </c>
      <c r="U221" s="69" t="s">
        <v>2362</v>
      </c>
      <c r="V221" s="68"/>
      <c r="W221" s="68"/>
    </row>
    <row r="222" spans="1:23" ht="13" x14ac:dyDescent="0.3">
      <c r="A222" s="39">
        <v>46080.976875</v>
      </c>
      <c r="B222" s="40" t="s">
        <v>726</v>
      </c>
      <c r="C222" s="40" t="s">
        <v>485</v>
      </c>
      <c r="D222" s="40" t="s">
        <v>484</v>
      </c>
      <c r="E222" s="40" t="s">
        <v>259</v>
      </c>
      <c r="F222" s="70" t="s">
        <v>1550</v>
      </c>
      <c r="G222" s="68"/>
      <c r="H222" s="40" t="s">
        <v>14</v>
      </c>
      <c r="I222" s="42"/>
      <c r="J222" s="42"/>
      <c r="K222" s="42"/>
      <c r="L222" s="40" t="s">
        <v>14</v>
      </c>
      <c r="M222" s="40" t="s">
        <v>14</v>
      </c>
      <c r="N222" s="40" t="s">
        <v>486</v>
      </c>
      <c r="O222" s="41" t="s">
        <v>2363</v>
      </c>
      <c r="P222" s="41" t="s">
        <v>2364</v>
      </c>
      <c r="Q222" s="41" t="s">
        <v>2365</v>
      </c>
      <c r="R222" s="40" t="s">
        <v>486</v>
      </c>
      <c r="S222" s="41" t="s">
        <v>2366</v>
      </c>
      <c r="T222" s="41" t="s">
        <v>2367</v>
      </c>
      <c r="U222" s="41" t="s">
        <v>2368</v>
      </c>
      <c r="V222" s="69" t="s">
        <v>2369</v>
      </c>
      <c r="W222" s="68"/>
    </row>
    <row r="223" spans="1:23" ht="13" x14ac:dyDescent="0.3">
      <c r="A223" s="44">
        <v>46080.978368055556</v>
      </c>
      <c r="B223" s="45" t="s">
        <v>849</v>
      </c>
      <c r="C223" s="45" t="s">
        <v>532</v>
      </c>
      <c r="D223" s="45" t="s">
        <v>531</v>
      </c>
      <c r="E223" s="45" t="s">
        <v>526</v>
      </c>
      <c r="F223" s="67" t="s">
        <v>1550</v>
      </c>
      <c r="G223" s="68"/>
      <c r="H223" s="45" t="s">
        <v>7</v>
      </c>
      <c r="I223" s="46"/>
      <c r="J223" s="46"/>
      <c r="K223" s="46"/>
      <c r="L223" s="45" t="s">
        <v>7</v>
      </c>
      <c r="M223" s="45" t="s">
        <v>7</v>
      </c>
      <c r="N223" s="45" t="s">
        <v>533</v>
      </c>
      <c r="O223" s="41" t="s">
        <v>2370</v>
      </c>
      <c r="P223" s="41" t="s">
        <v>2371</v>
      </c>
      <c r="Q223" s="41" t="s">
        <v>2372</v>
      </c>
      <c r="R223" s="45" t="s">
        <v>533</v>
      </c>
      <c r="S223" s="41" t="s">
        <v>2373</v>
      </c>
      <c r="T223" s="41" t="s">
        <v>2374</v>
      </c>
      <c r="U223" s="69" t="s">
        <v>2375</v>
      </c>
      <c r="V223" s="68"/>
      <c r="W223" s="68"/>
    </row>
    <row r="224" spans="1:23" ht="13" x14ac:dyDescent="0.3">
      <c r="A224" s="39">
        <v>46080.979618055557</v>
      </c>
      <c r="B224" s="40" t="s">
        <v>874</v>
      </c>
      <c r="C224" s="40" t="s">
        <v>76</v>
      </c>
      <c r="D224" s="40" t="s">
        <v>75</v>
      </c>
      <c r="E224" s="40" t="s">
        <v>17</v>
      </c>
      <c r="F224" s="70" t="s">
        <v>1550</v>
      </c>
      <c r="G224" s="68"/>
      <c r="H224" s="40" t="s">
        <v>7</v>
      </c>
      <c r="I224" s="42"/>
      <c r="J224" s="42"/>
      <c r="K224" s="42"/>
      <c r="L224" s="40" t="s">
        <v>7</v>
      </c>
      <c r="M224" s="40" t="s">
        <v>7</v>
      </c>
      <c r="N224" s="40" t="s">
        <v>2376</v>
      </c>
      <c r="O224" s="41" t="s">
        <v>2377</v>
      </c>
      <c r="P224" s="41" t="s">
        <v>2378</v>
      </c>
      <c r="Q224" s="41" t="s">
        <v>2379</v>
      </c>
      <c r="R224" s="40" t="s">
        <v>2376</v>
      </c>
      <c r="S224" s="41" t="s">
        <v>2380</v>
      </c>
      <c r="T224" s="41" t="s">
        <v>2381</v>
      </c>
      <c r="U224" s="41" t="s">
        <v>2382</v>
      </c>
      <c r="V224" s="69" t="s">
        <v>2383</v>
      </c>
      <c r="W224" s="68"/>
    </row>
    <row r="225" spans="1:23" ht="13" x14ac:dyDescent="0.3">
      <c r="A225" s="44">
        <v>46080.980925925927</v>
      </c>
      <c r="B225" s="45" t="s">
        <v>738</v>
      </c>
      <c r="C225" s="45" t="s">
        <v>408</v>
      </c>
      <c r="D225" s="45" t="s">
        <v>407</v>
      </c>
      <c r="E225" s="45" t="s">
        <v>127</v>
      </c>
      <c r="F225" s="67" t="s">
        <v>1550</v>
      </c>
      <c r="G225" s="68"/>
      <c r="H225" s="45" t="s">
        <v>14</v>
      </c>
      <c r="I225" s="46"/>
      <c r="J225" s="46"/>
      <c r="K225" s="46"/>
      <c r="L225" s="45" t="s">
        <v>14</v>
      </c>
      <c r="M225" s="45" t="s">
        <v>7</v>
      </c>
      <c r="N225" s="45" t="s">
        <v>2384</v>
      </c>
      <c r="O225" s="41" t="s">
        <v>2385</v>
      </c>
      <c r="P225" s="41" t="s">
        <v>2386</v>
      </c>
      <c r="Q225" s="41" t="s">
        <v>2387</v>
      </c>
      <c r="R225" s="45" t="s">
        <v>2388</v>
      </c>
      <c r="S225" s="41" t="s">
        <v>2389</v>
      </c>
      <c r="T225" s="41" t="s">
        <v>2390</v>
      </c>
      <c r="U225" s="69" t="s">
        <v>2391</v>
      </c>
      <c r="V225" s="68"/>
      <c r="W225" s="68"/>
    </row>
    <row r="226" spans="1:23" ht="13" x14ac:dyDescent="0.3">
      <c r="A226" s="39">
        <v>46080.984618055554</v>
      </c>
      <c r="B226" s="40" t="s">
        <v>891</v>
      </c>
      <c r="C226" s="40" t="s">
        <v>208</v>
      </c>
      <c r="D226" s="40" t="s">
        <v>207</v>
      </c>
      <c r="E226" s="40" t="s">
        <v>17</v>
      </c>
      <c r="F226" s="70" t="s">
        <v>1550</v>
      </c>
      <c r="G226" s="68"/>
      <c r="H226" s="40" t="s">
        <v>14</v>
      </c>
      <c r="I226" s="42"/>
      <c r="J226" s="42"/>
      <c r="K226" s="42"/>
      <c r="L226" s="40" t="s">
        <v>14</v>
      </c>
      <c r="M226" s="40" t="s">
        <v>14</v>
      </c>
      <c r="N226" s="40" t="s">
        <v>2392</v>
      </c>
      <c r="O226" s="41" t="s">
        <v>2393</v>
      </c>
      <c r="P226" s="41" t="s">
        <v>2394</v>
      </c>
      <c r="Q226" s="41" t="s">
        <v>2395</v>
      </c>
      <c r="R226" s="40" t="s">
        <v>209</v>
      </c>
      <c r="S226" s="41" t="s">
        <v>2396</v>
      </c>
      <c r="T226" s="41" t="s">
        <v>2397</v>
      </c>
      <c r="U226" s="41" t="s">
        <v>2398</v>
      </c>
      <c r="V226" s="69" t="s">
        <v>2399</v>
      </c>
      <c r="W226" s="68"/>
    </row>
    <row r="227" spans="1:23" ht="13" x14ac:dyDescent="0.3">
      <c r="A227" s="44">
        <v>46080.985034722224</v>
      </c>
      <c r="B227" s="45" t="s">
        <v>2400</v>
      </c>
      <c r="C227" s="50" t="s">
        <v>121</v>
      </c>
      <c r="D227" s="45" t="s">
        <v>120</v>
      </c>
      <c r="E227" s="45" t="s">
        <v>17</v>
      </c>
      <c r="F227" s="67" t="s">
        <v>1550</v>
      </c>
      <c r="G227" s="68"/>
      <c r="H227" s="45" t="s">
        <v>14</v>
      </c>
      <c r="I227" s="46"/>
      <c r="J227" s="46"/>
      <c r="K227" s="46"/>
      <c r="L227" s="45" t="s">
        <v>14</v>
      </c>
      <c r="M227" s="45" t="s">
        <v>14</v>
      </c>
      <c r="N227" s="45" t="s">
        <v>122</v>
      </c>
      <c r="O227" s="41" t="s">
        <v>2401</v>
      </c>
      <c r="P227" s="41" t="s">
        <v>2402</v>
      </c>
      <c r="Q227" s="41" t="s">
        <v>2403</v>
      </c>
      <c r="R227" s="45" t="s">
        <v>122</v>
      </c>
      <c r="S227" s="41" t="s">
        <v>2404</v>
      </c>
      <c r="T227" s="41" t="s">
        <v>2405</v>
      </c>
      <c r="U227" s="41" t="s">
        <v>2406</v>
      </c>
      <c r="V227" s="69" t="s">
        <v>2407</v>
      </c>
      <c r="W227" s="68"/>
    </row>
    <row r="228" spans="1:23" ht="13" x14ac:dyDescent="0.3">
      <c r="A228" s="39">
        <v>46080.985543981478</v>
      </c>
      <c r="B228" s="40" t="s">
        <v>981</v>
      </c>
      <c r="C228" s="40" t="s">
        <v>5</v>
      </c>
      <c r="D228" s="40" t="s">
        <v>4</v>
      </c>
      <c r="E228" s="40" t="s">
        <v>6</v>
      </c>
      <c r="F228" s="70" t="s">
        <v>1550</v>
      </c>
      <c r="G228" s="68"/>
      <c r="H228" s="40" t="s">
        <v>7</v>
      </c>
      <c r="I228" s="42"/>
      <c r="J228" s="42"/>
      <c r="K228" s="42"/>
      <c r="L228" s="40" t="s">
        <v>7</v>
      </c>
      <c r="M228" s="40" t="s">
        <v>7</v>
      </c>
      <c r="N228" s="40" t="s">
        <v>2408</v>
      </c>
      <c r="O228" s="41" t="s">
        <v>2409</v>
      </c>
      <c r="P228" s="41" t="s">
        <v>2410</v>
      </c>
      <c r="Q228" s="41" t="s">
        <v>2411</v>
      </c>
      <c r="R228" s="40" t="s">
        <v>2408</v>
      </c>
      <c r="S228" s="41" t="s">
        <v>2412</v>
      </c>
      <c r="T228" s="41" t="s">
        <v>2413</v>
      </c>
      <c r="U228" s="41" t="s">
        <v>2414</v>
      </c>
      <c r="V228" s="69" t="s">
        <v>2415</v>
      </c>
      <c r="W228" s="68"/>
    </row>
    <row r="229" spans="1:23" ht="13" x14ac:dyDescent="0.3">
      <c r="A229" s="44">
        <v>46080.985659722224</v>
      </c>
      <c r="B229" s="45" t="s">
        <v>628</v>
      </c>
      <c r="C229" s="45" t="s">
        <v>482</v>
      </c>
      <c r="D229" s="45" t="s">
        <v>481</v>
      </c>
      <c r="E229" s="45" t="s">
        <v>127</v>
      </c>
      <c r="F229" s="67" t="s">
        <v>1550</v>
      </c>
      <c r="G229" s="68"/>
      <c r="H229" s="45" t="s">
        <v>7</v>
      </c>
      <c r="I229" s="46"/>
      <c r="J229" s="46"/>
      <c r="K229" s="46"/>
      <c r="L229" s="45" t="s">
        <v>7</v>
      </c>
      <c r="M229" s="45" t="s">
        <v>7</v>
      </c>
      <c r="N229" s="45" t="s">
        <v>483</v>
      </c>
      <c r="O229" s="41" t="s">
        <v>2416</v>
      </c>
      <c r="P229" s="41" t="s">
        <v>2417</v>
      </c>
      <c r="Q229" s="41" t="s">
        <v>2418</v>
      </c>
      <c r="R229" s="45" t="s">
        <v>483</v>
      </c>
      <c r="S229" s="41" t="s">
        <v>2419</v>
      </c>
      <c r="T229" s="41" t="s">
        <v>2420</v>
      </c>
      <c r="U229" s="41" t="s">
        <v>2421</v>
      </c>
      <c r="V229" s="69" t="s">
        <v>2422</v>
      </c>
      <c r="W229" s="68"/>
    </row>
    <row r="230" spans="1:23" ht="13" x14ac:dyDescent="0.3">
      <c r="A230" s="39">
        <v>46080.985960648148</v>
      </c>
      <c r="B230" s="40" t="s">
        <v>910</v>
      </c>
      <c r="C230" s="40" t="s">
        <v>198</v>
      </c>
      <c r="D230" s="40" t="s">
        <v>197</v>
      </c>
      <c r="E230" s="40" t="s">
        <v>17</v>
      </c>
      <c r="F230" s="70" t="s">
        <v>1550</v>
      </c>
      <c r="G230" s="68"/>
      <c r="H230" s="40" t="s">
        <v>14</v>
      </c>
      <c r="I230" s="42"/>
      <c r="J230" s="42"/>
      <c r="K230" s="42"/>
      <c r="L230" s="40" t="s">
        <v>14</v>
      </c>
      <c r="M230" s="40" t="s">
        <v>14</v>
      </c>
      <c r="N230" s="40" t="s">
        <v>199</v>
      </c>
      <c r="O230" s="41" t="s">
        <v>2423</v>
      </c>
      <c r="P230" s="41" t="s">
        <v>2424</v>
      </c>
      <c r="Q230" s="41" t="s">
        <v>2425</v>
      </c>
      <c r="R230" s="40" t="s">
        <v>199</v>
      </c>
      <c r="S230" s="41" t="s">
        <v>2426</v>
      </c>
      <c r="T230" s="41" t="s">
        <v>2427</v>
      </c>
      <c r="U230" s="41" t="s">
        <v>2428</v>
      </c>
      <c r="V230" s="69" t="s">
        <v>2429</v>
      </c>
      <c r="W230" s="68"/>
    </row>
    <row r="231" spans="1:23" ht="13" x14ac:dyDescent="0.3">
      <c r="A231" s="44">
        <v>46080.990439814814</v>
      </c>
      <c r="B231" s="45" t="s">
        <v>1025</v>
      </c>
      <c r="C231" s="45" t="s">
        <v>221</v>
      </c>
      <c r="D231" s="45" t="s">
        <v>220</v>
      </c>
      <c r="E231" s="45" t="s">
        <v>6</v>
      </c>
      <c r="F231" s="67" t="s">
        <v>1550</v>
      </c>
      <c r="G231" s="68"/>
      <c r="H231" s="45" t="s">
        <v>7</v>
      </c>
      <c r="I231" s="46"/>
      <c r="J231" s="46"/>
      <c r="K231" s="46"/>
      <c r="L231" s="45" t="s">
        <v>7</v>
      </c>
      <c r="M231" s="45" t="s">
        <v>7</v>
      </c>
      <c r="N231" s="45" t="s">
        <v>2430</v>
      </c>
      <c r="O231" s="41" t="s">
        <v>2431</v>
      </c>
      <c r="P231" s="41" t="s">
        <v>2432</v>
      </c>
      <c r="Q231" s="41" t="s">
        <v>2433</v>
      </c>
      <c r="R231" s="45" t="s">
        <v>2434</v>
      </c>
      <c r="S231" s="41" t="s">
        <v>2435</v>
      </c>
      <c r="T231" s="41" t="s">
        <v>2436</v>
      </c>
      <c r="U231" s="69" t="s">
        <v>2437</v>
      </c>
      <c r="V231" s="68"/>
      <c r="W231" s="68"/>
    </row>
    <row r="232" spans="1:23" ht="13" x14ac:dyDescent="0.3">
      <c r="A232" s="39">
        <v>46080.990567129629</v>
      </c>
      <c r="B232" s="40" t="s">
        <v>887</v>
      </c>
      <c r="C232" s="40" t="s">
        <v>36</v>
      </c>
      <c r="D232" s="40" t="s">
        <v>35</v>
      </c>
      <c r="E232" s="40" t="s">
        <v>35</v>
      </c>
      <c r="F232" s="70" t="s">
        <v>1550</v>
      </c>
      <c r="G232" s="68"/>
      <c r="H232" s="40" t="s">
        <v>14</v>
      </c>
      <c r="I232" s="42"/>
      <c r="J232" s="42"/>
      <c r="K232" s="42"/>
      <c r="L232" s="40" t="s">
        <v>14</v>
      </c>
      <c r="M232" s="40" t="s">
        <v>14</v>
      </c>
      <c r="N232" s="40" t="s">
        <v>37</v>
      </c>
      <c r="O232" s="41" t="s">
        <v>2438</v>
      </c>
      <c r="P232" s="41" t="s">
        <v>2439</v>
      </c>
      <c r="Q232" s="41" t="s">
        <v>2440</v>
      </c>
      <c r="R232" s="40" t="s">
        <v>37</v>
      </c>
      <c r="S232" s="41" t="s">
        <v>2441</v>
      </c>
      <c r="T232" s="41" t="s">
        <v>2442</v>
      </c>
      <c r="U232" s="41" t="s">
        <v>2443</v>
      </c>
      <c r="V232" s="69" t="s">
        <v>2444</v>
      </c>
      <c r="W232" s="68"/>
    </row>
    <row r="233" spans="1:23" ht="13" x14ac:dyDescent="0.3">
      <c r="A233" s="44">
        <v>46080.992256944446</v>
      </c>
      <c r="B233" s="45" t="s">
        <v>847</v>
      </c>
      <c r="C233" s="45" t="s">
        <v>586</v>
      </c>
      <c r="D233" s="45" t="s">
        <v>585</v>
      </c>
      <c r="E233" s="45" t="s">
        <v>526</v>
      </c>
      <c r="F233" s="67" t="s">
        <v>1550</v>
      </c>
      <c r="G233" s="68"/>
      <c r="H233" s="45" t="s">
        <v>7</v>
      </c>
      <c r="I233" s="46"/>
      <c r="J233" s="46"/>
      <c r="K233" s="46"/>
      <c r="L233" s="45" t="s">
        <v>7</v>
      </c>
      <c r="M233" s="45" t="s">
        <v>7</v>
      </c>
      <c r="N233" s="45" t="s">
        <v>2445</v>
      </c>
      <c r="O233" s="41" t="s">
        <v>2446</v>
      </c>
      <c r="P233" s="41" t="s">
        <v>2447</v>
      </c>
      <c r="Q233" s="41" t="s">
        <v>2448</v>
      </c>
      <c r="R233" s="45" t="s">
        <v>587</v>
      </c>
      <c r="S233" s="41" t="s">
        <v>2449</v>
      </c>
      <c r="T233" s="41" t="s">
        <v>2450</v>
      </c>
      <c r="U233" s="69" t="s">
        <v>2451</v>
      </c>
      <c r="V233" s="68"/>
      <c r="W233" s="68"/>
    </row>
    <row r="234" spans="1:23" ht="13" x14ac:dyDescent="0.3">
      <c r="A234" s="39">
        <v>46080.992372685185</v>
      </c>
      <c r="B234" s="40" t="s">
        <v>1001</v>
      </c>
      <c r="C234" s="40" t="s">
        <v>166</v>
      </c>
      <c r="D234" s="40" t="s">
        <v>165</v>
      </c>
      <c r="E234" s="40" t="s">
        <v>6</v>
      </c>
      <c r="F234" s="70" t="s">
        <v>1550</v>
      </c>
      <c r="G234" s="68"/>
      <c r="H234" s="40" t="s">
        <v>14</v>
      </c>
      <c r="I234" s="42"/>
      <c r="J234" s="42"/>
      <c r="K234" s="42"/>
      <c r="L234" s="40" t="s">
        <v>14</v>
      </c>
      <c r="M234" s="40" t="s">
        <v>14</v>
      </c>
      <c r="N234" s="40" t="s">
        <v>2452</v>
      </c>
      <c r="O234" s="41" t="s">
        <v>2453</v>
      </c>
      <c r="P234" s="41" t="s">
        <v>2454</v>
      </c>
      <c r="Q234" s="41" t="s">
        <v>2455</v>
      </c>
      <c r="R234" s="40" t="s">
        <v>2456</v>
      </c>
      <c r="S234" s="41" t="s">
        <v>2457</v>
      </c>
      <c r="T234" s="41" t="s">
        <v>2458</v>
      </c>
      <c r="U234" s="41" t="s">
        <v>2459</v>
      </c>
      <c r="V234" s="69" t="s">
        <v>2460</v>
      </c>
      <c r="W234" s="68"/>
    </row>
    <row r="235" spans="1:23" ht="13" x14ac:dyDescent="0.3">
      <c r="A235" s="44">
        <v>46080.992534722223</v>
      </c>
      <c r="B235" s="45" t="s">
        <v>914</v>
      </c>
      <c r="C235" s="45" t="s">
        <v>137</v>
      </c>
      <c r="D235" s="45" t="s">
        <v>136</v>
      </c>
      <c r="E235" s="45" t="s">
        <v>214</v>
      </c>
      <c r="F235" s="67" t="s">
        <v>1550</v>
      </c>
      <c r="G235" s="68"/>
      <c r="H235" s="45" t="s">
        <v>7</v>
      </c>
      <c r="I235" s="46"/>
      <c r="J235" s="46"/>
      <c r="K235" s="46"/>
      <c r="L235" s="45" t="s">
        <v>7</v>
      </c>
      <c r="M235" s="45" t="s">
        <v>14</v>
      </c>
      <c r="N235" s="45" t="s">
        <v>2461</v>
      </c>
      <c r="O235" s="41" t="s">
        <v>2462</v>
      </c>
      <c r="P235" s="41" t="s">
        <v>2463</v>
      </c>
      <c r="Q235" s="41" t="s">
        <v>2464</v>
      </c>
      <c r="R235" s="45" t="s">
        <v>138</v>
      </c>
      <c r="S235" s="41" t="s">
        <v>2465</v>
      </c>
      <c r="T235" s="41" t="s">
        <v>2466</v>
      </c>
      <c r="U235" s="41" t="s">
        <v>2467</v>
      </c>
      <c r="V235" s="69" t="s">
        <v>2468</v>
      </c>
      <c r="W235" s="68"/>
    </row>
    <row r="236" spans="1:23" ht="13" x14ac:dyDescent="0.3">
      <c r="A236" s="39">
        <v>46080.993460648147</v>
      </c>
      <c r="B236" s="40" t="s">
        <v>871</v>
      </c>
      <c r="C236" s="40" t="s">
        <v>60</v>
      </c>
      <c r="D236" s="40" t="s">
        <v>59</v>
      </c>
      <c r="E236" s="40" t="s">
        <v>17</v>
      </c>
      <c r="F236" s="70" t="s">
        <v>1550</v>
      </c>
      <c r="G236" s="68"/>
      <c r="H236" s="40" t="s">
        <v>14</v>
      </c>
      <c r="I236" s="42"/>
      <c r="J236" s="42"/>
      <c r="K236" s="42"/>
      <c r="L236" s="40" t="s">
        <v>14</v>
      </c>
      <c r="M236" s="40" t="s">
        <v>14</v>
      </c>
      <c r="N236" s="40" t="s">
        <v>2469</v>
      </c>
      <c r="O236" s="41" t="s">
        <v>2470</v>
      </c>
      <c r="P236" s="41" t="s">
        <v>2471</v>
      </c>
      <c r="Q236" s="41" t="s">
        <v>2472</v>
      </c>
      <c r="R236" s="40" t="s">
        <v>2473</v>
      </c>
      <c r="S236" s="41" t="s">
        <v>2474</v>
      </c>
      <c r="T236" s="41" t="s">
        <v>2475</v>
      </c>
      <c r="U236" s="41" t="s">
        <v>2476</v>
      </c>
      <c r="V236" s="69" t="s">
        <v>2477</v>
      </c>
      <c r="W236" s="68"/>
    </row>
    <row r="237" spans="1:23" ht="13" x14ac:dyDescent="0.3">
      <c r="A237" s="44">
        <v>46080.994016203702</v>
      </c>
      <c r="B237" s="45" t="s">
        <v>1024</v>
      </c>
      <c r="C237" s="45" t="s">
        <v>114</v>
      </c>
      <c r="D237" s="45" t="s">
        <v>113</v>
      </c>
      <c r="E237" s="45" t="s">
        <v>6</v>
      </c>
      <c r="F237" s="67" t="s">
        <v>1550</v>
      </c>
      <c r="G237" s="68"/>
      <c r="H237" s="45" t="s">
        <v>7</v>
      </c>
      <c r="I237" s="46"/>
      <c r="J237" s="46"/>
      <c r="K237" s="46"/>
      <c r="L237" s="45" t="s">
        <v>7</v>
      </c>
      <c r="M237" s="45" t="s">
        <v>7</v>
      </c>
      <c r="N237" s="45" t="s">
        <v>115</v>
      </c>
      <c r="O237" s="41" t="s">
        <v>2478</v>
      </c>
      <c r="P237" s="41" t="s">
        <v>2479</v>
      </c>
      <c r="Q237" s="41" t="s">
        <v>2480</v>
      </c>
      <c r="R237" s="45" t="s">
        <v>115</v>
      </c>
      <c r="S237" s="41" t="s">
        <v>2481</v>
      </c>
      <c r="T237" s="41" t="s">
        <v>2482</v>
      </c>
      <c r="U237" s="41" t="s">
        <v>2483</v>
      </c>
      <c r="V237" s="69" t="s">
        <v>2484</v>
      </c>
      <c r="W237" s="68"/>
    </row>
    <row r="238" spans="1:23" ht="13" x14ac:dyDescent="0.3">
      <c r="A238" s="39">
        <v>46080.994629629633</v>
      </c>
      <c r="B238" s="40" t="s">
        <v>1002</v>
      </c>
      <c r="C238" s="40" t="s">
        <v>44</v>
      </c>
      <c r="D238" s="40" t="s">
        <v>43</v>
      </c>
      <c r="E238" s="40" t="s">
        <v>6</v>
      </c>
      <c r="F238" s="70" t="s">
        <v>1550</v>
      </c>
      <c r="G238" s="68"/>
      <c r="H238" s="40" t="s">
        <v>14</v>
      </c>
      <c r="I238" s="42"/>
      <c r="J238" s="42"/>
      <c r="K238" s="42"/>
      <c r="L238" s="40" t="s">
        <v>14</v>
      </c>
      <c r="M238" s="40" t="s">
        <v>7</v>
      </c>
      <c r="N238" s="40" t="s">
        <v>2485</v>
      </c>
      <c r="O238" s="41" t="s">
        <v>2486</v>
      </c>
      <c r="P238" s="41" t="s">
        <v>2487</v>
      </c>
      <c r="Q238" s="41" t="s">
        <v>2488</v>
      </c>
      <c r="R238" s="40" t="s">
        <v>2489</v>
      </c>
      <c r="S238" s="41" t="s">
        <v>2490</v>
      </c>
      <c r="T238" s="41" t="s">
        <v>2491</v>
      </c>
      <c r="U238" s="41" t="s">
        <v>2492</v>
      </c>
      <c r="V238" s="69" t="s">
        <v>2493</v>
      </c>
      <c r="W238" s="68"/>
    </row>
    <row r="239" spans="1:23" ht="13" x14ac:dyDescent="0.3">
      <c r="A239" s="44">
        <v>46080.996724537035</v>
      </c>
      <c r="B239" s="45" t="s">
        <v>832</v>
      </c>
      <c r="C239" s="45" t="s">
        <v>557</v>
      </c>
      <c r="D239" s="45" t="s">
        <v>556</v>
      </c>
      <c r="E239" s="45" t="s">
        <v>526</v>
      </c>
      <c r="F239" s="67" t="s">
        <v>1550</v>
      </c>
      <c r="G239" s="68"/>
      <c r="H239" s="45" t="s">
        <v>7</v>
      </c>
      <c r="I239" s="46"/>
      <c r="J239" s="46"/>
      <c r="K239" s="46"/>
      <c r="L239" s="45" t="s">
        <v>7</v>
      </c>
      <c r="M239" s="45" t="s">
        <v>7</v>
      </c>
      <c r="N239" s="45" t="s">
        <v>2494</v>
      </c>
      <c r="O239" s="41" t="s">
        <v>2495</v>
      </c>
      <c r="P239" s="41" t="s">
        <v>2496</v>
      </c>
      <c r="Q239" s="41" t="s">
        <v>2497</v>
      </c>
      <c r="R239" s="45" t="s">
        <v>2494</v>
      </c>
      <c r="S239" s="41" t="s">
        <v>2498</v>
      </c>
      <c r="T239" s="41" t="s">
        <v>2499</v>
      </c>
      <c r="U239" s="69" t="s">
        <v>2500</v>
      </c>
      <c r="V239" s="68"/>
      <c r="W239" s="68"/>
    </row>
    <row r="240" spans="1:23" ht="13" x14ac:dyDescent="0.3">
      <c r="A240" s="39">
        <v>46080.99732638889</v>
      </c>
      <c r="B240" s="40" t="s">
        <v>2501</v>
      </c>
      <c r="C240" s="40" t="s">
        <v>52</v>
      </c>
      <c r="D240" s="40" t="s">
        <v>51</v>
      </c>
      <c r="E240" s="40" t="s">
        <v>17</v>
      </c>
      <c r="F240" s="70" t="s">
        <v>1550</v>
      </c>
      <c r="G240" s="68"/>
      <c r="H240" s="40" t="s">
        <v>14</v>
      </c>
      <c r="I240" s="42"/>
      <c r="J240" s="42"/>
      <c r="K240" s="42"/>
      <c r="L240" s="40" t="s">
        <v>14</v>
      </c>
      <c r="M240" s="40" t="s">
        <v>14</v>
      </c>
      <c r="N240" s="40" t="s">
        <v>1529</v>
      </c>
      <c r="O240" s="41" t="s">
        <v>2502</v>
      </c>
      <c r="P240" s="41" t="s">
        <v>2503</v>
      </c>
      <c r="Q240" s="41" t="s">
        <v>2504</v>
      </c>
      <c r="R240" s="40" t="s">
        <v>1529</v>
      </c>
      <c r="S240" s="41" t="s">
        <v>2505</v>
      </c>
      <c r="T240" s="41" t="s">
        <v>2506</v>
      </c>
      <c r="U240" s="69" t="s">
        <v>2507</v>
      </c>
      <c r="V240" s="68"/>
      <c r="W240" s="68"/>
    </row>
    <row r="241" spans="1:23" ht="13" x14ac:dyDescent="0.3">
      <c r="A241" s="44">
        <v>46080.997488425928</v>
      </c>
      <c r="B241" s="45" t="s">
        <v>889</v>
      </c>
      <c r="C241" s="45" t="s">
        <v>191</v>
      </c>
      <c r="D241" s="45" t="s">
        <v>190</v>
      </c>
      <c r="E241" s="45" t="s">
        <v>17</v>
      </c>
      <c r="F241" s="67" t="s">
        <v>1550</v>
      </c>
      <c r="G241" s="68"/>
      <c r="H241" s="45" t="s">
        <v>14</v>
      </c>
      <c r="I241" s="46"/>
      <c r="J241" s="46"/>
      <c r="K241" s="46"/>
      <c r="L241" s="45" t="s">
        <v>14</v>
      </c>
      <c r="M241" s="45" t="s">
        <v>14</v>
      </c>
      <c r="N241" s="45" t="s">
        <v>2508</v>
      </c>
      <c r="O241" s="41" t="s">
        <v>2509</v>
      </c>
      <c r="P241" s="41" t="s">
        <v>2510</v>
      </c>
      <c r="Q241" s="41" t="s">
        <v>2511</v>
      </c>
      <c r="R241" s="45" t="s">
        <v>2508</v>
      </c>
      <c r="S241" s="41" t="s">
        <v>2512</v>
      </c>
      <c r="T241" s="41" t="s">
        <v>2513</v>
      </c>
      <c r="U241" s="41" t="s">
        <v>2514</v>
      </c>
      <c r="V241" s="69" t="s">
        <v>2515</v>
      </c>
      <c r="W241" s="68"/>
    </row>
    <row r="242" spans="1:23" ht="13" x14ac:dyDescent="0.3">
      <c r="A242" s="39">
        <v>46080.998622685183</v>
      </c>
      <c r="B242" s="40" t="s">
        <v>2516</v>
      </c>
      <c r="C242" s="40" t="s">
        <v>385</v>
      </c>
      <c r="D242" s="40" t="s">
        <v>384</v>
      </c>
      <c r="E242" s="40" t="s">
        <v>17</v>
      </c>
      <c r="F242" s="70" t="s">
        <v>1550</v>
      </c>
      <c r="G242" s="68"/>
      <c r="H242" s="40" t="s">
        <v>14</v>
      </c>
      <c r="I242" s="42"/>
      <c r="J242" s="42"/>
      <c r="K242" s="42"/>
      <c r="L242" s="40" t="s">
        <v>14</v>
      </c>
      <c r="M242" s="40" t="s">
        <v>7</v>
      </c>
      <c r="N242" s="40" t="s">
        <v>2517</v>
      </c>
      <c r="O242" s="41" t="s">
        <v>2518</v>
      </c>
      <c r="P242" s="41" t="s">
        <v>2519</v>
      </c>
      <c r="Q242" s="41" t="s">
        <v>2520</v>
      </c>
      <c r="R242" s="40" t="s">
        <v>2521</v>
      </c>
      <c r="S242" s="41" t="s">
        <v>2522</v>
      </c>
      <c r="T242" s="41" t="s">
        <v>2523</v>
      </c>
      <c r="U242" s="41" t="s">
        <v>2524</v>
      </c>
      <c r="V242" s="69" t="s">
        <v>2525</v>
      </c>
      <c r="W242" s="68"/>
    </row>
    <row r="243" spans="1:23" ht="13" x14ac:dyDescent="0.3">
      <c r="A243" s="44">
        <v>46080.998912037037</v>
      </c>
      <c r="B243" s="45" t="s">
        <v>888</v>
      </c>
      <c r="C243" s="45" t="s">
        <v>205</v>
      </c>
      <c r="D243" s="45" t="s">
        <v>204</v>
      </c>
      <c r="E243" s="45" t="s">
        <v>17</v>
      </c>
      <c r="F243" s="67" t="s">
        <v>1550</v>
      </c>
      <c r="G243" s="68"/>
      <c r="H243" s="45" t="s">
        <v>7</v>
      </c>
      <c r="I243" s="46"/>
      <c r="J243" s="46"/>
      <c r="K243" s="46"/>
      <c r="L243" s="45" t="s">
        <v>7</v>
      </c>
      <c r="M243" s="45" t="s">
        <v>14</v>
      </c>
      <c r="N243" s="45" t="s">
        <v>2526</v>
      </c>
      <c r="O243" s="41" t="s">
        <v>2527</v>
      </c>
      <c r="P243" s="41" t="s">
        <v>2528</v>
      </c>
      <c r="Q243" s="41" t="s">
        <v>2529</v>
      </c>
      <c r="R243" s="45" t="s">
        <v>206</v>
      </c>
      <c r="S243" s="41" t="s">
        <v>2530</v>
      </c>
      <c r="T243" s="41" t="s">
        <v>2531</v>
      </c>
      <c r="U243" s="41" t="s">
        <v>2532</v>
      </c>
      <c r="V243" s="69" t="s">
        <v>2533</v>
      </c>
      <c r="W243" s="68"/>
    </row>
    <row r="244" spans="1:23" ht="13" x14ac:dyDescent="0.3">
      <c r="A244" s="39">
        <v>46080.99962962963</v>
      </c>
      <c r="B244" s="40" t="s">
        <v>930</v>
      </c>
      <c r="C244" s="40" t="s">
        <v>363</v>
      </c>
      <c r="D244" s="40" t="s">
        <v>362</v>
      </c>
      <c r="E244" s="40" t="s">
        <v>17</v>
      </c>
      <c r="F244" s="70" t="s">
        <v>1550</v>
      </c>
      <c r="G244" s="68"/>
      <c r="H244" s="40" t="s">
        <v>14</v>
      </c>
      <c r="I244" s="42"/>
      <c r="J244" s="42"/>
      <c r="K244" s="42"/>
      <c r="L244" s="40" t="s">
        <v>14</v>
      </c>
      <c r="M244" s="40" t="s">
        <v>14</v>
      </c>
      <c r="N244" s="40" t="s">
        <v>2534</v>
      </c>
      <c r="O244" s="41" t="s">
        <v>2535</v>
      </c>
      <c r="P244" s="41" t="s">
        <v>2536</v>
      </c>
      <c r="Q244" s="41" t="s">
        <v>2537</v>
      </c>
      <c r="R244" s="40" t="s">
        <v>2534</v>
      </c>
      <c r="S244" s="41" t="s">
        <v>2538</v>
      </c>
      <c r="T244" s="41" t="s">
        <v>2539</v>
      </c>
      <c r="U244" s="41" t="s">
        <v>2540</v>
      </c>
      <c r="V244" s="69" t="s">
        <v>2541</v>
      </c>
      <c r="W244" s="68"/>
    </row>
    <row r="245" spans="1:23" ht="13" x14ac:dyDescent="0.3">
      <c r="A245" s="44">
        <v>46081.001087962963</v>
      </c>
      <c r="B245" s="45" t="s">
        <v>1006</v>
      </c>
      <c r="C245" s="50" t="s">
        <v>46</v>
      </c>
      <c r="D245" s="45" t="s">
        <v>45</v>
      </c>
      <c r="E245" s="45" t="s">
        <v>6</v>
      </c>
      <c r="F245" s="67" t="s">
        <v>1550</v>
      </c>
      <c r="G245" s="68"/>
      <c r="H245" s="45" t="s">
        <v>7</v>
      </c>
      <c r="I245" s="46"/>
      <c r="J245" s="46"/>
      <c r="K245" s="46"/>
      <c r="L245" s="45" t="s">
        <v>7</v>
      </c>
      <c r="M245" s="45" t="s">
        <v>14</v>
      </c>
      <c r="N245" s="45" t="s">
        <v>2542</v>
      </c>
      <c r="O245" s="41" t="s">
        <v>2543</v>
      </c>
      <c r="P245" s="41" t="s">
        <v>2544</v>
      </c>
      <c r="Q245" s="41" t="s">
        <v>2545</v>
      </c>
      <c r="R245" s="45" t="s">
        <v>2546</v>
      </c>
      <c r="S245" s="41" t="s">
        <v>2547</v>
      </c>
      <c r="T245" s="41" t="s">
        <v>2548</v>
      </c>
      <c r="U245" s="41" t="s">
        <v>2549</v>
      </c>
      <c r="V245" s="69" t="s">
        <v>2550</v>
      </c>
      <c r="W245" s="68"/>
    </row>
    <row r="246" spans="1:23" ht="13" x14ac:dyDescent="0.3">
      <c r="A246" s="39">
        <v>46081.002245370371</v>
      </c>
      <c r="B246" s="40" t="s">
        <v>2551</v>
      </c>
      <c r="C246" s="40" t="s">
        <v>217</v>
      </c>
      <c r="D246" s="40" t="s">
        <v>216</v>
      </c>
      <c r="E246" s="40" t="s">
        <v>2552</v>
      </c>
      <c r="F246" s="70" t="s">
        <v>1550</v>
      </c>
      <c r="G246" s="68"/>
      <c r="H246" s="40" t="s">
        <v>14</v>
      </c>
      <c r="I246" s="42"/>
      <c r="J246" s="42"/>
      <c r="K246" s="42"/>
      <c r="L246" s="40" t="s">
        <v>14</v>
      </c>
      <c r="M246" s="40" t="s">
        <v>14</v>
      </c>
      <c r="N246" s="40" t="s">
        <v>2553</v>
      </c>
      <c r="O246" s="41" t="s">
        <v>2554</v>
      </c>
      <c r="P246" s="41" t="s">
        <v>2555</v>
      </c>
      <c r="Q246" s="41" t="s">
        <v>2556</v>
      </c>
      <c r="R246" s="40" t="s">
        <v>2553</v>
      </c>
      <c r="S246" s="41" t="s">
        <v>2557</v>
      </c>
      <c r="T246" s="41" t="s">
        <v>2558</v>
      </c>
      <c r="U246" s="41" t="s">
        <v>2559</v>
      </c>
      <c r="V246" s="69" t="s">
        <v>2560</v>
      </c>
      <c r="W246" s="68"/>
    </row>
    <row r="247" spans="1:23" ht="13" x14ac:dyDescent="0.3">
      <c r="A247" s="44">
        <v>46081.007986111108</v>
      </c>
      <c r="B247" s="45" t="s">
        <v>2561</v>
      </c>
      <c r="C247" s="45" t="s">
        <v>515</v>
      </c>
      <c r="D247" s="45" t="s">
        <v>514</v>
      </c>
      <c r="E247" s="45" t="s">
        <v>127</v>
      </c>
      <c r="F247" s="67" t="s">
        <v>1550</v>
      </c>
      <c r="G247" s="68"/>
      <c r="H247" s="45" t="s">
        <v>14</v>
      </c>
      <c r="I247" s="46"/>
      <c r="J247" s="46"/>
      <c r="K247" s="46"/>
      <c r="L247" s="45" t="s">
        <v>14</v>
      </c>
      <c r="M247" s="45" t="s">
        <v>14</v>
      </c>
      <c r="N247" s="45" t="s">
        <v>2562</v>
      </c>
      <c r="O247" s="41" t="s">
        <v>2563</v>
      </c>
      <c r="P247" s="41" t="s">
        <v>2564</v>
      </c>
      <c r="Q247" s="41" t="s">
        <v>2565</v>
      </c>
      <c r="R247" s="45" t="s">
        <v>2562</v>
      </c>
      <c r="S247" s="41" t="s">
        <v>2566</v>
      </c>
      <c r="T247" s="41" t="s">
        <v>2567</v>
      </c>
      <c r="U247" s="69" t="s">
        <v>2568</v>
      </c>
      <c r="V247" s="68"/>
      <c r="W247" s="68"/>
    </row>
    <row r="248" spans="1:23" ht="13" x14ac:dyDescent="0.3">
      <c r="A248" s="39">
        <v>46081.009375000001</v>
      </c>
      <c r="B248" s="40" t="s">
        <v>934</v>
      </c>
      <c r="C248" s="40" t="s">
        <v>85</v>
      </c>
      <c r="D248" s="40" t="s">
        <v>84</v>
      </c>
      <c r="E248" s="40" t="s">
        <v>17</v>
      </c>
      <c r="F248" s="70" t="s">
        <v>1550</v>
      </c>
      <c r="G248" s="68"/>
      <c r="H248" s="40" t="s">
        <v>14</v>
      </c>
      <c r="I248" s="42"/>
      <c r="J248" s="42"/>
      <c r="K248" s="42"/>
      <c r="L248" s="40" t="s">
        <v>14</v>
      </c>
      <c r="M248" s="40" t="s">
        <v>14</v>
      </c>
      <c r="N248" s="40" t="s">
        <v>2569</v>
      </c>
      <c r="O248" s="41" t="s">
        <v>2570</v>
      </c>
      <c r="P248" s="41" t="s">
        <v>2571</v>
      </c>
      <c r="Q248" s="41" t="s">
        <v>2572</v>
      </c>
      <c r="R248" s="40" t="s">
        <v>86</v>
      </c>
      <c r="S248" s="41" t="s">
        <v>2573</v>
      </c>
      <c r="T248" s="41" t="s">
        <v>2574</v>
      </c>
      <c r="U248" s="41" t="s">
        <v>2575</v>
      </c>
      <c r="V248" s="69" t="s">
        <v>2576</v>
      </c>
      <c r="W248" s="68"/>
    </row>
    <row r="249" spans="1:23" ht="13" x14ac:dyDescent="0.3">
      <c r="A249" s="44">
        <v>46081.013912037037</v>
      </c>
      <c r="B249" s="45" t="s">
        <v>2577</v>
      </c>
      <c r="C249" s="50" t="s">
        <v>46</v>
      </c>
      <c r="D249" s="45" t="s">
        <v>45</v>
      </c>
      <c r="E249" s="45" t="s">
        <v>6</v>
      </c>
      <c r="F249" s="67" t="s">
        <v>1550</v>
      </c>
      <c r="G249" s="68"/>
      <c r="H249" s="45" t="s">
        <v>7</v>
      </c>
      <c r="I249" s="46"/>
      <c r="J249" s="46"/>
      <c r="K249" s="46"/>
      <c r="L249" s="45" t="s">
        <v>7</v>
      </c>
      <c r="M249" s="45" t="s">
        <v>14</v>
      </c>
      <c r="N249" s="45" t="s">
        <v>2542</v>
      </c>
      <c r="O249" s="41" t="s">
        <v>2578</v>
      </c>
      <c r="P249" s="41" t="s">
        <v>2579</v>
      </c>
      <c r="Q249" s="41" t="s">
        <v>2580</v>
      </c>
      <c r="R249" s="45" t="s">
        <v>2546</v>
      </c>
      <c r="S249" s="41" t="s">
        <v>2581</v>
      </c>
      <c r="T249" s="41" t="s">
        <v>2582</v>
      </c>
      <c r="U249" s="41" t="s">
        <v>2583</v>
      </c>
      <c r="V249" s="69" t="s">
        <v>2584</v>
      </c>
      <c r="W249" s="68"/>
    </row>
    <row r="250" spans="1:23" ht="13" x14ac:dyDescent="0.3">
      <c r="A250" s="39">
        <v>46081.024305555555</v>
      </c>
      <c r="B250" s="40" t="s">
        <v>821</v>
      </c>
      <c r="C250" s="40" t="s">
        <v>425</v>
      </c>
      <c r="D250" s="40" t="s">
        <v>424</v>
      </c>
      <c r="E250" s="40" t="s">
        <v>28</v>
      </c>
      <c r="F250" s="70" t="s">
        <v>1550</v>
      </c>
      <c r="G250" s="68"/>
      <c r="H250" s="40" t="s">
        <v>7</v>
      </c>
      <c r="I250" s="42"/>
      <c r="J250" s="42"/>
      <c r="K250" s="42"/>
      <c r="L250" s="40" t="s">
        <v>7</v>
      </c>
      <c r="M250" s="40" t="s">
        <v>14</v>
      </c>
      <c r="N250" s="40" t="s">
        <v>2585</v>
      </c>
      <c r="O250" s="41" t="s">
        <v>2586</v>
      </c>
      <c r="P250" s="41" t="s">
        <v>2587</v>
      </c>
      <c r="Q250" s="41" t="s">
        <v>2588</v>
      </c>
      <c r="R250" s="40" t="s">
        <v>426</v>
      </c>
      <c r="S250" s="41" t="s">
        <v>2589</v>
      </c>
      <c r="T250" s="41" t="s">
        <v>2590</v>
      </c>
      <c r="U250" s="41" t="s">
        <v>2591</v>
      </c>
      <c r="V250" s="69" t="s">
        <v>2592</v>
      </c>
      <c r="W250" s="68"/>
    </row>
    <row r="251" spans="1:23" ht="13" x14ac:dyDescent="0.3">
      <c r="A251" s="44">
        <v>46081.027731481481</v>
      </c>
      <c r="B251" s="45" t="s">
        <v>844</v>
      </c>
      <c r="C251" s="45" t="s">
        <v>565</v>
      </c>
      <c r="D251" s="45" t="s">
        <v>564</v>
      </c>
      <c r="E251" s="45" t="s">
        <v>824</v>
      </c>
      <c r="F251" s="67" t="s">
        <v>1550</v>
      </c>
      <c r="G251" s="68"/>
      <c r="H251" s="45" t="s">
        <v>7</v>
      </c>
      <c r="I251" s="46"/>
      <c r="J251" s="46"/>
      <c r="K251" s="46"/>
      <c r="L251" s="45" t="s">
        <v>7</v>
      </c>
      <c r="M251" s="45" t="s">
        <v>7</v>
      </c>
      <c r="N251" s="45" t="s">
        <v>566</v>
      </c>
      <c r="O251" s="41" t="s">
        <v>2593</v>
      </c>
      <c r="P251" s="41" t="s">
        <v>2594</v>
      </c>
      <c r="Q251" s="41" t="s">
        <v>2595</v>
      </c>
      <c r="R251" s="45" t="s">
        <v>566</v>
      </c>
      <c r="S251" s="41" t="s">
        <v>2596</v>
      </c>
      <c r="T251" s="41" t="s">
        <v>2597</v>
      </c>
      <c r="U251" s="69" t="s">
        <v>2598</v>
      </c>
      <c r="V251" s="68"/>
      <c r="W251" s="68"/>
    </row>
    <row r="252" spans="1:23" ht="13" x14ac:dyDescent="0.3">
      <c r="A252" s="39">
        <v>46081.037118055552</v>
      </c>
      <c r="B252" s="40" t="s">
        <v>2599</v>
      </c>
      <c r="C252" s="40" t="s">
        <v>425</v>
      </c>
      <c r="D252" s="40" t="s">
        <v>424</v>
      </c>
      <c r="E252" s="40" t="s">
        <v>28</v>
      </c>
      <c r="F252" s="70" t="s">
        <v>1550</v>
      </c>
      <c r="G252" s="68"/>
      <c r="H252" s="40" t="s">
        <v>7</v>
      </c>
      <c r="I252" s="42"/>
      <c r="J252" s="42"/>
      <c r="K252" s="42"/>
      <c r="L252" s="40" t="s">
        <v>7</v>
      </c>
      <c r="M252" s="40" t="s">
        <v>14</v>
      </c>
      <c r="N252" s="40" t="s">
        <v>2600</v>
      </c>
      <c r="O252" s="41" t="s">
        <v>2601</v>
      </c>
      <c r="P252" s="41" t="s">
        <v>2602</v>
      </c>
      <c r="Q252" s="41" t="s">
        <v>2603</v>
      </c>
      <c r="R252" s="40" t="s">
        <v>426</v>
      </c>
      <c r="S252" s="41" t="s">
        <v>2604</v>
      </c>
      <c r="T252" s="41" t="s">
        <v>2605</v>
      </c>
      <c r="U252" s="41" t="s">
        <v>2606</v>
      </c>
      <c r="V252" s="69" t="s">
        <v>2607</v>
      </c>
      <c r="W252" s="68"/>
    </row>
    <row r="253" spans="1:23" ht="13" x14ac:dyDescent="0.3">
      <c r="A253" s="52">
        <v>46081.05636574074</v>
      </c>
      <c r="B253" s="53" t="s">
        <v>1027</v>
      </c>
      <c r="C253" s="53" t="s">
        <v>391</v>
      </c>
      <c r="D253" s="53" t="s">
        <v>390</v>
      </c>
      <c r="E253" s="53" t="s">
        <v>6</v>
      </c>
      <c r="F253" s="71" t="s">
        <v>1550</v>
      </c>
      <c r="G253" s="72"/>
      <c r="H253" s="53" t="s">
        <v>14</v>
      </c>
      <c r="I253" s="54"/>
      <c r="J253" s="54"/>
      <c r="K253" s="54"/>
      <c r="L253" s="53" t="s">
        <v>14</v>
      </c>
      <c r="M253" s="53" t="s">
        <v>14</v>
      </c>
      <c r="N253" s="71" t="s">
        <v>2608</v>
      </c>
      <c r="O253" s="72"/>
      <c r="P253" s="72"/>
      <c r="Q253" s="55" t="s">
        <v>2609</v>
      </c>
      <c r="R253" s="53" t="s">
        <v>2608</v>
      </c>
      <c r="S253" s="55" t="s">
        <v>2610</v>
      </c>
      <c r="T253" s="55" t="s">
        <v>2611</v>
      </c>
      <c r="U253" s="55" t="s">
        <v>2612</v>
      </c>
      <c r="V253" s="73" t="s">
        <v>2613</v>
      </c>
      <c r="W253" s="72"/>
    </row>
  </sheetData>
  <mergeCells count="391">
    <mergeCell ref="F155:G155"/>
    <mergeCell ref="N155:Q155"/>
    <mergeCell ref="V155:W155"/>
    <mergeCell ref="F156:G156"/>
    <mergeCell ref="F157:G157"/>
    <mergeCell ref="F158:G158"/>
    <mergeCell ref="F159:G159"/>
    <mergeCell ref="F160:G160"/>
    <mergeCell ref="U160:W160"/>
    <mergeCell ref="F161:G161"/>
    <mergeCell ref="U161:W161"/>
    <mergeCell ref="F162:G162"/>
    <mergeCell ref="U162:W162"/>
    <mergeCell ref="U163:W163"/>
    <mergeCell ref="V156:W156"/>
    <mergeCell ref="V159:W159"/>
    <mergeCell ref="V157:W157"/>
    <mergeCell ref="V158:W158"/>
    <mergeCell ref="V164:W164"/>
    <mergeCell ref="V165:W165"/>
    <mergeCell ref="V166:W166"/>
    <mergeCell ref="V167:W167"/>
    <mergeCell ref="V168:W168"/>
    <mergeCell ref="F163:G163"/>
    <mergeCell ref="F164:G164"/>
    <mergeCell ref="F165:G165"/>
    <mergeCell ref="F166:G166"/>
    <mergeCell ref="F167:G167"/>
    <mergeCell ref="F168:G168"/>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V224:W224"/>
    <mergeCell ref="U225:W225"/>
    <mergeCell ref="V226:W226"/>
    <mergeCell ref="V227:W227"/>
    <mergeCell ref="V228:W228"/>
    <mergeCell ref="V229:W229"/>
    <mergeCell ref="V230:W230"/>
    <mergeCell ref="U231:W231"/>
    <mergeCell ref="V232:W232"/>
    <mergeCell ref="U233:W233"/>
    <mergeCell ref="V234:W234"/>
    <mergeCell ref="V235:W235"/>
    <mergeCell ref="V236:W236"/>
    <mergeCell ref="V237:W237"/>
    <mergeCell ref="V238:W238"/>
    <mergeCell ref="U239:W239"/>
    <mergeCell ref="U240:W240"/>
    <mergeCell ref="V241:W241"/>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V182:W182"/>
    <mergeCell ref="V183:W183"/>
    <mergeCell ref="V184:W184"/>
    <mergeCell ref="U185:W185"/>
    <mergeCell ref="V186:W186"/>
    <mergeCell ref="U187:W187"/>
    <mergeCell ref="V188:W188"/>
    <mergeCell ref="V189:W189"/>
    <mergeCell ref="V190:W190"/>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206:W206"/>
    <mergeCell ref="U207:W207"/>
    <mergeCell ref="V208:W208"/>
    <mergeCell ref="V209:W209"/>
    <mergeCell ref="V210:W210"/>
    <mergeCell ref="V211:W211"/>
    <mergeCell ref="V212:W212"/>
    <mergeCell ref="V213:W213"/>
    <mergeCell ref="V214:W214"/>
    <mergeCell ref="V215:W215"/>
    <mergeCell ref="V216:W216"/>
    <mergeCell ref="V217:W217"/>
    <mergeCell ref="U218:W218"/>
    <mergeCell ref="U219:W219"/>
    <mergeCell ref="U220:W220"/>
    <mergeCell ref="U221:W221"/>
    <mergeCell ref="V222:W222"/>
    <mergeCell ref="U223:W223"/>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V122:W122"/>
    <mergeCell ref="V123:W123"/>
    <mergeCell ref="V124:W124"/>
    <mergeCell ref="U126:W126"/>
    <mergeCell ref="V127:W127"/>
    <mergeCell ref="U128:W128"/>
    <mergeCell ref="V129:W129"/>
    <mergeCell ref="V130:W130"/>
    <mergeCell ref="V131:W131"/>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F152:G152"/>
    <mergeCell ref="U146:W146"/>
    <mergeCell ref="V147:W147"/>
    <mergeCell ref="F140:G140"/>
    <mergeCell ref="F141:G141"/>
    <mergeCell ref="F142:G142"/>
    <mergeCell ref="F143:G143"/>
    <mergeCell ref="F144:G144"/>
    <mergeCell ref="F145:G145"/>
    <mergeCell ref="V145:W145"/>
    <mergeCell ref="K115:M115"/>
    <mergeCell ref="K116:M116"/>
    <mergeCell ref="K117:M117"/>
    <mergeCell ref="F118:G118"/>
    <mergeCell ref="U118:V118"/>
    <mergeCell ref="V119:W119"/>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V151:W151"/>
    <mergeCell ref="U152:W152"/>
    <mergeCell ref="F146:G146"/>
    <mergeCell ref="F147:G147"/>
    <mergeCell ref="F148:G148"/>
    <mergeCell ref="V148:W148"/>
    <mergeCell ref="F149:G149"/>
    <mergeCell ref="U149:W149"/>
    <mergeCell ref="U150:W150"/>
    <mergeCell ref="F150:G150"/>
    <mergeCell ref="F151:G151"/>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4296875" defaultRowHeight="15" customHeight="1" x14ac:dyDescent="0.25"/>
  <cols>
    <col min="1" max="1" width="6.453125" customWidth="1"/>
    <col min="2" max="2" width="39.453125" customWidth="1"/>
    <col min="3" max="3" width="34.26953125" customWidth="1"/>
    <col min="4" max="27" width="8.54296875" customWidth="1"/>
  </cols>
  <sheetData>
    <row r="1" spans="1:12" ht="12.75" customHeight="1" x14ac:dyDescent="0.25">
      <c r="A1" s="7" t="s">
        <v>0</v>
      </c>
      <c r="B1" s="7" t="s">
        <v>2614</v>
      </c>
      <c r="C1" s="7" t="s">
        <v>2615</v>
      </c>
      <c r="D1" s="7" t="s">
        <v>2616</v>
      </c>
      <c r="E1" s="7" t="s">
        <v>2617</v>
      </c>
      <c r="F1" s="7" t="s">
        <v>2618</v>
      </c>
      <c r="G1" s="7" t="s">
        <v>2619</v>
      </c>
      <c r="H1" s="7" t="s">
        <v>2620</v>
      </c>
      <c r="I1" s="7" t="s">
        <v>2621</v>
      </c>
      <c r="J1" s="7" t="s">
        <v>2622</v>
      </c>
      <c r="K1" s="7" t="s">
        <v>2623</v>
      </c>
      <c r="L1" s="7" t="s">
        <v>2624</v>
      </c>
    </row>
    <row r="2" spans="1:12" ht="98.25" customHeight="1" x14ac:dyDescent="0.25">
      <c r="A2" s="56">
        <v>1</v>
      </c>
      <c r="B2" s="56" t="e">
        <f>$B$1&amp;'Phân công'!#REF!&amp;CHAR(10)&amp;Sheet1!$C$1&amp;'Phân công'!A2&amp;CHAR(10)&amp;Sheet1!$D$1&amp;'Phân công'!#REF!&amp;CHAR(10)&amp;Sheet1!$E$1&amp;'Phân công'!#REF!&amp;CHAR(10)&amp;Sheet1!$F$1&amp;'Phân công'!#REF!</f>
        <v>#REF!</v>
      </c>
      <c r="C2" s="56" t="e">
        <f>$G$1&amp;'Phân công'!#REF!&amp;CHAR(10)&amp;Sheet1!$H$1&amp;'Phân công'!#REF!&amp;CHAR(10)&amp;Sheet1!$I$1&amp;'Phân công'!#REF!&amp;CHAR(10)&amp;Sheet1!$J$1&amp;'Phân công'!#REF!&amp;CHAR(10)&amp;$K$1&amp;'Phân công'!#REF!</f>
        <v>#REF!</v>
      </c>
    </row>
    <row r="3" spans="1:12" ht="98.25" customHeight="1" x14ac:dyDescent="0.25">
      <c r="A3" s="56">
        <v>2</v>
      </c>
      <c r="B3" s="56" t="e">
        <f>$B$1&amp;'Phân công'!#REF!&amp;CHAR(10)&amp;Sheet1!$C$1&amp;'Phân công'!A3&amp;CHAR(10)&amp;Sheet1!$D$1&amp;'Phân công'!#REF!&amp;CHAR(10)&amp;Sheet1!$E$1&amp;'Phân công'!#REF!&amp;CHAR(10)&amp;Sheet1!$F$1&amp;'Phân công'!#REF!</f>
        <v>#REF!</v>
      </c>
      <c r="C3" s="56" t="e">
        <f>$G$1&amp;'Phân công'!#REF!&amp;CHAR(10)&amp;Sheet1!$H$1&amp;'Phân công'!#REF!&amp;CHAR(10)&amp;Sheet1!$I$1&amp;'Phân công'!#REF!&amp;CHAR(10)&amp;Sheet1!$J$1&amp;'Phân công'!#REF!&amp;CHAR(10)&amp;$K$1&amp;'Phân công'!#REF!</f>
        <v>#REF!</v>
      </c>
    </row>
    <row r="4" spans="1:12" ht="98.25" customHeight="1" x14ac:dyDescent="0.25">
      <c r="A4" s="56">
        <v>3</v>
      </c>
      <c r="B4" s="56" t="e">
        <f>$B$1&amp;'Phân công'!#REF!&amp;CHAR(10)&amp;Sheet1!$C$1&amp;'Phân công'!A4&amp;CHAR(10)&amp;Sheet1!$D$1&amp;'Phân công'!#REF!&amp;CHAR(10)&amp;Sheet1!$E$1&amp;'Phân công'!#REF!&amp;CHAR(10)&amp;Sheet1!$F$1&amp;'Phân công'!#REF!</f>
        <v>#REF!</v>
      </c>
      <c r="C4" s="56" t="e">
        <f>$G$1&amp;'Phân công'!#REF!&amp;CHAR(10)&amp;Sheet1!$H$1&amp;'Phân công'!#REF!&amp;CHAR(10)&amp;Sheet1!$I$1&amp;'Phân công'!#REF!&amp;CHAR(10)&amp;Sheet1!$J$1&amp;'Phân công'!#REF!&amp;CHAR(10)&amp;$K$1&amp;'Phân công'!#REF!</f>
        <v>#REF!</v>
      </c>
    </row>
    <row r="5" spans="1:12" ht="98.25" customHeight="1" x14ac:dyDescent="0.25">
      <c r="A5" s="56">
        <v>4</v>
      </c>
      <c r="B5" s="56" t="e">
        <f>$B$1&amp;'Phân công'!#REF!&amp;CHAR(10)&amp;Sheet1!$C$1&amp;'Phân công'!A5&amp;CHAR(10)&amp;Sheet1!$D$1&amp;'Phân công'!#REF!&amp;CHAR(10)&amp;Sheet1!$E$1&amp;'Phân công'!#REF!&amp;CHAR(10)&amp;Sheet1!$F$1&amp;'Phân công'!#REF!</f>
        <v>#REF!</v>
      </c>
      <c r="C5" s="56" t="e">
        <f>$G$1&amp;'Phân công'!#REF!&amp;CHAR(10)&amp;Sheet1!$H$1&amp;'Phân công'!#REF!&amp;CHAR(10)&amp;Sheet1!$I$1&amp;'Phân công'!#REF!&amp;CHAR(10)&amp;Sheet1!$J$1&amp;'Phân công'!#REF!&amp;CHAR(10)&amp;$K$1&amp;'Phân công'!#REF!</f>
        <v>#REF!</v>
      </c>
    </row>
    <row r="6" spans="1:12" ht="98.25" customHeight="1" x14ac:dyDescent="0.25">
      <c r="A6" s="56">
        <v>5</v>
      </c>
      <c r="B6" s="56" t="e">
        <f>$B$1&amp;'Phân công'!#REF!&amp;CHAR(10)&amp;Sheet1!$C$1&amp;'Phân công'!A6&amp;CHAR(10)&amp;Sheet1!$D$1&amp;'Phân công'!#REF!&amp;CHAR(10)&amp;Sheet1!$E$1&amp;'Phân công'!#REF!&amp;CHAR(10)&amp;Sheet1!$F$1&amp;'Phân công'!#REF!</f>
        <v>#REF!</v>
      </c>
      <c r="C6" s="56" t="e">
        <f>$G$1&amp;'Phân công'!#REF!&amp;CHAR(10)&amp;Sheet1!$H$1&amp;'Phân công'!#REF!&amp;CHAR(10)&amp;Sheet1!$I$1&amp;'Phân công'!#REF!&amp;CHAR(10)&amp;Sheet1!$J$1&amp;'Phân công'!#REF!&amp;CHAR(10)&amp;$K$1&amp;'Phân công'!#REF!</f>
        <v>#REF!</v>
      </c>
    </row>
    <row r="7" spans="1:12" ht="98.25" customHeight="1" x14ac:dyDescent="0.25">
      <c r="A7" s="56">
        <v>6</v>
      </c>
      <c r="B7" s="56" t="e">
        <f>$B$1&amp;'Phân công'!#REF!&amp;CHAR(10)&amp;Sheet1!$C$1&amp;'Phân công'!#REF!&amp;CHAR(10)&amp;Sheet1!$D$1&amp;'Phân công'!#REF!&amp;CHAR(10)&amp;Sheet1!$E$1&amp;'Phân công'!#REF!&amp;CHAR(10)&amp;Sheet1!$F$1&amp;'Phân công'!#REF!</f>
        <v>#REF!</v>
      </c>
      <c r="C7" s="56" t="e">
        <f>$G$1&amp;'Phân công'!#REF!&amp;CHAR(10)&amp;Sheet1!$H$1&amp;'Phân công'!#REF!&amp;CHAR(10)&amp;Sheet1!$I$1&amp;'Phân công'!#REF!&amp;CHAR(10)&amp;Sheet1!$J$1&amp;'Phân công'!#REF!&amp;CHAR(10)&amp;$K$1&amp;'Phân công'!#REF!</f>
        <v>#REF!</v>
      </c>
    </row>
    <row r="8" spans="1:12" ht="98.25" customHeight="1" x14ac:dyDescent="0.25">
      <c r="A8" s="56">
        <v>7</v>
      </c>
      <c r="B8" s="56" t="e">
        <f>$B$1&amp;'Phân công'!#REF!&amp;CHAR(10)&amp;Sheet1!$C$1&amp;'Phân công'!#REF!&amp;CHAR(10)&amp;Sheet1!$D$1&amp;'Phân công'!#REF!&amp;CHAR(10)&amp;Sheet1!$E$1&amp;'Phân công'!#REF!&amp;CHAR(10)&amp;Sheet1!$F$1&amp;'Phân công'!#REF!</f>
        <v>#REF!</v>
      </c>
      <c r="C8" s="56" t="e">
        <f>$G$1&amp;'Phân công'!#REF!&amp;CHAR(10)&amp;Sheet1!$H$1&amp;'Phân công'!#REF!&amp;CHAR(10)&amp;Sheet1!$I$1&amp;'Phân công'!#REF!&amp;CHAR(10)&amp;Sheet1!$J$1&amp;'Phân công'!#REF!&amp;CHAR(10)&amp;$K$1&amp;'Phân công'!#REF!</f>
        <v>#REF!</v>
      </c>
    </row>
    <row r="9" spans="1:12" ht="98.25" customHeight="1" x14ac:dyDescent="0.25">
      <c r="A9" s="56">
        <v>8</v>
      </c>
      <c r="B9" s="56" t="e">
        <f>$B$1&amp;'Phân công'!#REF!&amp;CHAR(10)&amp;Sheet1!$C$1&amp;'Phân công'!#REF!&amp;CHAR(10)&amp;Sheet1!$D$1&amp;'Phân công'!#REF!&amp;CHAR(10)&amp;Sheet1!$E$1&amp;'Phân công'!#REF!&amp;CHAR(10)&amp;Sheet1!$F$1&amp;'Phân công'!#REF!</f>
        <v>#REF!</v>
      </c>
      <c r="C9" s="56" t="e">
        <f>$G$1&amp;'Phân công'!#REF!&amp;CHAR(10)&amp;Sheet1!$H$1&amp;'Phân công'!#REF!&amp;CHAR(10)&amp;Sheet1!$I$1&amp;'Phân công'!#REF!&amp;CHAR(10)&amp;Sheet1!$J$1&amp;'Phân công'!#REF!&amp;CHAR(10)&amp;$K$1&amp;'Phân công'!#REF!</f>
        <v>#REF!</v>
      </c>
    </row>
    <row r="10" spans="1:12" ht="98.25" customHeight="1" x14ac:dyDescent="0.25">
      <c r="A10" s="56">
        <v>9</v>
      </c>
      <c r="B10" s="56" t="e">
        <f>$B$1&amp;'Phân công'!#REF!&amp;CHAR(10)&amp;Sheet1!$C$1&amp;'Phân công'!#REF!&amp;CHAR(10)&amp;Sheet1!$D$1&amp;'Phân công'!#REF!&amp;CHAR(10)&amp;Sheet1!$E$1&amp;'Phân công'!#REF!&amp;CHAR(10)&amp;Sheet1!$F$1&amp;'Phân công'!#REF!</f>
        <v>#REF!</v>
      </c>
      <c r="C10" s="56" t="e">
        <f>$G$1&amp;'Phân công'!#REF!&amp;CHAR(10)&amp;Sheet1!$H$1&amp;'Phân công'!#REF!&amp;CHAR(10)&amp;Sheet1!$I$1&amp;'Phân công'!#REF!&amp;CHAR(10)&amp;Sheet1!$J$1&amp;'Phân công'!#REF!&amp;CHAR(10)&amp;$K$1&amp;'Phân công'!#REF!</f>
        <v>#REF!</v>
      </c>
    </row>
    <row r="11" spans="1:12" ht="98.25" customHeight="1" x14ac:dyDescent="0.25">
      <c r="A11" s="56">
        <v>10</v>
      </c>
      <c r="B11" s="56" t="e">
        <f>$B$1&amp;'Phân công'!#REF!&amp;CHAR(10)&amp;Sheet1!$C$1&amp;'Phân công'!A7&amp;CHAR(10)&amp;Sheet1!$D$1&amp;'Phân công'!#REF!&amp;CHAR(10)&amp;Sheet1!$E$1&amp;'Phân công'!#REF!&amp;CHAR(10)&amp;Sheet1!$F$1&amp;'Phân công'!#REF!</f>
        <v>#REF!</v>
      </c>
      <c r="C11" s="56" t="e">
        <f>$G$1&amp;'Phân công'!#REF!&amp;CHAR(10)&amp;Sheet1!$H$1&amp;'Phân công'!#REF!&amp;CHAR(10)&amp;Sheet1!$I$1&amp;'Phân công'!#REF!&amp;CHAR(10)&amp;Sheet1!$J$1&amp;'Phân công'!#REF!&amp;CHAR(10)&amp;$K$1&amp;'Phân công'!#REF!</f>
        <v>#REF!</v>
      </c>
    </row>
    <row r="12" spans="1:12" ht="98.25" customHeight="1" x14ac:dyDescent="0.25">
      <c r="A12" s="56">
        <v>11</v>
      </c>
      <c r="B12" s="56" t="e">
        <f>$B$1&amp;'Phân công'!#REF!&amp;CHAR(10)&amp;Sheet1!$C$1&amp;'Phân công'!A8&amp;CHAR(10)&amp;Sheet1!$D$1&amp;'Phân công'!#REF!&amp;CHAR(10)&amp;Sheet1!$E$1&amp;'Phân công'!#REF!&amp;CHAR(10)&amp;Sheet1!$F$1&amp;'Phân công'!#REF!</f>
        <v>#REF!</v>
      </c>
      <c r="C12" s="56" t="e">
        <f>$G$1&amp;'Phân công'!#REF!&amp;CHAR(10)&amp;Sheet1!$H$1&amp;'Phân công'!#REF!&amp;CHAR(10)&amp;Sheet1!$I$1&amp;'Phân công'!#REF!&amp;CHAR(10)&amp;Sheet1!$J$1&amp;'Phân công'!#REF!&amp;CHAR(10)&amp;$K$1&amp;'Phân công'!#REF!</f>
        <v>#REF!</v>
      </c>
    </row>
    <row r="13" spans="1:12" ht="98.25" customHeight="1" x14ac:dyDescent="0.25">
      <c r="A13" s="56">
        <v>12</v>
      </c>
      <c r="B13" s="56" t="e">
        <f>$B$1&amp;'Phân công'!#REF!&amp;CHAR(10)&amp;Sheet1!$C$1&amp;'Phân công'!A9&amp;CHAR(10)&amp;Sheet1!$D$1&amp;'Phân công'!#REF!&amp;CHAR(10)&amp;Sheet1!$E$1&amp;'Phân công'!#REF!&amp;CHAR(10)&amp;Sheet1!$F$1&amp;'Phân công'!#REF!</f>
        <v>#REF!</v>
      </c>
      <c r="C13" s="56" t="e">
        <f>$G$1&amp;'Phân công'!#REF!&amp;CHAR(10)&amp;Sheet1!$H$1&amp;'Phân công'!#REF!&amp;CHAR(10)&amp;Sheet1!$I$1&amp;'Phân công'!#REF!&amp;CHAR(10)&amp;Sheet1!$J$1&amp;'Phân công'!#REF!&amp;CHAR(10)&amp;$K$1&amp;'Phân công'!#REF!</f>
        <v>#REF!</v>
      </c>
    </row>
    <row r="14" spans="1:12" ht="98.25" customHeight="1" x14ac:dyDescent="0.25">
      <c r="A14" s="56">
        <v>13</v>
      </c>
      <c r="B14" s="56" t="e">
        <f>$B$1&amp;'Phân công'!#REF!&amp;CHAR(10)&amp;Sheet1!$C$1&amp;'Phân công'!A10&amp;CHAR(10)&amp;Sheet1!$D$1&amp;'Phân công'!#REF!&amp;CHAR(10)&amp;Sheet1!$E$1&amp;'Phân công'!#REF!&amp;CHAR(10)&amp;Sheet1!$F$1&amp;'Phân công'!#REF!</f>
        <v>#REF!</v>
      </c>
      <c r="C14" s="56" t="e">
        <f>$G$1&amp;'Phân công'!#REF!&amp;CHAR(10)&amp;Sheet1!$H$1&amp;'Phân công'!#REF!&amp;CHAR(10)&amp;Sheet1!$I$1&amp;'Phân công'!#REF!&amp;CHAR(10)&amp;Sheet1!$J$1&amp;'Phân công'!#REF!&amp;CHAR(10)&amp;$K$1&amp;'Phân công'!#REF!</f>
        <v>#REF!</v>
      </c>
    </row>
    <row r="15" spans="1:12" ht="98.25" customHeight="1" x14ac:dyDescent="0.25">
      <c r="A15" s="56">
        <v>14</v>
      </c>
      <c r="B15" s="56" t="e">
        <f>$B$1&amp;'Phân công'!#REF!&amp;CHAR(10)&amp;Sheet1!$C$1&amp;'Phân công'!A11&amp;CHAR(10)&amp;Sheet1!$D$1&amp;'Phân công'!#REF!&amp;CHAR(10)&amp;Sheet1!$E$1&amp;'Phân công'!#REF!&amp;CHAR(10)&amp;Sheet1!$F$1&amp;'Phân công'!#REF!</f>
        <v>#REF!</v>
      </c>
      <c r="C15" s="56" t="e">
        <f>$G$1&amp;'Phân công'!#REF!&amp;CHAR(10)&amp;Sheet1!$H$1&amp;'Phân công'!#REF!&amp;CHAR(10)&amp;Sheet1!$I$1&amp;'Phân công'!#REF!&amp;CHAR(10)&amp;Sheet1!$J$1&amp;'Phân công'!#REF!&amp;CHAR(10)&amp;$K$1&amp;'Phân công'!#REF!</f>
        <v>#REF!</v>
      </c>
    </row>
    <row r="16" spans="1:12" ht="98.25" customHeight="1" x14ac:dyDescent="0.25">
      <c r="A16" s="56">
        <v>15</v>
      </c>
      <c r="B16" s="56" t="e">
        <f>$B$1&amp;'Phân công'!#REF!&amp;CHAR(10)&amp;Sheet1!$C$1&amp;'Phân công'!A12&amp;CHAR(10)&amp;Sheet1!$D$1&amp;'Phân công'!#REF!&amp;CHAR(10)&amp;Sheet1!$E$1&amp;'Phân công'!#REF!&amp;CHAR(10)&amp;Sheet1!$F$1&amp;'Phân công'!#REF!</f>
        <v>#REF!</v>
      </c>
      <c r="C16" s="56" t="e">
        <f>$G$1&amp;'Phân công'!#REF!&amp;CHAR(10)&amp;Sheet1!$H$1&amp;'Phân công'!#REF!&amp;CHAR(10)&amp;Sheet1!$I$1&amp;'Phân công'!#REF!&amp;CHAR(10)&amp;Sheet1!$J$1&amp;'Phân công'!#REF!&amp;CHAR(10)&amp;$K$1&amp;'Phân công'!#REF!</f>
        <v>#REF!</v>
      </c>
    </row>
    <row r="17" spans="1:3" ht="98.25" customHeight="1" x14ac:dyDescent="0.25">
      <c r="A17" s="56">
        <v>16</v>
      </c>
      <c r="B17" s="56" t="e">
        <f>$B$1&amp;'Phân công'!#REF!&amp;CHAR(10)&amp;Sheet1!$C$1&amp;'Phân công'!A13&amp;CHAR(10)&amp;Sheet1!$D$1&amp;'Phân công'!#REF!&amp;CHAR(10)&amp;Sheet1!$E$1&amp;'Phân công'!#REF!&amp;CHAR(10)&amp;Sheet1!$F$1&amp;'Phân công'!#REF!</f>
        <v>#REF!</v>
      </c>
      <c r="C17" s="56" t="e">
        <f>$G$1&amp;'Phân công'!#REF!&amp;CHAR(10)&amp;Sheet1!$H$1&amp;'Phân công'!#REF!&amp;CHAR(10)&amp;Sheet1!$I$1&amp;'Phân công'!#REF!&amp;CHAR(10)&amp;Sheet1!$J$1&amp;'Phân công'!#REF!&amp;CHAR(10)&amp;$K$1&amp;'Phân công'!#REF!</f>
        <v>#REF!</v>
      </c>
    </row>
    <row r="18" spans="1:3" ht="98.25" customHeight="1" x14ac:dyDescent="0.25">
      <c r="A18" s="56">
        <v>17</v>
      </c>
      <c r="B18" s="56" t="e">
        <f>$B$1&amp;'Phân công'!#REF!&amp;CHAR(10)&amp;Sheet1!$C$1&amp;'Phân công'!A14&amp;CHAR(10)&amp;Sheet1!$D$1&amp;'Phân công'!#REF!&amp;CHAR(10)&amp;Sheet1!$E$1&amp;'Phân công'!#REF!&amp;CHAR(10)&amp;Sheet1!$F$1&amp;'Phân công'!#REF!</f>
        <v>#REF!</v>
      </c>
      <c r="C18" s="56" t="e">
        <f>$G$1&amp;'Phân công'!#REF!&amp;CHAR(10)&amp;Sheet1!$H$1&amp;'Phân công'!#REF!&amp;CHAR(10)&amp;Sheet1!$I$1&amp;'Phân công'!#REF!&amp;CHAR(10)&amp;Sheet1!$J$1&amp;'Phân công'!#REF!&amp;CHAR(10)&amp;$K$1&amp;'Phân công'!#REF!</f>
        <v>#REF!</v>
      </c>
    </row>
    <row r="19" spans="1:3" ht="98.25" customHeight="1" x14ac:dyDescent="0.25">
      <c r="A19" s="56">
        <v>18</v>
      </c>
      <c r="B19" s="56" t="e">
        <f>$B$1&amp;'Phân công'!#REF!&amp;CHAR(10)&amp;Sheet1!$C$1&amp;'Phân công'!A15&amp;CHAR(10)&amp;Sheet1!$D$1&amp;'Phân công'!#REF!&amp;CHAR(10)&amp;Sheet1!$E$1&amp;'Phân công'!#REF!&amp;CHAR(10)&amp;Sheet1!$F$1&amp;'Phân công'!#REF!</f>
        <v>#REF!</v>
      </c>
      <c r="C19" s="56" t="e">
        <f>$G$1&amp;'Phân công'!#REF!&amp;CHAR(10)&amp;Sheet1!$H$1&amp;'Phân công'!#REF!&amp;CHAR(10)&amp;Sheet1!$I$1&amp;'Phân công'!#REF!&amp;CHAR(10)&amp;Sheet1!$J$1&amp;'Phân công'!#REF!&amp;CHAR(10)&amp;$K$1&amp;'Phân công'!#REF!</f>
        <v>#REF!</v>
      </c>
    </row>
    <row r="20" spans="1:3" ht="98.25" customHeight="1" x14ac:dyDescent="0.25">
      <c r="A20" s="56">
        <v>19</v>
      </c>
      <c r="B20" s="56" t="e">
        <f>$B$1&amp;'Phân công'!#REF!&amp;CHAR(10)&amp;Sheet1!$C$1&amp;'Phân công'!A16&amp;CHAR(10)&amp;Sheet1!$D$1&amp;'Phân công'!#REF!&amp;CHAR(10)&amp;Sheet1!$E$1&amp;'Phân công'!#REF!&amp;CHAR(10)&amp;Sheet1!$F$1&amp;'Phân công'!#REF!</f>
        <v>#REF!</v>
      </c>
      <c r="C20" s="56" t="e">
        <f>$G$1&amp;'Phân công'!#REF!&amp;CHAR(10)&amp;Sheet1!$H$1&amp;'Phân công'!#REF!&amp;CHAR(10)&amp;Sheet1!$I$1&amp;'Phân công'!#REF!&amp;CHAR(10)&amp;Sheet1!$J$1&amp;'Phân công'!#REF!&amp;CHAR(10)&amp;$K$1&amp;'Phân công'!#REF!</f>
        <v>#REF!</v>
      </c>
    </row>
    <row r="21" spans="1:3" ht="98.25" customHeight="1" x14ac:dyDescent="0.25">
      <c r="A21" s="56">
        <v>20</v>
      </c>
      <c r="B21" s="56" t="e">
        <f>$B$1&amp;'Phân công'!#REF!&amp;CHAR(10)&amp;Sheet1!$C$1&amp;'Phân công'!A17&amp;CHAR(10)&amp;Sheet1!$D$1&amp;'Phân công'!#REF!&amp;CHAR(10)&amp;Sheet1!$E$1&amp;'Phân công'!#REF!&amp;CHAR(10)&amp;Sheet1!$F$1&amp;'Phân công'!#REF!</f>
        <v>#REF!</v>
      </c>
      <c r="C21" s="56" t="e">
        <f>$G$1&amp;'Phân công'!#REF!&amp;CHAR(10)&amp;Sheet1!$H$1&amp;'Phân công'!#REF!&amp;CHAR(10)&amp;Sheet1!$I$1&amp;'Phân công'!#REF!&amp;CHAR(10)&amp;Sheet1!$J$1&amp;'Phân công'!#REF!&amp;CHAR(10)&amp;$K$1&amp;'Phân công'!#REF!</f>
        <v>#REF!</v>
      </c>
    </row>
    <row r="22" spans="1:3" ht="98.25" customHeight="1" x14ac:dyDescent="0.25">
      <c r="A22" s="56">
        <v>21</v>
      </c>
      <c r="B22" s="56" t="e">
        <f>$B$1&amp;'Phân công'!#REF!&amp;CHAR(10)&amp;Sheet1!$C$1&amp;'Phân công'!A18&amp;CHAR(10)&amp;Sheet1!$D$1&amp;'Phân công'!#REF!&amp;CHAR(10)&amp;Sheet1!$E$1&amp;'Phân công'!#REF!&amp;CHAR(10)&amp;Sheet1!$F$1&amp;'Phân công'!#REF!</f>
        <v>#REF!</v>
      </c>
      <c r="C22" s="56" t="e">
        <f>$G$1&amp;'Phân công'!#REF!&amp;CHAR(10)&amp;Sheet1!$H$1&amp;'Phân công'!#REF!&amp;CHAR(10)&amp;Sheet1!$I$1&amp;'Phân công'!#REF!&amp;CHAR(10)&amp;Sheet1!$J$1&amp;'Phân công'!#REF!&amp;CHAR(10)&amp;$K$1&amp;'Phân công'!#REF!</f>
        <v>#REF!</v>
      </c>
    </row>
    <row r="23" spans="1:3" ht="98.25" customHeight="1" x14ac:dyDescent="0.25">
      <c r="A23" s="56">
        <v>22</v>
      </c>
      <c r="B23" s="56" t="e">
        <f>$B$1&amp;'Phân công'!#REF!&amp;CHAR(10)&amp;Sheet1!$C$1&amp;'Phân công'!A19&amp;CHAR(10)&amp;Sheet1!$D$1&amp;'Phân công'!#REF!&amp;CHAR(10)&amp;Sheet1!$E$1&amp;'Phân công'!#REF!&amp;CHAR(10)&amp;Sheet1!$F$1&amp;'Phân công'!#REF!</f>
        <v>#REF!</v>
      </c>
      <c r="C23" s="56" t="e">
        <f>$G$1&amp;'Phân công'!#REF!&amp;CHAR(10)&amp;Sheet1!$H$1&amp;'Phân công'!#REF!&amp;CHAR(10)&amp;Sheet1!$I$1&amp;'Phân công'!#REF!&amp;CHAR(10)&amp;Sheet1!$J$1&amp;'Phân công'!#REF!&amp;CHAR(10)&amp;$K$1&amp;'Phân công'!#REF!</f>
        <v>#REF!</v>
      </c>
    </row>
    <row r="24" spans="1:3" ht="98.25" customHeight="1" x14ac:dyDescent="0.25">
      <c r="A24" s="56">
        <v>23</v>
      </c>
      <c r="B24" s="56" t="e">
        <f>$B$1&amp;'Phân công'!#REF!&amp;CHAR(10)&amp;Sheet1!$C$1&amp;'Phân công'!A20&amp;CHAR(10)&amp;Sheet1!$D$1&amp;'Phân công'!#REF!&amp;CHAR(10)&amp;Sheet1!$E$1&amp;'Phân công'!#REF!&amp;CHAR(10)&amp;Sheet1!$F$1&amp;'Phân công'!#REF!</f>
        <v>#REF!</v>
      </c>
      <c r="C24" s="56" t="e">
        <f>$G$1&amp;'Phân công'!#REF!&amp;CHAR(10)&amp;Sheet1!$H$1&amp;'Phân công'!#REF!&amp;CHAR(10)&amp;Sheet1!$I$1&amp;'Phân công'!#REF!&amp;CHAR(10)&amp;Sheet1!$J$1&amp;'Phân công'!#REF!&amp;CHAR(10)&amp;$K$1&amp;'Phân công'!#REF!</f>
        <v>#REF!</v>
      </c>
    </row>
    <row r="25" spans="1:3" ht="98.25" customHeight="1" x14ac:dyDescent="0.25">
      <c r="A25" s="56">
        <v>24</v>
      </c>
      <c r="B25" s="56" t="e">
        <f>$B$1&amp;'Phân công'!#REF!&amp;CHAR(10)&amp;Sheet1!$C$1&amp;'Phân công'!A21&amp;CHAR(10)&amp;Sheet1!$D$1&amp;'Phân công'!#REF!&amp;CHAR(10)&amp;Sheet1!$E$1&amp;'Phân công'!#REF!&amp;CHAR(10)&amp;Sheet1!$F$1&amp;'Phân công'!#REF!</f>
        <v>#REF!</v>
      </c>
      <c r="C25" s="56" t="e">
        <f>$G$1&amp;'Phân công'!#REF!&amp;CHAR(10)&amp;Sheet1!$H$1&amp;'Phân công'!#REF!&amp;CHAR(10)&amp;Sheet1!$I$1&amp;'Phân công'!#REF!&amp;CHAR(10)&amp;Sheet1!$J$1&amp;'Phân công'!#REF!&amp;CHAR(10)&amp;$K$1&amp;'Phân công'!#REF!</f>
        <v>#REF!</v>
      </c>
    </row>
    <row r="26" spans="1:3" ht="98.25" customHeight="1" x14ac:dyDescent="0.25">
      <c r="A26" s="56">
        <v>25</v>
      </c>
      <c r="B26" s="56" t="e">
        <f>$B$1&amp;'Phân công'!#REF!&amp;CHAR(10)&amp;Sheet1!$C$1&amp;'Phân công'!A22&amp;CHAR(10)&amp;Sheet1!$D$1&amp;'Phân công'!#REF!&amp;CHAR(10)&amp;Sheet1!$E$1&amp;'Phân công'!#REF!&amp;CHAR(10)&amp;Sheet1!$F$1&amp;'Phân công'!#REF!</f>
        <v>#REF!</v>
      </c>
      <c r="C26" s="56" t="e">
        <f>$G$1&amp;'Phân công'!#REF!&amp;CHAR(10)&amp;Sheet1!$H$1&amp;'Phân công'!#REF!&amp;CHAR(10)&amp;Sheet1!$I$1&amp;'Phân công'!#REF!&amp;CHAR(10)&amp;Sheet1!$J$1&amp;'Phân công'!#REF!&amp;CHAR(10)&amp;$K$1&amp;'Phân công'!#REF!</f>
        <v>#REF!</v>
      </c>
    </row>
    <row r="27" spans="1:3" ht="98.25" customHeight="1" x14ac:dyDescent="0.25">
      <c r="A27" s="56">
        <v>26</v>
      </c>
      <c r="B27" s="56" t="e">
        <f>$B$1&amp;'Phân công'!#REF!&amp;CHAR(10)&amp;Sheet1!$C$1&amp;'Phân công'!A23&amp;CHAR(10)&amp;Sheet1!$D$1&amp;'Phân công'!#REF!&amp;CHAR(10)&amp;Sheet1!$E$1&amp;'Phân công'!#REF!&amp;CHAR(10)&amp;Sheet1!$F$1&amp;'Phân công'!#REF!</f>
        <v>#REF!</v>
      </c>
      <c r="C27" s="56" t="e">
        <f>$G$1&amp;'Phân công'!#REF!&amp;CHAR(10)&amp;Sheet1!$H$1&amp;'Phân công'!#REF!&amp;CHAR(10)&amp;Sheet1!$I$1&amp;'Phân công'!#REF!&amp;CHAR(10)&amp;Sheet1!$J$1&amp;'Phân công'!#REF!&amp;CHAR(10)&amp;$K$1&amp;'Phân công'!#REF!</f>
        <v>#REF!</v>
      </c>
    </row>
    <row r="28" spans="1:3" ht="98.25" customHeight="1" x14ac:dyDescent="0.25">
      <c r="A28" s="56">
        <v>27</v>
      </c>
      <c r="B28" s="56" t="e">
        <f>$B$1&amp;'Phân công'!#REF!&amp;CHAR(10)&amp;Sheet1!$C$1&amp;'Phân công'!A24&amp;CHAR(10)&amp;Sheet1!$D$1&amp;'Phân công'!#REF!&amp;CHAR(10)&amp;Sheet1!$E$1&amp;'Phân công'!#REF!&amp;CHAR(10)&amp;Sheet1!$F$1&amp;'Phân công'!#REF!</f>
        <v>#REF!</v>
      </c>
      <c r="C28" s="56" t="e">
        <f>$G$1&amp;'Phân công'!#REF!&amp;CHAR(10)&amp;Sheet1!$H$1&amp;'Phân công'!#REF!&amp;CHAR(10)&amp;Sheet1!$I$1&amp;'Phân công'!#REF!&amp;CHAR(10)&amp;Sheet1!$J$1&amp;'Phân công'!#REF!&amp;CHAR(10)&amp;$K$1&amp;'Phân công'!#REF!</f>
        <v>#REF!</v>
      </c>
    </row>
    <row r="29" spans="1:3" ht="98.25" customHeight="1" x14ac:dyDescent="0.25">
      <c r="A29" s="56">
        <v>28</v>
      </c>
      <c r="B29" s="56" t="e">
        <f>$B$1&amp;'Phân công'!#REF!&amp;CHAR(10)&amp;Sheet1!$C$1&amp;'Phân công'!A25&amp;CHAR(10)&amp;Sheet1!$D$1&amp;'Phân công'!#REF!&amp;CHAR(10)&amp;Sheet1!$E$1&amp;'Phân công'!#REF!&amp;CHAR(10)&amp;Sheet1!$F$1&amp;'Phân công'!#REF!</f>
        <v>#REF!</v>
      </c>
      <c r="C29" s="56" t="e">
        <f>$G$1&amp;'Phân công'!#REF!&amp;CHAR(10)&amp;Sheet1!$H$1&amp;'Phân công'!#REF!&amp;CHAR(10)&amp;Sheet1!$I$1&amp;'Phân công'!#REF!&amp;CHAR(10)&amp;Sheet1!$J$1&amp;'Phân công'!#REF!&amp;CHAR(10)&amp;$K$1&amp;'Phân công'!#REF!</f>
        <v>#REF!</v>
      </c>
    </row>
    <row r="30" spans="1:3" ht="98.25" customHeight="1" x14ac:dyDescent="0.25">
      <c r="A30" s="56">
        <v>29</v>
      </c>
      <c r="B30" s="56" t="e">
        <f>$B$1&amp;'Phân công'!#REF!&amp;CHAR(10)&amp;Sheet1!$C$1&amp;'Phân công'!A26&amp;CHAR(10)&amp;Sheet1!$D$1&amp;'Phân công'!#REF!&amp;CHAR(10)&amp;Sheet1!$E$1&amp;'Phân công'!#REF!&amp;CHAR(10)&amp;Sheet1!$F$1&amp;'Phân công'!#REF!</f>
        <v>#REF!</v>
      </c>
      <c r="C30" s="56" t="e">
        <f>$G$1&amp;'Phân công'!#REF!&amp;CHAR(10)&amp;Sheet1!$H$1&amp;'Phân công'!#REF!&amp;CHAR(10)&amp;Sheet1!$I$1&amp;'Phân công'!#REF!&amp;CHAR(10)&amp;Sheet1!$J$1&amp;'Phân công'!#REF!&amp;CHAR(10)&amp;$K$1&amp;'Phân công'!#REF!</f>
        <v>#REF!</v>
      </c>
    </row>
    <row r="31" spans="1:3" ht="98.25" customHeight="1" x14ac:dyDescent="0.25">
      <c r="A31" s="56">
        <v>30</v>
      </c>
      <c r="B31" s="56" t="e">
        <f>$B$1&amp;'Phân công'!#REF!&amp;CHAR(10)&amp;Sheet1!$C$1&amp;'Phân công'!A27&amp;CHAR(10)&amp;Sheet1!$D$1&amp;'Phân công'!#REF!&amp;CHAR(10)&amp;Sheet1!$E$1&amp;'Phân công'!#REF!&amp;CHAR(10)&amp;Sheet1!$F$1&amp;'Phân công'!#REF!</f>
        <v>#REF!</v>
      </c>
      <c r="C31" s="56" t="e">
        <f>$G$1&amp;'Phân công'!#REF!&amp;CHAR(10)&amp;Sheet1!$H$1&amp;'Phân công'!#REF!&amp;CHAR(10)&amp;Sheet1!$I$1&amp;'Phân công'!#REF!&amp;CHAR(10)&amp;Sheet1!$J$1&amp;'Phân công'!#REF!&amp;CHAR(10)&amp;$K$1&amp;'Phân công'!#REF!</f>
        <v>#REF!</v>
      </c>
    </row>
    <row r="32" spans="1:3" ht="98.25" customHeight="1" x14ac:dyDescent="0.25">
      <c r="A32" s="56">
        <v>31</v>
      </c>
      <c r="B32" s="56" t="e">
        <f>$B$1&amp;'Phân công'!#REF!&amp;CHAR(10)&amp;Sheet1!$C$1&amp;'Phân công'!A28&amp;CHAR(10)&amp;Sheet1!$D$1&amp;'Phân công'!#REF!&amp;CHAR(10)&amp;Sheet1!$E$1&amp;'Phân công'!#REF!&amp;CHAR(10)&amp;Sheet1!$F$1&amp;'Phân công'!#REF!</f>
        <v>#REF!</v>
      </c>
      <c r="C32" s="56" t="e">
        <f>$G$1&amp;'Phân công'!#REF!&amp;CHAR(10)&amp;Sheet1!$H$1&amp;'Phân công'!#REF!&amp;CHAR(10)&amp;Sheet1!$I$1&amp;'Phân công'!#REF!&amp;CHAR(10)&amp;Sheet1!$J$1&amp;'Phân công'!#REF!&amp;CHAR(10)&amp;$K$1&amp;'Phân công'!#REF!</f>
        <v>#REF!</v>
      </c>
    </row>
    <row r="33" spans="1:3" ht="98.25" customHeight="1" x14ac:dyDescent="0.25">
      <c r="A33" s="56">
        <v>32</v>
      </c>
      <c r="B33" s="56" t="e">
        <f>$B$1&amp;'Phân công'!#REF!&amp;CHAR(10)&amp;Sheet1!$C$1&amp;'Phân công'!A29&amp;CHAR(10)&amp;Sheet1!$D$1&amp;'Phân công'!#REF!&amp;CHAR(10)&amp;Sheet1!$E$1&amp;'Phân công'!#REF!&amp;CHAR(10)&amp;Sheet1!$F$1&amp;'Phân công'!#REF!</f>
        <v>#REF!</v>
      </c>
      <c r="C33" s="56" t="e">
        <f>$G$1&amp;'Phân công'!#REF!&amp;CHAR(10)&amp;Sheet1!$H$1&amp;'Phân công'!#REF!&amp;CHAR(10)&amp;Sheet1!$I$1&amp;'Phân công'!#REF!&amp;CHAR(10)&amp;Sheet1!$J$1&amp;'Phân công'!#REF!&amp;CHAR(10)&amp;$K$1&amp;'Phân công'!#REF!</f>
        <v>#REF!</v>
      </c>
    </row>
    <row r="34" spans="1:3" ht="98.25" customHeight="1" x14ac:dyDescent="0.25">
      <c r="A34" s="56">
        <v>33</v>
      </c>
      <c r="B34" s="56" t="e">
        <f>$B$1&amp;'Phân công'!#REF!&amp;CHAR(10)&amp;Sheet1!$C$1&amp;'Phân công'!A30&amp;CHAR(10)&amp;Sheet1!$D$1&amp;'Phân công'!#REF!&amp;CHAR(10)&amp;Sheet1!$E$1&amp;'Phân công'!#REF!&amp;CHAR(10)&amp;Sheet1!$F$1&amp;'Phân công'!#REF!</f>
        <v>#REF!</v>
      </c>
      <c r="C34" s="56" t="e">
        <f>$G$1&amp;'Phân công'!#REF!&amp;CHAR(10)&amp;Sheet1!$H$1&amp;'Phân công'!#REF!&amp;CHAR(10)&amp;Sheet1!$I$1&amp;'Phân công'!#REF!&amp;CHAR(10)&amp;Sheet1!$J$1&amp;'Phân công'!#REF!&amp;CHAR(10)&amp;$K$1&amp;'Phân công'!#REF!</f>
        <v>#REF!</v>
      </c>
    </row>
    <row r="35" spans="1:3" ht="98.25" customHeight="1" x14ac:dyDescent="0.25">
      <c r="A35" s="56">
        <v>34</v>
      </c>
      <c r="B35" s="56" t="e">
        <f>$B$1&amp;'Phân công'!#REF!&amp;CHAR(10)&amp;Sheet1!$C$1&amp;'Phân công'!#REF!&amp;CHAR(10)&amp;Sheet1!$D$1&amp;'Phân công'!#REF!&amp;CHAR(10)&amp;Sheet1!$E$1&amp;'Phân công'!#REF!&amp;CHAR(10)&amp;Sheet1!$F$1&amp;'Phân công'!#REF!</f>
        <v>#REF!</v>
      </c>
      <c r="C35" s="56" t="e">
        <f>$G$1&amp;'Phân công'!#REF!&amp;CHAR(10)&amp;Sheet1!$H$1&amp;'Phân công'!#REF!&amp;CHAR(10)&amp;Sheet1!$I$1&amp;'Phân công'!#REF!&amp;CHAR(10)&amp;Sheet1!$J$1&amp;'Phân công'!#REF!&amp;CHAR(10)&amp;$K$1&amp;'Phân công'!#REF!</f>
        <v>#REF!</v>
      </c>
    </row>
    <row r="36" spans="1:3" ht="98.25" customHeight="1" x14ac:dyDescent="0.25">
      <c r="A36" s="56">
        <v>35</v>
      </c>
      <c r="B36" s="56" t="e">
        <f>$B$1&amp;'Phân công'!#REF!&amp;CHAR(10)&amp;Sheet1!$C$1&amp;'Phân công'!#REF!&amp;CHAR(10)&amp;Sheet1!$D$1&amp;'Phân công'!#REF!&amp;CHAR(10)&amp;Sheet1!$E$1&amp;'Phân công'!#REF!&amp;CHAR(10)&amp;Sheet1!$F$1&amp;'Phân công'!#REF!</f>
        <v>#REF!</v>
      </c>
      <c r="C36" s="56" t="e">
        <f>$G$1&amp;'Phân công'!#REF!&amp;CHAR(10)&amp;Sheet1!$H$1&amp;'Phân công'!#REF!&amp;CHAR(10)&amp;Sheet1!$I$1&amp;'Phân công'!#REF!&amp;CHAR(10)&amp;Sheet1!$J$1&amp;'Phân công'!#REF!&amp;CHAR(10)&amp;$K$1&amp;'Phân công'!#REF!</f>
        <v>#REF!</v>
      </c>
    </row>
    <row r="37" spans="1:3" ht="98.25" customHeight="1" x14ac:dyDescent="0.25">
      <c r="A37" s="56">
        <v>36</v>
      </c>
      <c r="B37" s="56" t="e">
        <f>$B$1&amp;'Phân công'!#REF!&amp;CHAR(10)&amp;Sheet1!$C$1&amp;'Phân công'!#REF!&amp;CHAR(10)&amp;Sheet1!$D$1&amp;'Phân công'!#REF!&amp;CHAR(10)&amp;Sheet1!$E$1&amp;'Phân công'!#REF!&amp;CHAR(10)&amp;Sheet1!$F$1&amp;'Phân công'!#REF!</f>
        <v>#REF!</v>
      </c>
      <c r="C37" s="56" t="e">
        <f>$G$1&amp;'Phân công'!#REF!&amp;CHAR(10)&amp;Sheet1!$H$1&amp;'Phân công'!#REF!&amp;CHAR(10)&amp;Sheet1!$I$1&amp;'Phân công'!#REF!&amp;CHAR(10)&amp;Sheet1!$J$1&amp;'Phân công'!#REF!&amp;CHAR(10)&amp;$K$1&amp;'Phân công'!#REF!</f>
        <v>#REF!</v>
      </c>
    </row>
    <row r="38" spans="1:3" ht="98.25" customHeight="1" x14ac:dyDescent="0.25">
      <c r="A38" s="56">
        <v>37</v>
      </c>
      <c r="B38" s="56" t="e">
        <f>$B$1&amp;'Phân công'!#REF!&amp;CHAR(10)&amp;Sheet1!$C$1&amp;'Phân công'!#REF!&amp;CHAR(10)&amp;Sheet1!$D$1&amp;'Phân công'!#REF!&amp;CHAR(10)&amp;Sheet1!$E$1&amp;'Phân công'!#REF!&amp;CHAR(10)&amp;Sheet1!$F$1&amp;'Phân công'!#REF!</f>
        <v>#REF!</v>
      </c>
      <c r="C38" s="56" t="e">
        <f>$G$1&amp;'Phân công'!#REF!&amp;CHAR(10)&amp;Sheet1!$H$1&amp;'Phân công'!#REF!&amp;CHAR(10)&amp;Sheet1!$I$1&amp;'Phân công'!#REF!&amp;CHAR(10)&amp;Sheet1!$J$1&amp;'Phân công'!#REF!&amp;CHAR(10)&amp;$K$1&amp;'Phân công'!#REF!</f>
        <v>#REF!</v>
      </c>
    </row>
    <row r="39" spans="1:3" ht="98.25" customHeight="1" x14ac:dyDescent="0.25">
      <c r="A39" s="56">
        <v>38</v>
      </c>
      <c r="B39" s="56" t="e">
        <f>$B$1&amp;'Phân công'!#REF!&amp;CHAR(10)&amp;Sheet1!$C$1&amp;'Phân công'!#REF!&amp;CHAR(10)&amp;Sheet1!$D$1&amp;'Phân công'!#REF!&amp;CHAR(10)&amp;Sheet1!$E$1&amp;'Phân công'!#REF!&amp;CHAR(10)&amp;Sheet1!$F$1&amp;'Phân công'!#REF!</f>
        <v>#REF!</v>
      </c>
      <c r="C39" s="56" t="e">
        <f>$G$1&amp;'Phân công'!#REF!&amp;CHAR(10)&amp;Sheet1!$H$1&amp;'Phân công'!#REF!&amp;CHAR(10)&amp;Sheet1!$I$1&amp;'Phân công'!#REF!&amp;CHAR(10)&amp;Sheet1!$J$1&amp;'Phân công'!#REF!&amp;CHAR(10)&amp;$K$1&amp;'Phân công'!#REF!</f>
        <v>#REF!</v>
      </c>
    </row>
    <row r="40" spans="1:3" ht="98.25" customHeight="1" x14ac:dyDescent="0.25">
      <c r="A40" s="56">
        <v>39</v>
      </c>
      <c r="B40" s="56" t="e">
        <f>$B$1&amp;'Phân công'!#REF!&amp;CHAR(10)&amp;Sheet1!$C$1&amp;'Phân công'!#REF!&amp;CHAR(10)&amp;Sheet1!$D$1&amp;'Phân công'!#REF!&amp;CHAR(10)&amp;Sheet1!$E$1&amp;'Phân công'!#REF!&amp;CHAR(10)&amp;Sheet1!$F$1&amp;'Phân công'!#REF!</f>
        <v>#REF!</v>
      </c>
      <c r="C40" s="56" t="e">
        <f>$G$1&amp;'Phân công'!#REF!&amp;CHAR(10)&amp;Sheet1!$H$1&amp;'Phân công'!#REF!&amp;CHAR(10)&amp;Sheet1!$I$1&amp;'Phân công'!#REF!&amp;CHAR(10)&amp;Sheet1!$J$1&amp;'Phân công'!#REF!&amp;CHAR(10)&amp;$K$1&amp;'Phân công'!#REF!</f>
        <v>#REF!</v>
      </c>
    </row>
    <row r="41" spans="1:3" ht="98.25" customHeight="1" x14ac:dyDescent="0.25">
      <c r="A41" s="56">
        <v>40</v>
      </c>
      <c r="B41" s="56" t="e">
        <f>$B$1&amp;'Phân công'!#REF!&amp;CHAR(10)&amp;Sheet1!$C$1&amp;'Phân công'!A31&amp;CHAR(10)&amp;Sheet1!$D$1&amp;'Phân công'!#REF!&amp;CHAR(10)&amp;Sheet1!$E$1&amp;'Phân công'!#REF!&amp;CHAR(10)&amp;Sheet1!$F$1&amp;'Phân công'!#REF!</f>
        <v>#REF!</v>
      </c>
      <c r="C41" s="56" t="e">
        <f>$G$1&amp;'Phân công'!#REF!&amp;CHAR(10)&amp;Sheet1!$H$1&amp;'Phân công'!#REF!&amp;CHAR(10)&amp;Sheet1!$I$1&amp;'Phân công'!#REF!&amp;CHAR(10)&amp;Sheet1!$J$1&amp;'Phân công'!#REF!&amp;CHAR(10)&amp;$K$1&amp;'Phân công'!#REF!</f>
        <v>#REF!</v>
      </c>
    </row>
    <row r="42" spans="1:3" ht="98.25" customHeight="1" x14ac:dyDescent="0.25">
      <c r="A42" s="56">
        <v>41</v>
      </c>
      <c r="B42" s="56" t="e">
        <f>$B$1&amp;'Phân công'!#REF!&amp;CHAR(10)&amp;Sheet1!$C$1&amp;'Phân công'!A32&amp;CHAR(10)&amp;Sheet1!$D$1&amp;'Phân công'!#REF!&amp;CHAR(10)&amp;Sheet1!$E$1&amp;'Phân công'!#REF!&amp;CHAR(10)&amp;Sheet1!$F$1&amp;'Phân công'!#REF!</f>
        <v>#REF!</v>
      </c>
      <c r="C42" s="56" t="e">
        <f>$G$1&amp;'Phân công'!#REF!&amp;CHAR(10)&amp;Sheet1!$H$1&amp;'Phân công'!#REF!&amp;CHAR(10)&amp;Sheet1!$I$1&amp;'Phân công'!#REF!&amp;CHAR(10)&amp;Sheet1!$J$1&amp;'Phân công'!#REF!&amp;CHAR(10)&amp;$K$1&amp;'Phân công'!#REF!</f>
        <v>#REF!</v>
      </c>
    </row>
    <row r="43" spans="1:3" ht="98.25" customHeight="1" x14ac:dyDescent="0.25">
      <c r="A43" s="56">
        <v>42</v>
      </c>
      <c r="B43" s="56" t="e">
        <f>$B$1&amp;'Phân công'!#REF!&amp;CHAR(10)&amp;Sheet1!$C$1&amp;'Phân công'!A33&amp;CHAR(10)&amp;Sheet1!$D$1&amp;'Phân công'!#REF!&amp;CHAR(10)&amp;Sheet1!$E$1&amp;'Phân công'!#REF!&amp;CHAR(10)&amp;Sheet1!$F$1&amp;'Phân công'!#REF!</f>
        <v>#REF!</v>
      </c>
      <c r="C43" s="56" t="e">
        <f>$G$1&amp;'Phân công'!#REF!&amp;CHAR(10)&amp;Sheet1!$H$1&amp;'Phân công'!#REF!&amp;CHAR(10)&amp;Sheet1!$I$1&amp;'Phân công'!#REF!&amp;CHAR(10)&amp;Sheet1!$J$1&amp;'Phân công'!#REF!&amp;CHAR(10)&amp;$K$1&amp;'Phân công'!#REF!</f>
        <v>#REF!</v>
      </c>
    </row>
    <row r="44" spans="1:3" ht="98.25" customHeight="1" x14ac:dyDescent="0.25">
      <c r="A44" s="56">
        <v>43</v>
      </c>
      <c r="B44" s="56" t="e">
        <f>$B$1&amp;'Phân công'!#REF!&amp;CHAR(10)&amp;Sheet1!$C$1&amp;'Phân công'!A34&amp;CHAR(10)&amp;Sheet1!$D$1&amp;'Phân công'!#REF!&amp;CHAR(10)&amp;Sheet1!$E$1&amp;'Phân công'!#REF!&amp;CHAR(10)&amp;Sheet1!$F$1&amp;'Phân công'!#REF!</f>
        <v>#REF!</v>
      </c>
      <c r="C44" s="56" t="e">
        <f>$G$1&amp;'Phân công'!#REF!&amp;CHAR(10)&amp;Sheet1!$H$1&amp;'Phân công'!#REF!&amp;CHAR(10)&amp;Sheet1!$I$1&amp;'Phân công'!#REF!&amp;CHAR(10)&amp;Sheet1!$J$1&amp;'Phân công'!#REF!&amp;CHAR(10)&amp;$K$1&amp;'Phân công'!#REF!</f>
        <v>#REF!</v>
      </c>
    </row>
    <row r="45" spans="1:3" ht="98.25" customHeight="1" x14ac:dyDescent="0.25">
      <c r="A45" s="56">
        <v>44</v>
      </c>
      <c r="B45" s="56" t="e">
        <f>$B$1&amp;'Phân công'!#REF!&amp;CHAR(10)&amp;Sheet1!$C$1&amp;'Phân công'!A35&amp;CHAR(10)&amp;Sheet1!$D$1&amp;'Phân công'!#REF!&amp;CHAR(10)&amp;Sheet1!$E$1&amp;'Phân công'!#REF!&amp;CHAR(10)&amp;Sheet1!$F$1&amp;'Phân công'!#REF!</f>
        <v>#REF!</v>
      </c>
      <c r="C45" s="56" t="e">
        <f>$G$1&amp;'Phân công'!#REF!&amp;CHAR(10)&amp;Sheet1!$H$1&amp;'Phân công'!#REF!&amp;CHAR(10)&amp;Sheet1!$I$1&amp;'Phân công'!#REF!&amp;CHAR(10)&amp;Sheet1!$J$1&amp;'Phân công'!#REF!&amp;CHAR(10)&amp;$K$1&amp;'Phân công'!#REF!</f>
        <v>#REF!</v>
      </c>
    </row>
    <row r="46" spans="1:3" ht="98.25" customHeight="1" x14ac:dyDescent="0.25">
      <c r="A46" s="56">
        <v>45</v>
      </c>
      <c r="B46" s="56" t="e">
        <f>$B$1&amp;'Phân công'!#REF!&amp;CHAR(10)&amp;Sheet1!$C$1&amp;'Phân công'!A36&amp;CHAR(10)&amp;Sheet1!$D$1&amp;'Phân công'!#REF!&amp;CHAR(10)&amp;Sheet1!$E$1&amp;'Phân công'!#REF!&amp;CHAR(10)&amp;Sheet1!$F$1&amp;'Phân công'!#REF!</f>
        <v>#REF!</v>
      </c>
      <c r="C46" s="56" t="e">
        <f>$G$1&amp;'Phân công'!#REF!&amp;CHAR(10)&amp;Sheet1!$H$1&amp;'Phân công'!#REF!&amp;CHAR(10)&amp;Sheet1!$I$1&amp;'Phân công'!#REF!&amp;CHAR(10)&amp;Sheet1!$J$1&amp;'Phân công'!#REF!&amp;CHAR(10)&amp;$K$1&amp;'Phân công'!#REF!</f>
        <v>#REF!</v>
      </c>
    </row>
    <row r="47" spans="1:3" ht="98.25" customHeight="1" x14ac:dyDescent="0.25">
      <c r="A47" s="56">
        <v>46</v>
      </c>
      <c r="B47" s="56" t="e">
        <f>$B$1&amp;'Phân công'!#REF!&amp;CHAR(10)&amp;Sheet1!$C$1&amp;'Phân công'!#REF!&amp;CHAR(10)&amp;Sheet1!$D$1&amp;'Phân công'!#REF!&amp;CHAR(10)&amp;Sheet1!$E$1&amp;'Phân công'!#REF!&amp;CHAR(10)&amp;Sheet1!$F$1&amp;'Phân công'!#REF!</f>
        <v>#REF!</v>
      </c>
      <c r="C47" s="56" t="e">
        <f>$G$1&amp;'Phân công'!#REF!&amp;CHAR(10)&amp;Sheet1!$H$1&amp;'Phân công'!#REF!&amp;CHAR(10)&amp;Sheet1!$I$1&amp;'Phân công'!#REF!&amp;CHAR(10)&amp;Sheet1!$J$1&amp;'Phân công'!#REF!&amp;CHAR(10)&amp;$K$1&amp;'Phân công'!#REF!</f>
        <v>#REF!</v>
      </c>
    </row>
    <row r="48" spans="1:3" ht="98.25" customHeight="1" x14ac:dyDescent="0.25">
      <c r="A48" s="56">
        <v>47</v>
      </c>
      <c r="B48" s="56" t="e">
        <f>$B$1&amp;'Phân công'!#REF!&amp;CHAR(10)&amp;Sheet1!$C$1&amp;'Phân công'!#REF!&amp;CHAR(10)&amp;Sheet1!$D$1&amp;'Phân công'!#REF!&amp;CHAR(10)&amp;Sheet1!$E$1&amp;'Phân công'!#REF!&amp;CHAR(10)&amp;Sheet1!$F$1&amp;'Phân công'!#REF!</f>
        <v>#REF!</v>
      </c>
      <c r="C48" s="56" t="e">
        <f>$G$1&amp;'Phân công'!#REF!&amp;CHAR(10)&amp;Sheet1!$H$1&amp;'Phân công'!#REF!&amp;CHAR(10)&amp;Sheet1!$I$1&amp;'Phân công'!#REF!&amp;CHAR(10)&amp;Sheet1!$J$1&amp;'Phân công'!#REF!&amp;CHAR(10)&amp;$K$1&amp;'Phân công'!#REF!</f>
        <v>#REF!</v>
      </c>
    </row>
    <row r="49" spans="1:3" ht="98.25" customHeight="1" x14ac:dyDescent="0.25">
      <c r="A49" s="56">
        <v>48</v>
      </c>
      <c r="B49" s="56" t="e">
        <f>$B$1&amp;'Phân công'!#REF!&amp;CHAR(10)&amp;Sheet1!$C$1&amp;'Phân công'!#REF!&amp;CHAR(10)&amp;Sheet1!$D$1&amp;'Phân công'!#REF!&amp;CHAR(10)&amp;Sheet1!$E$1&amp;'Phân công'!#REF!&amp;CHAR(10)&amp;Sheet1!$F$1&amp;'Phân công'!#REF!</f>
        <v>#REF!</v>
      </c>
      <c r="C49" s="56" t="e">
        <f>$G$1&amp;'Phân công'!#REF!&amp;CHAR(10)&amp;Sheet1!$H$1&amp;'Phân công'!#REF!&amp;CHAR(10)&amp;Sheet1!$I$1&amp;'Phân công'!#REF!&amp;CHAR(10)&amp;Sheet1!$J$1&amp;'Phân công'!#REF!&amp;CHAR(10)&amp;$K$1&amp;'Phân công'!#REF!</f>
        <v>#REF!</v>
      </c>
    </row>
    <row r="50" spans="1:3" ht="98.25" customHeight="1" x14ac:dyDescent="0.25">
      <c r="A50" s="56">
        <v>49</v>
      </c>
      <c r="B50" s="56" t="e">
        <f>$B$1&amp;'Phân công'!#REF!&amp;CHAR(10)&amp;Sheet1!$C$1&amp;'Phân công'!#REF!&amp;CHAR(10)&amp;Sheet1!$D$1&amp;'Phân công'!#REF!&amp;CHAR(10)&amp;Sheet1!$E$1&amp;'Phân công'!#REF!&amp;CHAR(10)&amp;Sheet1!$F$1&amp;'Phân công'!#REF!</f>
        <v>#REF!</v>
      </c>
      <c r="C50" s="56" t="e">
        <f>$G$1&amp;'Phân công'!#REF!&amp;CHAR(10)&amp;Sheet1!$H$1&amp;'Phân công'!#REF!&amp;CHAR(10)&amp;Sheet1!$I$1&amp;'Phân công'!#REF!&amp;CHAR(10)&amp;Sheet1!$J$1&amp;'Phân công'!#REF!&amp;CHAR(10)&amp;$K$1&amp;'Phân công'!#REF!</f>
        <v>#REF!</v>
      </c>
    </row>
    <row r="51" spans="1:3" ht="98.25" customHeight="1" x14ac:dyDescent="0.25">
      <c r="A51" s="56">
        <v>50</v>
      </c>
      <c r="B51" s="56" t="e">
        <f>$B$1&amp;'Phân công'!#REF!&amp;CHAR(10)&amp;Sheet1!$C$1&amp;'Phân công'!#REF!&amp;CHAR(10)&amp;Sheet1!$D$1&amp;'Phân công'!#REF!&amp;CHAR(10)&amp;Sheet1!$E$1&amp;'Phân công'!#REF!&amp;CHAR(10)&amp;Sheet1!$F$1&amp;'Phân công'!#REF!</f>
        <v>#REF!</v>
      </c>
      <c r="C51" s="56" t="e">
        <f>$G$1&amp;'Phân công'!#REF!&amp;CHAR(10)&amp;Sheet1!$H$1&amp;'Phân công'!#REF!&amp;CHAR(10)&amp;Sheet1!$I$1&amp;'Phân công'!#REF!&amp;CHAR(10)&amp;Sheet1!$J$1&amp;'Phân công'!#REF!&amp;CHAR(10)&amp;$K$1&amp;'Phân công'!#REF!</f>
        <v>#REF!</v>
      </c>
    </row>
    <row r="52" spans="1:3" ht="98.25" customHeight="1" x14ac:dyDescent="0.25">
      <c r="A52" s="56">
        <v>51</v>
      </c>
      <c r="B52" s="56" t="e">
        <f>$B$1&amp;'Phân công'!#REF!&amp;CHAR(10)&amp;Sheet1!$C$1&amp;'Phân công'!A37&amp;CHAR(10)&amp;Sheet1!$D$1&amp;'Phân công'!#REF!&amp;CHAR(10)&amp;Sheet1!$E$1&amp;'Phân công'!#REF!&amp;CHAR(10)&amp;Sheet1!$F$1&amp;'Phân công'!#REF!</f>
        <v>#REF!</v>
      </c>
      <c r="C52" s="56" t="e">
        <f>$G$1&amp;'Phân công'!#REF!&amp;CHAR(10)&amp;Sheet1!$H$1&amp;'Phân công'!#REF!&amp;CHAR(10)&amp;Sheet1!$I$1&amp;'Phân công'!#REF!&amp;CHAR(10)&amp;Sheet1!$J$1&amp;'Phân công'!#REF!&amp;CHAR(10)&amp;$K$1&amp;'Phân công'!#REF!</f>
        <v>#REF!</v>
      </c>
    </row>
    <row r="53" spans="1:3" ht="98.25" customHeight="1" x14ac:dyDescent="0.25">
      <c r="A53" s="56">
        <v>52</v>
      </c>
      <c r="B53" s="56" t="e">
        <f>$B$1&amp;'Phân công'!#REF!&amp;CHAR(10)&amp;Sheet1!$C$1&amp;'Phân công'!A38&amp;CHAR(10)&amp;Sheet1!$D$1&amp;'Phân công'!#REF!&amp;CHAR(10)&amp;Sheet1!$E$1&amp;'Phân công'!#REF!&amp;CHAR(10)&amp;Sheet1!$F$1&amp;'Phân công'!#REF!</f>
        <v>#REF!</v>
      </c>
      <c r="C53" s="56" t="e">
        <f>$G$1&amp;'Phân công'!#REF!&amp;CHAR(10)&amp;Sheet1!$H$1&amp;'Phân công'!#REF!&amp;CHAR(10)&amp;Sheet1!$I$1&amp;'Phân công'!#REF!&amp;CHAR(10)&amp;Sheet1!$J$1&amp;'Phân công'!#REF!&amp;CHAR(10)&amp;$K$1&amp;'Phân công'!#REF!</f>
        <v>#REF!</v>
      </c>
    </row>
    <row r="54" spans="1:3" ht="98.25" customHeight="1" x14ac:dyDescent="0.25">
      <c r="A54" s="56">
        <v>53</v>
      </c>
      <c r="B54" s="56" t="e">
        <f>$B$1&amp;'Phân công'!#REF!&amp;CHAR(10)&amp;Sheet1!$C$1&amp;'Phân công'!A39&amp;CHAR(10)&amp;Sheet1!$D$1&amp;'Phân công'!#REF!&amp;CHAR(10)&amp;Sheet1!$E$1&amp;'Phân công'!#REF!&amp;CHAR(10)&amp;Sheet1!$F$1&amp;'Phân công'!#REF!</f>
        <v>#REF!</v>
      </c>
      <c r="C54" s="56" t="e">
        <f>$G$1&amp;'Phân công'!#REF!&amp;CHAR(10)&amp;Sheet1!$H$1&amp;'Phân công'!#REF!&amp;CHAR(10)&amp;Sheet1!$I$1&amp;'Phân công'!#REF!&amp;CHAR(10)&amp;Sheet1!$J$1&amp;'Phân công'!#REF!&amp;CHAR(10)&amp;$K$1&amp;'Phân công'!#REF!</f>
        <v>#REF!</v>
      </c>
    </row>
    <row r="55" spans="1:3" ht="98.25" customHeight="1" x14ac:dyDescent="0.25">
      <c r="A55" s="56">
        <v>54</v>
      </c>
      <c r="B55" s="56" t="e">
        <f>$B$1&amp;'Phân công'!#REF!&amp;CHAR(10)&amp;Sheet1!$C$1&amp;'Phân công'!A40&amp;CHAR(10)&amp;Sheet1!$D$1&amp;'Phân công'!#REF!&amp;CHAR(10)&amp;Sheet1!$E$1&amp;'Phân công'!#REF!&amp;CHAR(10)&amp;Sheet1!$F$1&amp;'Phân công'!#REF!</f>
        <v>#REF!</v>
      </c>
      <c r="C55" s="56" t="e">
        <f>$G$1&amp;'Phân công'!#REF!&amp;CHAR(10)&amp;Sheet1!$H$1&amp;'Phân công'!#REF!&amp;CHAR(10)&amp;Sheet1!$I$1&amp;'Phân công'!#REF!&amp;CHAR(10)&amp;Sheet1!$J$1&amp;'Phân công'!#REF!&amp;CHAR(10)&amp;$K$1&amp;'Phân công'!#REF!</f>
        <v>#REF!</v>
      </c>
    </row>
    <row r="56" spans="1:3" ht="98.25" customHeight="1" x14ac:dyDescent="0.25">
      <c r="A56" s="56">
        <v>55</v>
      </c>
      <c r="B56" s="56" t="e">
        <f>$B$1&amp;'Phân công'!#REF!&amp;CHAR(10)&amp;Sheet1!$C$1&amp;'Phân công'!A41&amp;CHAR(10)&amp;Sheet1!$D$1&amp;'Phân công'!#REF!&amp;CHAR(10)&amp;Sheet1!$E$1&amp;'Phân công'!#REF!&amp;CHAR(10)&amp;Sheet1!$F$1&amp;'Phân công'!#REF!</f>
        <v>#REF!</v>
      </c>
      <c r="C56" s="56" t="e">
        <f>$G$1&amp;'Phân công'!#REF!&amp;CHAR(10)&amp;Sheet1!$H$1&amp;'Phân công'!#REF!&amp;CHAR(10)&amp;Sheet1!$I$1&amp;'Phân công'!#REF!&amp;CHAR(10)&amp;Sheet1!$J$1&amp;'Phân công'!#REF!&amp;CHAR(10)&amp;$K$1&amp;'Phân công'!#REF!</f>
        <v>#REF!</v>
      </c>
    </row>
    <row r="57" spans="1:3" ht="98.25" customHeight="1" x14ac:dyDescent="0.25">
      <c r="A57" s="56">
        <v>56</v>
      </c>
      <c r="B57" s="56" t="e">
        <f>$B$1&amp;'Phân công'!#REF!&amp;CHAR(10)&amp;Sheet1!$C$1&amp;'Phân công'!#REF!&amp;CHAR(10)&amp;Sheet1!$D$1&amp;'Phân công'!#REF!&amp;CHAR(10)&amp;Sheet1!$E$1&amp;'Phân công'!#REF!&amp;CHAR(10)&amp;Sheet1!$F$1&amp;'Phân công'!#REF!</f>
        <v>#REF!</v>
      </c>
      <c r="C57" s="56" t="e">
        <f>$G$1&amp;'Phân công'!#REF!&amp;CHAR(10)&amp;Sheet1!$H$1&amp;'Phân công'!#REF!&amp;CHAR(10)&amp;Sheet1!$I$1&amp;'Phân công'!#REF!&amp;CHAR(10)&amp;Sheet1!$J$1&amp;'Phân công'!#REF!&amp;CHAR(10)&amp;$K$1&amp;'Phân công'!#REF!</f>
        <v>#REF!</v>
      </c>
    </row>
    <row r="58" spans="1:3" ht="98.25" customHeight="1" x14ac:dyDescent="0.25">
      <c r="A58" s="56">
        <v>57</v>
      </c>
      <c r="B58" s="56" t="e">
        <f>$B$1&amp;'Phân công'!#REF!&amp;CHAR(10)&amp;Sheet1!$C$1&amp;'Phân công'!#REF!&amp;CHAR(10)&amp;Sheet1!$D$1&amp;'Phân công'!#REF!&amp;CHAR(10)&amp;Sheet1!$E$1&amp;'Phân công'!#REF!&amp;CHAR(10)&amp;Sheet1!$F$1&amp;'Phân công'!#REF!</f>
        <v>#REF!</v>
      </c>
      <c r="C58" s="56" t="e">
        <f>$G$1&amp;'Phân công'!#REF!&amp;CHAR(10)&amp;Sheet1!$H$1&amp;'Phân công'!#REF!&amp;CHAR(10)&amp;Sheet1!$I$1&amp;'Phân công'!#REF!&amp;CHAR(10)&amp;Sheet1!$J$1&amp;'Phân công'!#REF!&amp;CHAR(10)&amp;$K$1&amp;'Phân công'!#REF!</f>
        <v>#REF!</v>
      </c>
    </row>
    <row r="59" spans="1:3" ht="98.25" customHeight="1" x14ac:dyDescent="0.25">
      <c r="A59" s="56">
        <v>58</v>
      </c>
      <c r="B59" s="56" t="e">
        <f>$B$1&amp;'Phân công'!#REF!&amp;CHAR(10)&amp;Sheet1!$C$1&amp;'Phân công'!#REF!&amp;CHAR(10)&amp;Sheet1!$D$1&amp;'Phân công'!#REF!&amp;CHAR(10)&amp;Sheet1!$E$1&amp;'Phân công'!#REF!&amp;CHAR(10)&amp;Sheet1!$F$1&amp;'Phân công'!#REF!</f>
        <v>#REF!</v>
      </c>
      <c r="C59" s="56" t="e">
        <f>$G$1&amp;'Phân công'!#REF!&amp;CHAR(10)&amp;Sheet1!$H$1&amp;'Phân công'!#REF!&amp;CHAR(10)&amp;Sheet1!$I$1&amp;'Phân công'!#REF!&amp;CHAR(10)&amp;Sheet1!$J$1&amp;'Phân công'!#REF!&amp;CHAR(10)&amp;$K$1&amp;'Phân công'!#REF!</f>
        <v>#REF!</v>
      </c>
    </row>
    <row r="60" spans="1:3" ht="98.25" customHeight="1" x14ac:dyDescent="0.25">
      <c r="A60" s="56">
        <v>59</v>
      </c>
      <c r="B60" s="56" t="e">
        <f>$B$1&amp;'Phân công'!#REF!&amp;CHAR(10)&amp;Sheet1!$C$1&amp;'Phân công'!#REF!&amp;CHAR(10)&amp;Sheet1!$D$1&amp;'Phân công'!#REF!&amp;CHAR(10)&amp;Sheet1!$E$1&amp;'Phân công'!#REF!&amp;CHAR(10)&amp;Sheet1!$F$1&amp;'Phân công'!#REF!</f>
        <v>#REF!</v>
      </c>
      <c r="C60" s="56" t="e">
        <f>$G$1&amp;'Phân công'!#REF!&amp;CHAR(10)&amp;Sheet1!$H$1&amp;'Phân công'!#REF!&amp;CHAR(10)&amp;Sheet1!$I$1&amp;'Phân công'!#REF!&amp;CHAR(10)&amp;Sheet1!$J$1&amp;'Phân công'!#REF!&amp;CHAR(10)&amp;$K$1&amp;'Phân công'!#REF!</f>
        <v>#REF!</v>
      </c>
    </row>
    <row r="61" spans="1:3" ht="98.25" customHeight="1" x14ac:dyDescent="0.25">
      <c r="A61" s="56">
        <v>60</v>
      </c>
      <c r="B61" s="56" t="e">
        <f>$B$1&amp;'Phân công'!#REF!&amp;CHAR(10)&amp;Sheet1!$C$1&amp;'Phân công'!#REF!&amp;CHAR(10)&amp;Sheet1!$D$1&amp;'Phân công'!#REF!&amp;CHAR(10)&amp;Sheet1!$E$1&amp;'Phân công'!#REF!&amp;CHAR(10)&amp;Sheet1!$F$1&amp;'Phân công'!#REF!</f>
        <v>#REF!</v>
      </c>
      <c r="C61" s="56" t="e">
        <f>$G$1&amp;'Phân công'!#REF!&amp;CHAR(10)&amp;Sheet1!$H$1&amp;'Phân công'!#REF!&amp;CHAR(10)&amp;Sheet1!$I$1&amp;'Phân công'!#REF!&amp;CHAR(10)&amp;Sheet1!$J$1&amp;'Phân công'!#REF!&amp;CHAR(10)&amp;$K$1&amp;'Phân công'!#REF!</f>
        <v>#REF!</v>
      </c>
    </row>
    <row r="62" spans="1:3" ht="98.25" customHeight="1" x14ac:dyDescent="0.25">
      <c r="A62" s="56">
        <v>61</v>
      </c>
      <c r="B62" s="56" t="e">
        <f>$B$1&amp;'Phân công'!#REF!&amp;CHAR(10)&amp;Sheet1!$C$1&amp;'Phân công'!#REF!&amp;CHAR(10)&amp;Sheet1!$D$1&amp;'Phân công'!#REF!&amp;CHAR(10)&amp;Sheet1!$E$1&amp;'Phân công'!#REF!&amp;CHAR(10)&amp;Sheet1!$F$1&amp;'Phân công'!#REF!</f>
        <v>#REF!</v>
      </c>
      <c r="C62" s="56" t="e">
        <f>$G$1&amp;'Phân công'!#REF!&amp;CHAR(10)&amp;Sheet1!$H$1&amp;'Phân công'!#REF!&amp;CHAR(10)&amp;Sheet1!$I$1&amp;'Phân công'!#REF!&amp;CHAR(10)&amp;Sheet1!$J$1&amp;'Phân công'!#REF!&amp;CHAR(10)&amp;$K$1&amp;'Phân công'!#REF!</f>
        <v>#REF!</v>
      </c>
    </row>
    <row r="63" spans="1:3" ht="98.25" customHeight="1" x14ac:dyDescent="0.25">
      <c r="A63" s="56">
        <v>62</v>
      </c>
      <c r="B63" s="56" t="e">
        <f>$B$1&amp;'Phân công'!#REF!&amp;CHAR(10)&amp;Sheet1!$C$1&amp;'Phân công'!A42&amp;CHAR(10)&amp;Sheet1!$D$1&amp;'Phân công'!#REF!&amp;CHAR(10)&amp;Sheet1!$E$1&amp;'Phân công'!#REF!&amp;CHAR(10)&amp;Sheet1!$F$1&amp;'Phân công'!#REF!</f>
        <v>#REF!</v>
      </c>
      <c r="C63" s="56" t="e">
        <f>$G$1&amp;'Phân công'!#REF!&amp;CHAR(10)&amp;Sheet1!$H$1&amp;'Phân công'!#REF!&amp;CHAR(10)&amp;Sheet1!$I$1&amp;'Phân công'!#REF!&amp;CHAR(10)&amp;Sheet1!$J$1&amp;'Phân công'!#REF!&amp;CHAR(10)&amp;$K$1&amp;'Phân công'!#REF!</f>
        <v>#REF!</v>
      </c>
    </row>
    <row r="64" spans="1:3" ht="98.25" customHeight="1" x14ac:dyDescent="0.25">
      <c r="A64" s="56">
        <v>63</v>
      </c>
      <c r="B64" s="56" t="e">
        <f>$B$1&amp;'Phân công'!#REF!&amp;CHAR(10)&amp;Sheet1!$C$1&amp;'Phân công'!A43&amp;CHAR(10)&amp;Sheet1!$D$1&amp;'Phân công'!#REF!&amp;CHAR(10)&amp;Sheet1!$E$1&amp;'Phân công'!#REF!&amp;CHAR(10)&amp;Sheet1!$F$1&amp;'Phân công'!#REF!</f>
        <v>#REF!</v>
      </c>
      <c r="C64" s="56" t="e">
        <f>$G$1&amp;'Phân công'!#REF!&amp;CHAR(10)&amp;Sheet1!$H$1&amp;'Phân công'!#REF!&amp;CHAR(10)&amp;Sheet1!$I$1&amp;'Phân công'!#REF!&amp;CHAR(10)&amp;Sheet1!$J$1&amp;'Phân công'!#REF!&amp;CHAR(10)&amp;$K$1&amp;'Phân công'!#REF!</f>
        <v>#REF!</v>
      </c>
    </row>
    <row r="65" spans="1:3" ht="98.25" customHeight="1" x14ac:dyDescent="0.25">
      <c r="A65" s="56">
        <v>64</v>
      </c>
      <c r="B65" s="56" t="e">
        <f>$B$1&amp;'Phân công'!#REF!&amp;CHAR(10)&amp;Sheet1!$C$1&amp;'Phân công'!A44&amp;CHAR(10)&amp;Sheet1!$D$1&amp;'Phân công'!#REF!&amp;CHAR(10)&amp;Sheet1!$E$1&amp;'Phân công'!#REF!&amp;CHAR(10)&amp;Sheet1!$F$1&amp;'Phân công'!#REF!</f>
        <v>#REF!</v>
      </c>
      <c r="C65" s="56" t="e">
        <f>$G$1&amp;'Phân công'!#REF!&amp;CHAR(10)&amp;Sheet1!$H$1&amp;'Phân công'!#REF!&amp;CHAR(10)&amp;Sheet1!$I$1&amp;'Phân công'!#REF!&amp;CHAR(10)&amp;Sheet1!$J$1&amp;'Phân công'!#REF!&amp;CHAR(10)&amp;$K$1&amp;'Phân công'!#REF!</f>
        <v>#REF!</v>
      </c>
    </row>
    <row r="66" spans="1:3" ht="98.25" customHeight="1" x14ac:dyDescent="0.25">
      <c r="A66" s="56">
        <v>65</v>
      </c>
      <c r="B66" s="56" t="e">
        <f>$B$1&amp;'Phân công'!#REF!&amp;CHAR(10)&amp;Sheet1!$C$1&amp;'Phân công'!#REF!&amp;CHAR(10)&amp;Sheet1!$D$1&amp;'Phân công'!#REF!&amp;CHAR(10)&amp;Sheet1!$E$1&amp;'Phân công'!#REF!&amp;CHAR(10)&amp;Sheet1!$F$1&amp;'Phân công'!#REF!</f>
        <v>#REF!</v>
      </c>
      <c r="C66" s="56" t="e">
        <f>$G$1&amp;'Phân công'!#REF!&amp;CHAR(10)&amp;Sheet1!$H$1&amp;'Phân công'!#REF!&amp;CHAR(10)&amp;Sheet1!$I$1&amp;'Phân công'!#REF!&amp;CHAR(10)&amp;Sheet1!$J$1&amp;'Phân công'!#REF!&amp;CHAR(10)&amp;$K$1&amp;'Phân công'!#REF!</f>
        <v>#REF!</v>
      </c>
    </row>
    <row r="67" spans="1:3" ht="98.25" customHeight="1" x14ac:dyDescent="0.25">
      <c r="A67" s="56">
        <v>66</v>
      </c>
      <c r="B67" s="56" t="e">
        <f>$B$1&amp;'Phân công'!#REF!&amp;CHAR(10)&amp;Sheet1!$C$1&amp;'Phân công'!#REF!&amp;CHAR(10)&amp;Sheet1!$D$1&amp;'Phân công'!#REF!&amp;CHAR(10)&amp;Sheet1!$E$1&amp;'Phân công'!#REF!&amp;CHAR(10)&amp;Sheet1!$F$1&amp;'Phân công'!#REF!</f>
        <v>#REF!</v>
      </c>
      <c r="C67" s="56" t="e">
        <f>$G$1&amp;'Phân công'!#REF!&amp;CHAR(10)&amp;Sheet1!$H$1&amp;'Phân công'!#REF!&amp;CHAR(10)&amp;Sheet1!$I$1&amp;'Phân công'!#REF!&amp;CHAR(10)&amp;Sheet1!$J$1&amp;'Phân công'!#REF!&amp;CHAR(10)&amp;$K$1&amp;'Phân công'!#REF!</f>
        <v>#REF!</v>
      </c>
    </row>
    <row r="68" spans="1:3" ht="98.25" customHeight="1" x14ac:dyDescent="0.25">
      <c r="A68" s="56">
        <v>67</v>
      </c>
      <c r="B68" s="56" t="e">
        <f>$B$1&amp;'Phân công'!#REF!&amp;CHAR(10)&amp;Sheet1!$C$1&amp;'Phân công'!#REF!&amp;CHAR(10)&amp;Sheet1!$D$1&amp;'Phân công'!#REF!&amp;CHAR(10)&amp;Sheet1!$E$1&amp;'Phân công'!#REF!&amp;CHAR(10)&amp;Sheet1!$F$1&amp;'Phân công'!#REF!</f>
        <v>#REF!</v>
      </c>
      <c r="C68" s="56" t="e">
        <f>$G$1&amp;'Phân công'!#REF!&amp;CHAR(10)&amp;Sheet1!$H$1&amp;'Phân công'!#REF!&amp;CHAR(10)&amp;Sheet1!$I$1&amp;'Phân công'!#REF!&amp;CHAR(10)&amp;Sheet1!$J$1&amp;'Phân công'!#REF!&amp;CHAR(10)&amp;$K$1&amp;'Phân công'!#REF!</f>
        <v>#REF!</v>
      </c>
    </row>
    <row r="69" spans="1:3" ht="98.25" customHeight="1" x14ac:dyDescent="0.25">
      <c r="A69" s="56">
        <v>68</v>
      </c>
      <c r="B69" s="56" t="e">
        <f>$B$1&amp;'Phân công'!#REF!&amp;CHAR(10)&amp;Sheet1!$C$1&amp;'Phân công'!#REF!&amp;CHAR(10)&amp;Sheet1!$D$1&amp;'Phân công'!#REF!&amp;CHAR(10)&amp;Sheet1!$E$1&amp;'Phân công'!#REF!&amp;CHAR(10)&amp;Sheet1!$F$1&amp;'Phân công'!#REF!</f>
        <v>#REF!</v>
      </c>
      <c r="C69" s="56" t="e">
        <f>$G$1&amp;'Phân công'!#REF!&amp;CHAR(10)&amp;Sheet1!$H$1&amp;'Phân công'!#REF!&amp;CHAR(10)&amp;Sheet1!$I$1&amp;'Phân công'!#REF!&amp;CHAR(10)&amp;Sheet1!$J$1&amp;'Phân công'!#REF!&amp;CHAR(10)&amp;$K$1&amp;'Phân công'!#REF!</f>
        <v>#REF!</v>
      </c>
    </row>
    <row r="70" spans="1:3" ht="98.25" customHeight="1" x14ac:dyDescent="0.25">
      <c r="A70" s="56">
        <v>69</v>
      </c>
      <c r="B70" s="56" t="e">
        <f>$B$1&amp;'Phân công'!#REF!&amp;CHAR(10)&amp;Sheet1!$C$1&amp;'Phân công'!#REF!&amp;CHAR(10)&amp;Sheet1!$D$1&amp;'Phân công'!#REF!&amp;CHAR(10)&amp;Sheet1!$E$1&amp;'Phân công'!#REF!&amp;CHAR(10)&amp;Sheet1!$F$1&amp;'Phân công'!#REF!</f>
        <v>#REF!</v>
      </c>
      <c r="C70" s="56" t="e">
        <f>$G$1&amp;'Phân công'!#REF!&amp;CHAR(10)&amp;Sheet1!$H$1&amp;'Phân công'!#REF!&amp;CHAR(10)&amp;Sheet1!$I$1&amp;'Phân công'!#REF!&amp;CHAR(10)&amp;Sheet1!$J$1&amp;'Phân công'!#REF!&amp;CHAR(10)&amp;$K$1&amp;'Phân công'!#REF!</f>
        <v>#REF!</v>
      </c>
    </row>
    <row r="71" spans="1:3" ht="98.25" customHeight="1" x14ac:dyDescent="0.25">
      <c r="A71" s="56">
        <v>70</v>
      </c>
      <c r="B71" s="56" t="e">
        <f>$B$1&amp;'Phân công'!#REF!&amp;CHAR(10)&amp;Sheet1!$C$1&amp;'Phân công'!#REF!&amp;CHAR(10)&amp;Sheet1!$D$1&amp;'Phân công'!#REF!&amp;CHAR(10)&amp;Sheet1!$E$1&amp;'Phân công'!#REF!&amp;CHAR(10)&amp;Sheet1!$F$1&amp;'Phân công'!#REF!</f>
        <v>#REF!</v>
      </c>
      <c r="C71" s="56" t="e">
        <f>$G$1&amp;'Phân công'!#REF!&amp;CHAR(10)&amp;Sheet1!$H$1&amp;'Phân công'!#REF!&amp;CHAR(10)&amp;Sheet1!$I$1&amp;'Phân công'!#REF!&amp;CHAR(10)&amp;Sheet1!$J$1&amp;'Phân công'!#REF!&amp;CHAR(10)&amp;$K$1&amp;'Phân công'!#REF!</f>
        <v>#REF!</v>
      </c>
    </row>
    <row r="72" spans="1:3" ht="98.25" customHeight="1" x14ac:dyDescent="0.25">
      <c r="A72" s="56">
        <v>71</v>
      </c>
      <c r="B72" s="56" t="e">
        <f>$B$1&amp;'Phân công'!#REF!&amp;CHAR(10)&amp;Sheet1!$C$1&amp;'Phân công'!#REF!&amp;CHAR(10)&amp;Sheet1!$D$1&amp;'Phân công'!#REF!&amp;CHAR(10)&amp;Sheet1!$E$1&amp;'Phân công'!#REF!&amp;CHAR(10)&amp;Sheet1!$F$1&amp;'Phân công'!#REF!</f>
        <v>#REF!</v>
      </c>
      <c r="C72" s="56" t="e">
        <f>$G$1&amp;'Phân công'!#REF!&amp;CHAR(10)&amp;Sheet1!$H$1&amp;'Phân công'!#REF!&amp;CHAR(10)&amp;Sheet1!$I$1&amp;'Phân công'!#REF!&amp;CHAR(10)&amp;Sheet1!$J$1&amp;'Phân công'!#REF!&amp;CHAR(10)&amp;$K$1&amp;'Phân công'!#REF!</f>
        <v>#REF!</v>
      </c>
    </row>
    <row r="73" spans="1:3" ht="98.25" customHeight="1" x14ac:dyDescent="0.25">
      <c r="A73" s="56">
        <v>72</v>
      </c>
      <c r="B73" s="56" t="e">
        <f>$B$1&amp;'Phân công'!#REF!&amp;CHAR(10)&amp;Sheet1!$C$1&amp;'Phân công'!#REF!&amp;CHAR(10)&amp;Sheet1!$D$1&amp;'Phân công'!#REF!&amp;CHAR(10)&amp;Sheet1!$E$1&amp;'Phân công'!#REF!&amp;CHAR(10)&amp;Sheet1!$F$1&amp;'Phân công'!#REF!</f>
        <v>#REF!</v>
      </c>
      <c r="C73" s="56" t="e">
        <f>$G$1&amp;'Phân công'!#REF!&amp;CHAR(10)&amp;Sheet1!$H$1&amp;'Phân công'!#REF!&amp;CHAR(10)&amp;Sheet1!$I$1&amp;'Phân công'!#REF!&amp;CHAR(10)&amp;Sheet1!$J$1&amp;'Phân công'!#REF!&amp;CHAR(10)&amp;$K$1&amp;'Phân công'!#REF!</f>
        <v>#REF!</v>
      </c>
    </row>
    <row r="74" spans="1:3" ht="98.25" customHeight="1" x14ac:dyDescent="0.25">
      <c r="A74" s="56">
        <v>73</v>
      </c>
      <c r="B74" s="56" t="e">
        <f>$B$1&amp;'Phân công'!#REF!&amp;CHAR(10)&amp;Sheet1!$C$1&amp;'Phân công'!#REF!&amp;CHAR(10)&amp;Sheet1!$D$1&amp;'Phân công'!#REF!&amp;CHAR(10)&amp;Sheet1!$E$1&amp;'Phân công'!#REF!&amp;CHAR(10)&amp;Sheet1!$F$1&amp;'Phân công'!#REF!</f>
        <v>#REF!</v>
      </c>
      <c r="C74" s="56" t="e">
        <f>$G$1&amp;'Phân công'!#REF!&amp;CHAR(10)&amp;Sheet1!$H$1&amp;'Phân công'!#REF!&amp;CHAR(10)&amp;Sheet1!$I$1&amp;'Phân công'!#REF!&amp;CHAR(10)&amp;Sheet1!$J$1&amp;'Phân công'!#REF!&amp;CHAR(10)&amp;$K$1&amp;'Phân công'!#REF!</f>
        <v>#REF!</v>
      </c>
    </row>
    <row r="75" spans="1:3" ht="98.25" customHeight="1" x14ac:dyDescent="0.25">
      <c r="A75" s="56">
        <v>74</v>
      </c>
      <c r="B75" s="56" t="e">
        <f>$B$1&amp;'Phân công'!#REF!&amp;CHAR(10)&amp;Sheet1!$C$1&amp;'Phân công'!#REF!&amp;CHAR(10)&amp;Sheet1!$D$1&amp;'Phân công'!#REF!&amp;CHAR(10)&amp;Sheet1!$E$1&amp;'Phân công'!#REF!&amp;CHAR(10)&amp;Sheet1!$F$1&amp;'Phân công'!#REF!</f>
        <v>#REF!</v>
      </c>
      <c r="C75" s="56" t="e">
        <f>$G$1&amp;'Phân công'!#REF!&amp;CHAR(10)&amp;Sheet1!$H$1&amp;'Phân công'!#REF!&amp;CHAR(10)&amp;Sheet1!$I$1&amp;'Phân công'!#REF!&amp;CHAR(10)&amp;Sheet1!$J$1&amp;'Phân công'!#REF!&amp;CHAR(10)&amp;$K$1&amp;'Phân công'!#REF!</f>
        <v>#REF!</v>
      </c>
    </row>
    <row r="76" spans="1:3" ht="98.25" customHeight="1" x14ac:dyDescent="0.25">
      <c r="A76" s="56">
        <v>75</v>
      </c>
      <c r="B76" s="56" t="e">
        <f>$B$1&amp;'Phân công'!#REF!&amp;CHAR(10)&amp;Sheet1!$C$1&amp;'Phân công'!A45&amp;CHAR(10)&amp;Sheet1!$D$1&amp;'Phân công'!#REF!&amp;CHAR(10)&amp;Sheet1!$E$1&amp;'Phân công'!#REF!&amp;CHAR(10)&amp;Sheet1!$F$1&amp;'Phân công'!#REF!</f>
        <v>#REF!</v>
      </c>
      <c r="C76" s="56" t="e">
        <f>$G$1&amp;'Phân công'!#REF!&amp;CHAR(10)&amp;Sheet1!$H$1&amp;'Phân công'!#REF!&amp;CHAR(10)&amp;Sheet1!$I$1&amp;'Phân công'!#REF!&amp;CHAR(10)&amp;Sheet1!$J$1&amp;'Phân công'!#REF!&amp;CHAR(10)&amp;$K$1&amp;'Phân công'!#REF!</f>
        <v>#REF!</v>
      </c>
    </row>
    <row r="77" spans="1:3" ht="98.25" customHeight="1" x14ac:dyDescent="0.25">
      <c r="A77" s="56">
        <v>76</v>
      </c>
      <c r="B77" s="56" t="e">
        <f>$B$1&amp;'Phân công'!#REF!&amp;CHAR(10)&amp;Sheet1!$C$1&amp;'Phân công'!A46&amp;CHAR(10)&amp;Sheet1!$D$1&amp;'Phân công'!#REF!&amp;CHAR(10)&amp;Sheet1!$E$1&amp;'Phân công'!#REF!&amp;CHAR(10)&amp;Sheet1!$F$1&amp;'Phân công'!#REF!</f>
        <v>#REF!</v>
      </c>
      <c r="C77" s="56" t="e">
        <f>$G$1&amp;'Phân công'!#REF!&amp;CHAR(10)&amp;Sheet1!$H$1&amp;'Phân công'!#REF!&amp;CHAR(10)&amp;Sheet1!$I$1&amp;'Phân công'!#REF!&amp;CHAR(10)&amp;Sheet1!$J$1&amp;'Phân công'!#REF!&amp;CHAR(10)&amp;$K$1&amp;'Phân công'!#REF!</f>
        <v>#REF!</v>
      </c>
    </row>
    <row r="78" spans="1:3" ht="98.25" customHeight="1" x14ac:dyDescent="0.25">
      <c r="A78" s="56">
        <v>77</v>
      </c>
      <c r="B78" s="56" t="e">
        <f>$B$1&amp;'Phân công'!#REF!&amp;CHAR(10)&amp;Sheet1!$C$1&amp;'Phân công'!A47&amp;CHAR(10)&amp;Sheet1!$D$1&amp;'Phân công'!#REF!&amp;CHAR(10)&amp;Sheet1!$E$1&amp;'Phân công'!#REF!&amp;CHAR(10)&amp;Sheet1!$F$1&amp;'Phân công'!#REF!</f>
        <v>#REF!</v>
      </c>
      <c r="C78" s="56" t="e">
        <f>$G$1&amp;'Phân công'!#REF!&amp;CHAR(10)&amp;Sheet1!$H$1&amp;'Phân công'!#REF!&amp;CHAR(10)&amp;Sheet1!$I$1&amp;'Phân công'!#REF!&amp;CHAR(10)&amp;Sheet1!$J$1&amp;'Phân công'!#REF!&amp;CHAR(10)&amp;$K$1&amp;'Phân công'!#REF!</f>
        <v>#REF!</v>
      </c>
    </row>
    <row r="79" spans="1:3" ht="98.25" customHeight="1" x14ac:dyDescent="0.25">
      <c r="A79" s="56">
        <v>78</v>
      </c>
      <c r="B79" s="56" t="e">
        <f>$B$1&amp;'Phân công'!#REF!&amp;CHAR(10)&amp;Sheet1!$C$1&amp;'Phân công'!A48&amp;CHAR(10)&amp;Sheet1!$D$1&amp;'Phân công'!#REF!&amp;CHAR(10)&amp;Sheet1!$E$1&amp;'Phân công'!#REF!&amp;CHAR(10)&amp;Sheet1!$F$1&amp;'Phân công'!#REF!</f>
        <v>#REF!</v>
      </c>
      <c r="C79" s="56" t="e">
        <f>$G$1&amp;'Phân công'!#REF!&amp;CHAR(10)&amp;Sheet1!$H$1&amp;'Phân công'!#REF!&amp;CHAR(10)&amp;Sheet1!$I$1&amp;'Phân công'!#REF!&amp;CHAR(10)&amp;Sheet1!$J$1&amp;'Phân công'!#REF!&amp;CHAR(10)&amp;$K$1&amp;'Phân công'!#REF!</f>
        <v>#REF!</v>
      </c>
    </row>
    <row r="80" spans="1:3" ht="98.25" customHeight="1" x14ac:dyDescent="0.25">
      <c r="A80" s="56">
        <v>79</v>
      </c>
      <c r="B80" s="56" t="e">
        <f>$B$1&amp;'Phân công'!#REF!&amp;CHAR(10)&amp;Sheet1!$C$1&amp;'Phân công'!A49&amp;CHAR(10)&amp;Sheet1!$D$1&amp;'Phân công'!#REF!&amp;CHAR(10)&amp;Sheet1!$E$1&amp;'Phân công'!#REF!&amp;CHAR(10)&amp;Sheet1!$F$1&amp;'Phân công'!#REF!</f>
        <v>#REF!</v>
      </c>
      <c r="C80" s="56" t="e">
        <f>$G$1&amp;'Phân công'!#REF!&amp;CHAR(10)&amp;Sheet1!$H$1&amp;'Phân công'!#REF!&amp;CHAR(10)&amp;Sheet1!$I$1&amp;'Phân công'!#REF!&amp;CHAR(10)&amp;Sheet1!$J$1&amp;'Phân công'!#REF!&amp;CHAR(10)&amp;$K$1&amp;'Phân công'!#REF!</f>
        <v>#REF!</v>
      </c>
    </row>
    <row r="81" spans="1:3" ht="98.25" customHeight="1" x14ac:dyDescent="0.25">
      <c r="A81" s="56">
        <v>80</v>
      </c>
      <c r="B81" s="56" t="e">
        <f>$B$1&amp;'Phân công'!#REF!&amp;CHAR(10)&amp;Sheet1!$C$1&amp;'Phân công'!A50&amp;CHAR(10)&amp;Sheet1!$D$1&amp;'Phân công'!#REF!&amp;CHAR(10)&amp;Sheet1!$E$1&amp;'Phân công'!#REF!&amp;CHAR(10)&amp;Sheet1!$F$1&amp;'Phân công'!#REF!</f>
        <v>#REF!</v>
      </c>
      <c r="C81" s="56" t="e">
        <f>$G$1&amp;'Phân công'!#REF!&amp;CHAR(10)&amp;Sheet1!$H$1&amp;'Phân công'!#REF!&amp;CHAR(10)&amp;Sheet1!$I$1&amp;'Phân công'!#REF!&amp;CHAR(10)&amp;Sheet1!$J$1&amp;'Phân công'!#REF!&amp;CHAR(10)&amp;$K$1&amp;'Phân công'!#REF!</f>
        <v>#REF!</v>
      </c>
    </row>
    <row r="82" spans="1:3" ht="98.25" customHeight="1" x14ac:dyDescent="0.25">
      <c r="A82" s="56">
        <v>81</v>
      </c>
      <c r="B82" s="56" t="e">
        <f>$B$1&amp;'Phân công'!#REF!&amp;CHAR(10)&amp;Sheet1!$C$1&amp;'Phân công'!A51&amp;CHAR(10)&amp;Sheet1!$D$1&amp;'Phân công'!#REF!&amp;CHAR(10)&amp;Sheet1!$E$1&amp;'Phân công'!#REF!&amp;CHAR(10)&amp;Sheet1!$F$1&amp;'Phân công'!#REF!</f>
        <v>#REF!</v>
      </c>
      <c r="C82" s="56" t="e">
        <f>$G$1&amp;'Phân công'!#REF!&amp;CHAR(10)&amp;Sheet1!$H$1&amp;'Phân công'!#REF!&amp;CHAR(10)&amp;Sheet1!$I$1&amp;'Phân công'!#REF!&amp;CHAR(10)&amp;Sheet1!$J$1&amp;'Phân công'!#REF!&amp;CHAR(10)&amp;$K$1&amp;'Phân công'!#REF!</f>
        <v>#REF!</v>
      </c>
    </row>
    <row r="83" spans="1:3" ht="98.25" customHeight="1" x14ac:dyDescent="0.25">
      <c r="A83" s="56">
        <v>82</v>
      </c>
      <c r="B83" s="56" t="e">
        <f>$B$1&amp;'Phân công'!#REF!&amp;CHAR(10)&amp;Sheet1!$C$1&amp;'Phân công'!A52&amp;CHAR(10)&amp;Sheet1!$D$1&amp;'Phân công'!#REF!&amp;CHAR(10)&amp;Sheet1!$E$1&amp;'Phân công'!#REF!&amp;CHAR(10)&amp;Sheet1!$F$1&amp;'Phân công'!#REF!</f>
        <v>#REF!</v>
      </c>
      <c r="C83" s="56" t="e">
        <f>$G$1&amp;'Phân công'!#REF!&amp;CHAR(10)&amp;Sheet1!$H$1&amp;'Phân công'!#REF!&amp;CHAR(10)&amp;Sheet1!$I$1&amp;'Phân công'!#REF!&amp;CHAR(10)&amp;Sheet1!$J$1&amp;'Phân công'!#REF!&amp;CHAR(10)&amp;$K$1&amp;'Phân công'!#REF!</f>
        <v>#REF!</v>
      </c>
    </row>
    <row r="84" spans="1:3" ht="98.25" customHeight="1" x14ac:dyDescent="0.25">
      <c r="A84" s="56">
        <v>83</v>
      </c>
      <c r="B84" s="56" t="e">
        <f>$B$1&amp;'Phân công'!#REF!&amp;CHAR(10)&amp;Sheet1!$C$1&amp;'Phân công'!A53&amp;CHAR(10)&amp;Sheet1!$D$1&amp;'Phân công'!#REF!&amp;CHAR(10)&amp;Sheet1!$E$1&amp;'Phân công'!#REF!&amp;CHAR(10)&amp;Sheet1!$F$1&amp;'Phân công'!#REF!</f>
        <v>#REF!</v>
      </c>
      <c r="C84" s="56" t="e">
        <f>$G$1&amp;'Phân công'!#REF!&amp;CHAR(10)&amp;Sheet1!$H$1&amp;'Phân công'!#REF!&amp;CHAR(10)&amp;Sheet1!$I$1&amp;'Phân công'!#REF!&amp;CHAR(10)&amp;Sheet1!$J$1&amp;'Phân công'!#REF!&amp;CHAR(10)&amp;$K$1&amp;'Phân công'!#REF!</f>
        <v>#REF!</v>
      </c>
    </row>
    <row r="85" spans="1:3" ht="98.25" customHeight="1" x14ac:dyDescent="0.25">
      <c r="A85" s="56">
        <v>84</v>
      </c>
      <c r="B85" s="56" t="e">
        <f>$B$1&amp;'Phân công'!#REF!&amp;CHAR(10)&amp;Sheet1!$C$1&amp;'Phân công'!A54&amp;CHAR(10)&amp;Sheet1!$D$1&amp;'Phân công'!#REF!&amp;CHAR(10)&amp;Sheet1!$E$1&amp;'Phân công'!#REF!&amp;CHAR(10)&amp;Sheet1!$F$1&amp;'Phân công'!#REF!</f>
        <v>#REF!</v>
      </c>
      <c r="C85" s="56" t="e">
        <f>$G$1&amp;'Phân công'!#REF!&amp;CHAR(10)&amp;Sheet1!$H$1&amp;'Phân công'!#REF!&amp;CHAR(10)&amp;Sheet1!$I$1&amp;'Phân công'!#REF!&amp;CHAR(10)&amp;Sheet1!$J$1&amp;'Phân công'!#REF!&amp;CHAR(10)&amp;$K$1&amp;'Phân công'!#REF!</f>
        <v>#REF!</v>
      </c>
    </row>
    <row r="86" spans="1:3" ht="98.25" customHeight="1" x14ac:dyDescent="0.25">
      <c r="A86" s="56">
        <v>85</v>
      </c>
      <c r="B86" s="56" t="e">
        <f>$B$1&amp;'Phân công'!#REF!&amp;CHAR(10)&amp;Sheet1!$C$1&amp;'Phân công'!A55&amp;CHAR(10)&amp;Sheet1!$D$1&amp;'Phân công'!#REF!&amp;CHAR(10)&amp;Sheet1!$E$1&amp;'Phân công'!#REF!&amp;CHAR(10)&amp;Sheet1!$F$1&amp;'Phân công'!#REF!</f>
        <v>#REF!</v>
      </c>
      <c r="C86" s="56" t="e">
        <f>$G$1&amp;'Phân công'!#REF!&amp;CHAR(10)&amp;Sheet1!$H$1&amp;'Phân công'!#REF!&amp;CHAR(10)&amp;Sheet1!$I$1&amp;'Phân công'!#REF!&amp;CHAR(10)&amp;Sheet1!$J$1&amp;'Phân công'!#REF!&amp;CHAR(10)&amp;$K$1&amp;'Phân công'!#REF!</f>
        <v>#REF!</v>
      </c>
    </row>
    <row r="87" spans="1:3" ht="98.25" customHeight="1" x14ac:dyDescent="0.25">
      <c r="A87" s="56">
        <v>86</v>
      </c>
      <c r="B87" s="56" t="e">
        <f>$B$1&amp;'Phân công'!#REF!&amp;CHAR(10)&amp;Sheet1!$C$1&amp;'Phân công'!A56&amp;CHAR(10)&amp;Sheet1!$D$1&amp;'Phân công'!#REF!&amp;CHAR(10)&amp;Sheet1!$E$1&amp;'Phân công'!#REF!&amp;CHAR(10)&amp;Sheet1!$F$1&amp;'Phân công'!#REF!</f>
        <v>#REF!</v>
      </c>
      <c r="C87" s="56" t="e">
        <f>$G$1&amp;'Phân công'!#REF!&amp;CHAR(10)&amp;Sheet1!$H$1&amp;'Phân công'!#REF!&amp;CHAR(10)&amp;Sheet1!$I$1&amp;'Phân công'!#REF!&amp;CHAR(10)&amp;Sheet1!$J$1&amp;'Phân công'!#REF!&amp;CHAR(10)&amp;$K$1&amp;'Phân công'!#REF!</f>
        <v>#REF!</v>
      </c>
    </row>
    <row r="88" spans="1:3" ht="98.25" customHeight="1" x14ac:dyDescent="0.25">
      <c r="A88" s="56">
        <v>87</v>
      </c>
      <c r="B88" s="56" t="e">
        <f>$B$1&amp;'Phân công'!#REF!&amp;CHAR(10)&amp;Sheet1!$C$1&amp;'Phân công'!A57&amp;CHAR(10)&amp;Sheet1!$D$1&amp;'Phân công'!#REF!&amp;CHAR(10)&amp;Sheet1!$E$1&amp;'Phân công'!#REF!&amp;CHAR(10)&amp;Sheet1!$F$1&amp;'Phân công'!#REF!</f>
        <v>#REF!</v>
      </c>
      <c r="C88" s="56" t="e">
        <f>$G$1&amp;'Phân công'!#REF!&amp;CHAR(10)&amp;Sheet1!$H$1&amp;'Phân công'!#REF!&amp;CHAR(10)&amp;Sheet1!$I$1&amp;'Phân công'!#REF!&amp;CHAR(10)&amp;Sheet1!$J$1&amp;'Phân công'!#REF!&amp;CHAR(10)&amp;$K$1&amp;'Phân công'!#REF!</f>
        <v>#REF!</v>
      </c>
    </row>
    <row r="89" spans="1:3" ht="98.25" customHeight="1" x14ac:dyDescent="0.25">
      <c r="A89" s="56">
        <v>88</v>
      </c>
      <c r="B89" s="56" t="e">
        <f>$B$1&amp;'Phân công'!#REF!&amp;CHAR(10)&amp;Sheet1!$C$1&amp;'Phân công'!A58&amp;CHAR(10)&amp;Sheet1!$D$1&amp;'Phân công'!#REF!&amp;CHAR(10)&amp;Sheet1!$E$1&amp;'Phân công'!#REF!&amp;CHAR(10)&amp;Sheet1!$F$1&amp;'Phân công'!#REF!</f>
        <v>#REF!</v>
      </c>
      <c r="C89" s="56" t="e">
        <f>$G$1&amp;'Phân công'!#REF!&amp;CHAR(10)&amp;Sheet1!$H$1&amp;'Phân công'!#REF!&amp;CHAR(10)&amp;Sheet1!$I$1&amp;'Phân công'!#REF!&amp;CHAR(10)&amp;Sheet1!$J$1&amp;'Phân công'!#REF!&amp;CHAR(10)&amp;$K$1&amp;'Phân công'!#REF!</f>
        <v>#REF!</v>
      </c>
    </row>
    <row r="90" spans="1:3" ht="98.25" customHeight="1" x14ac:dyDescent="0.25">
      <c r="A90" s="56">
        <v>89</v>
      </c>
      <c r="B90" s="56" t="e">
        <f>$B$1&amp;'Phân công'!#REF!&amp;CHAR(10)&amp;Sheet1!$C$1&amp;'Phân công'!A59&amp;CHAR(10)&amp;Sheet1!$D$1&amp;'Phân công'!#REF!&amp;CHAR(10)&amp;Sheet1!$E$1&amp;'Phân công'!#REF!&amp;CHAR(10)&amp;Sheet1!$F$1&amp;'Phân công'!#REF!</f>
        <v>#REF!</v>
      </c>
      <c r="C90" s="56" t="e">
        <f>$G$1&amp;'Phân công'!#REF!&amp;CHAR(10)&amp;Sheet1!$H$1&amp;'Phân công'!#REF!&amp;CHAR(10)&amp;Sheet1!$I$1&amp;'Phân công'!#REF!&amp;CHAR(10)&amp;Sheet1!$J$1&amp;'Phân công'!#REF!&amp;CHAR(10)&amp;$K$1&amp;'Phân công'!#REF!</f>
        <v>#REF!</v>
      </c>
    </row>
    <row r="91" spans="1:3" ht="98.25" customHeight="1" x14ac:dyDescent="0.25">
      <c r="A91" s="56">
        <v>90</v>
      </c>
      <c r="B91" s="56" t="e">
        <f>$B$1&amp;'Phân công'!#REF!&amp;CHAR(10)&amp;Sheet1!$C$1&amp;'Phân công'!A60&amp;CHAR(10)&amp;Sheet1!$D$1&amp;'Phân công'!#REF!&amp;CHAR(10)&amp;Sheet1!$E$1&amp;'Phân công'!#REF!&amp;CHAR(10)&amp;Sheet1!$F$1&amp;'Phân công'!#REF!</f>
        <v>#REF!</v>
      </c>
      <c r="C91" s="56" t="e">
        <f>$G$1&amp;'Phân công'!#REF!&amp;CHAR(10)&amp;Sheet1!$H$1&amp;'Phân công'!#REF!&amp;CHAR(10)&amp;Sheet1!$I$1&amp;'Phân công'!#REF!&amp;CHAR(10)&amp;Sheet1!$J$1&amp;'Phân công'!#REF!&amp;CHAR(10)&amp;$K$1&amp;'Phân công'!#REF!</f>
        <v>#REF!</v>
      </c>
    </row>
    <row r="92" spans="1:3" ht="98.25" customHeight="1" x14ac:dyDescent="0.25">
      <c r="A92" s="56">
        <v>91</v>
      </c>
      <c r="B92" s="56" t="e">
        <f>$B$1&amp;'Phân công'!#REF!&amp;CHAR(10)&amp;Sheet1!$C$1&amp;'Phân công'!A61&amp;CHAR(10)&amp;Sheet1!$D$1&amp;'Phân công'!#REF!&amp;CHAR(10)&amp;Sheet1!$E$1&amp;'Phân công'!#REF!&amp;CHAR(10)&amp;Sheet1!$F$1&amp;'Phân công'!#REF!</f>
        <v>#REF!</v>
      </c>
      <c r="C92" s="56" t="e">
        <f>$G$1&amp;'Phân công'!#REF!&amp;CHAR(10)&amp;Sheet1!$H$1&amp;'Phân công'!#REF!&amp;CHAR(10)&amp;Sheet1!$I$1&amp;'Phân công'!#REF!&amp;CHAR(10)&amp;Sheet1!$J$1&amp;'Phân công'!#REF!&amp;CHAR(10)&amp;$K$1&amp;'Phân công'!#REF!</f>
        <v>#REF!</v>
      </c>
    </row>
    <row r="93" spans="1:3" ht="98.25" customHeight="1" x14ac:dyDescent="0.25">
      <c r="A93" s="56">
        <v>92</v>
      </c>
      <c r="B93" s="56" t="e">
        <f>$B$1&amp;'Phân công'!#REF!&amp;CHAR(10)&amp;Sheet1!$C$1&amp;'Phân công'!A62&amp;CHAR(10)&amp;Sheet1!$D$1&amp;'Phân công'!#REF!&amp;CHAR(10)&amp;Sheet1!$E$1&amp;'Phân công'!#REF!&amp;CHAR(10)&amp;Sheet1!$F$1&amp;'Phân công'!#REF!</f>
        <v>#REF!</v>
      </c>
      <c r="C93" s="56" t="e">
        <f>$G$1&amp;'Phân công'!#REF!&amp;CHAR(10)&amp;Sheet1!$H$1&amp;'Phân công'!#REF!&amp;CHAR(10)&amp;Sheet1!$I$1&amp;'Phân công'!#REF!&amp;CHAR(10)&amp;Sheet1!$J$1&amp;'Phân công'!#REF!&amp;CHAR(10)&amp;$K$1&amp;'Phân công'!#REF!</f>
        <v>#REF!</v>
      </c>
    </row>
    <row r="94" spans="1:3" ht="98.25" customHeight="1" x14ac:dyDescent="0.25">
      <c r="A94" s="56">
        <v>93</v>
      </c>
      <c r="B94" s="56" t="e">
        <f>$B$1&amp;'Phân công'!#REF!&amp;CHAR(10)&amp;Sheet1!$C$1&amp;'Phân công'!A63&amp;CHAR(10)&amp;Sheet1!$D$1&amp;'Phân công'!#REF!&amp;CHAR(10)&amp;Sheet1!$E$1&amp;'Phân công'!#REF!&amp;CHAR(10)&amp;Sheet1!$F$1&amp;'Phân công'!#REF!</f>
        <v>#REF!</v>
      </c>
      <c r="C94" s="56" t="e">
        <f>$G$1&amp;'Phân công'!#REF!&amp;CHAR(10)&amp;Sheet1!$H$1&amp;'Phân công'!#REF!&amp;CHAR(10)&amp;Sheet1!$I$1&amp;'Phân công'!#REF!&amp;CHAR(10)&amp;Sheet1!$J$1&amp;'Phân công'!#REF!&amp;CHAR(10)&amp;$K$1&amp;'Phân công'!#REF!</f>
        <v>#REF!</v>
      </c>
    </row>
    <row r="95" spans="1:3" ht="98.25" customHeight="1" x14ac:dyDescent="0.25">
      <c r="A95" s="56">
        <v>94</v>
      </c>
      <c r="B95" s="56" t="e">
        <f>$B$1&amp;'Phân công'!#REF!&amp;CHAR(10)&amp;Sheet1!$C$1&amp;'Phân công'!A64&amp;CHAR(10)&amp;Sheet1!$D$1&amp;'Phân công'!#REF!&amp;CHAR(10)&amp;Sheet1!$E$1&amp;'Phân công'!#REF!&amp;CHAR(10)&amp;Sheet1!$F$1&amp;'Phân công'!#REF!</f>
        <v>#REF!</v>
      </c>
      <c r="C95" s="56" t="e">
        <f>$G$1&amp;'Phân công'!#REF!&amp;CHAR(10)&amp;Sheet1!$H$1&amp;'Phân công'!#REF!&amp;CHAR(10)&amp;Sheet1!$I$1&amp;'Phân công'!#REF!&amp;CHAR(10)&amp;Sheet1!$J$1&amp;'Phân công'!#REF!&amp;CHAR(10)&amp;$K$1&amp;'Phân công'!#REF!</f>
        <v>#REF!</v>
      </c>
    </row>
    <row r="96" spans="1:3" ht="98.25" customHeight="1" x14ac:dyDescent="0.25">
      <c r="A96" s="56">
        <v>95</v>
      </c>
      <c r="B96" s="56" t="e">
        <f>$B$1&amp;'Phân công'!#REF!&amp;CHAR(10)&amp;Sheet1!$C$1&amp;'Phân công'!A65&amp;CHAR(10)&amp;Sheet1!$D$1&amp;'Phân công'!#REF!&amp;CHAR(10)&amp;Sheet1!$E$1&amp;'Phân công'!#REF!&amp;CHAR(10)&amp;Sheet1!$F$1&amp;'Phân công'!#REF!</f>
        <v>#REF!</v>
      </c>
      <c r="C96" s="56" t="e">
        <f>$G$1&amp;'Phân công'!#REF!&amp;CHAR(10)&amp;Sheet1!$H$1&amp;'Phân công'!#REF!&amp;CHAR(10)&amp;Sheet1!$I$1&amp;'Phân công'!#REF!&amp;CHAR(10)&amp;Sheet1!$J$1&amp;'Phân công'!#REF!&amp;CHAR(10)&amp;$K$1&amp;'Phân công'!#REF!</f>
        <v>#REF!</v>
      </c>
    </row>
    <row r="97" spans="1:3" ht="98.25" customHeight="1" x14ac:dyDescent="0.25">
      <c r="A97" s="56">
        <v>96</v>
      </c>
      <c r="B97" s="56" t="e">
        <f>$B$1&amp;'Phân công'!#REF!&amp;CHAR(10)&amp;Sheet1!$C$1&amp;'Phân công'!A66&amp;CHAR(10)&amp;Sheet1!$D$1&amp;'Phân công'!#REF!&amp;CHAR(10)&amp;Sheet1!$E$1&amp;'Phân công'!#REF!&amp;CHAR(10)&amp;Sheet1!$F$1&amp;'Phân công'!#REF!</f>
        <v>#REF!</v>
      </c>
      <c r="C97" s="56" t="e">
        <f>$G$1&amp;'Phân công'!#REF!&amp;CHAR(10)&amp;Sheet1!$H$1&amp;'Phân công'!#REF!&amp;CHAR(10)&amp;Sheet1!$I$1&amp;'Phân công'!#REF!&amp;CHAR(10)&amp;Sheet1!$J$1&amp;'Phân công'!#REF!&amp;CHAR(10)&amp;$K$1&amp;'Phân công'!#REF!</f>
        <v>#REF!</v>
      </c>
    </row>
    <row r="98" spans="1:3" ht="98.25" customHeight="1" x14ac:dyDescent="0.25">
      <c r="A98" s="56">
        <v>97</v>
      </c>
      <c r="B98" s="56" t="e">
        <f>$B$1&amp;'Phân công'!#REF!&amp;CHAR(10)&amp;Sheet1!$C$1&amp;'Phân công'!A67&amp;CHAR(10)&amp;Sheet1!$D$1&amp;'Phân công'!#REF!&amp;CHAR(10)&amp;Sheet1!$E$1&amp;'Phân công'!#REF!&amp;CHAR(10)&amp;Sheet1!$F$1&amp;'Phân công'!#REF!</f>
        <v>#REF!</v>
      </c>
      <c r="C98" s="56" t="e">
        <f>$G$1&amp;'Phân công'!#REF!&amp;CHAR(10)&amp;Sheet1!$H$1&amp;'Phân công'!#REF!&amp;CHAR(10)&amp;Sheet1!$I$1&amp;'Phân công'!#REF!&amp;CHAR(10)&amp;Sheet1!$J$1&amp;'Phân công'!#REF!&amp;CHAR(10)&amp;$K$1&amp;'Phân công'!#REF!</f>
        <v>#REF!</v>
      </c>
    </row>
    <row r="99" spans="1:3" ht="98.25" customHeight="1" x14ac:dyDescent="0.25">
      <c r="A99" s="56">
        <v>98</v>
      </c>
      <c r="B99" s="56" t="e">
        <f>$B$1&amp;'Phân công'!#REF!&amp;CHAR(10)&amp;Sheet1!$C$1&amp;'Phân công'!A68&amp;CHAR(10)&amp;Sheet1!$D$1&amp;'Phân công'!#REF!&amp;CHAR(10)&amp;Sheet1!$E$1&amp;'Phân công'!#REF!&amp;CHAR(10)&amp;Sheet1!$F$1&amp;'Phân công'!#REF!</f>
        <v>#REF!</v>
      </c>
      <c r="C99" s="56" t="e">
        <f>$G$1&amp;'Phân công'!#REF!&amp;CHAR(10)&amp;Sheet1!$H$1&amp;'Phân công'!#REF!&amp;CHAR(10)&amp;Sheet1!$I$1&amp;'Phân công'!#REF!&amp;CHAR(10)&amp;Sheet1!$J$1&amp;'Phân công'!#REF!&amp;CHAR(10)&amp;$K$1&amp;'Phân công'!#REF!</f>
        <v>#REF!</v>
      </c>
    </row>
    <row r="100" spans="1:3" ht="98.25" customHeight="1" x14ac:dyDescent="0.25">
      <c r="A100" s="56">
        <v>99</v>
      </c>
      <c r="B100" s="56" t="e">
        <f>$B$1&amp;'Phân công'!#REF!&amp;CHAR(10)&amp;Sheet1!$C$1&amp;'Phân công'!A69&amp;CHAR(10)&amp;Sheet1!$D$1&amp;'Phân công'!#REF!&amp;CHAR(10)&amp;Sheet1!$E$1&amp;'Phân công'!#REF!&amp;CHAR(10)&amp;Sheet1!$F$1&amp;'Phân công'!#REF!</f>
        <v>#REF!</v>
      </c>
      <c r="C100" s="56" t="e">
        <f>$G$1&amp;'Phân công'!#REF!&amp;CHAR(10)&amp;Sheet1!$H$1&amp;'Phân công'!#REF!&amp;CHAR(10)&amp;Sheet1!$I$1&amp;'Phân công'!#REF!&amp;CHAR(10)&amp;Sheet1!$J$1&amp;'Phân công'!#REF!&amp;CHAR(10)&amp;$K$1&amp;'Phân công'!#REF!</f>
        <v>#REF!</v>
      </c>
    </row>
    <row r="101" spans="1:3" ht="98.25" customHeight="1" x14ac:dyDescent="0.25">
      <c r="A101" s="56">
        <v>100</v>
      </c>
      <c r="B101" s="56" t="e">
        <f>$B$1&amp;'Phân công'!#REF!&amp;CHAR(10)&amp;Sheet1!$C$1&amp;'Phân công'!#REF!&amp;CHAR(10)&amp;Sheet1!$D$1&amp;'Phân công'!#REF!&amp;CHAR(10)&amp;Sheet1!$E$1&amp;'Phân công'!#REF!&amp;CHAR(10)&amp;Sheet1!$F$1&amp;'Phân công'!#REF!</f>
        <v>#REF!</v>
      </c>
      <c r="C101" s="56" t="e">
        <f>$G$1&amp;'Phân công'!#REF!&amp;CHAR(10)&amp;Sheet1!$H$1&amp;'Phân công'!#REF!&amp;CHAR(10)&amp;Sheet1!$I$1&amp;'Phân công'!#REF!&amp;CHAR(10)&amp;Sheet1!$J$1&amp;'Phân công'!#REF!&amp;CHAR(10)&amp;$K$1&amp;'Phân công'!#REF!</f>
        <v>#REF!</v>
      </c>
    </row>
    <row r="102" spans="1:3" ht="98.25" customHeight="1" x14ac:dyDescent="0.25">
      <c r="A102" s="56">
        <v>101</v>
      </c>
      <c r="B102" s="56" t="e">
        <f>$B$1&amp;'Phân công'!#REF!&amp;CHAR(10)&amp;Sheet1!$C$1&amp;'Phân công'!#REF!&amp;CHAR(10)&amp;Sheet1!$D$1&amp;'Phân công'!#REF!&amp;CHAR(10)&amp;Sheet1!$E$1&amp;'Phân công'!#REF!&amp;CHAR(10)&amp;Sheet1!$F$1&amp;'Phân công'!#REF!</f>
        <v>#REF!</v>
      </c>
      <c r="C102" s="56" t="e">
        <f>$G$1&amp;'Phân công'!#REF!&amp;CHAR(10)&amp;Sheet1!$H$1&amp;'Phân công'!#REF!&amp;CHAR(10)&amp;Sheet1!$I$1&amp;'Phân công'!#REF!&amp;CHAR(10)&amp;Sheet1!$J$1&amp;'Phân công'!#REF!&amp;CHAR(10)&amp;$K$1&amp;'Phân công'!#REF!</f>
        <v>#REF!</v>
      </c>
    </row>
    <row r="103" spans="1:3" ht="98.25" customHeight="1" x14ac:dyDescent="0.25">
      <c r="A103" s="56">
        <v>102</v>
      </c>
      <c r="B103" s="56" t="e">
        <f>$B$1&amp;'Phân công'!#REF!&amp;CHAR(10)&amp;Sheet1!$C$1&amp;'Phân công'!#REF!&amp;CHAR(10)&amp;Sheet1!$D$1&amp;'Phân công'!#REF!&amp;CHAR(10)&amp;Sheet1!$E$1&amp;'Phân công'!#REF!&amp;CHAR(10)&amp;Sheet1!$F$1&amp;'Phân công'!#REF!</f>
        <v>#REF!</v>
      </c>
      <c r="C103" s="56" t="e">
        <f>$G$1&amp;'Phân công'!#REF!&amp;CHAR(10)&amp;Sheet1!$H$1&amp;'Phân công'!#REF!&amp;CHAR(10)&amp;Sheet1!$I$1&amp;'Phân công'!#REF!&amp;CHAR(10)&amp;Sheet1!$J$1&amp;'Phân công'!#REF!&amp;CHAR(10)&amp;$K$1&amp;'Phân công'!#REF!</f>
        <v>#REF!</v>
      </c>
    </row>
    <row r="104" spans="1:3" ht="98.25" customHeight="1" x14ac:dyDescent="0.25">
      <c r="A104" s="56">
        <v>103</v>
      </c>
      <c r="B104" s="56" t="e">
        <f>$B$1&amp;'Phân công'!#REF!&amp;CHAR(10)&amp;Sheet1!$C$1&amp;'Phân công'!#REF!&amp;CHAR(10)&amp;Sheet1!$D$1&amp;'Phân công'!#REF!&amp;CHAR(10)&amp;Sheet1!$E$1&amp;'Phân công'!#REF!&amp;CHAR(10)&amp;Sheet1!$F$1&amp;'Phân công'!#REF!</f>
        <v>#REF!</v>
      </c>
      <c r="C104" s="56" t="e">
        <f>$G$1&amp;'Phân công'!#REF!&amp;CHAR(10)&amp;Sheet1!$H$1&amp;'Phân công'!#REF!&amp;CHAR(10)&amp;Sheet1!$I$1&amp;'Phân công'!#REF!&amp;CHAR(10)&amp;Sheet1!$J$1&amp;'Phân công'!#REF!&amp;CHAR(10)&amp;$K$1&amp;'Phân công'!#REF!</f>
        <v>#REF!</v>
      </c>
    </row>
    <row r="105" spans="1:3" ht="98.25" customHeight="1" x14ac:dyDescent="0.25">
      <c r="A105" s="56">
        <v>104</v>
      </c>
      <c r="B105" s="56" t="e">
        <f>$B$1&amp;'Phân công'!#REF!&amp;CHAR(10)&amp;Sheet1!$C$1&amp;'Phân công'!#REF!&amp;CHAR(10)&amp;Sheet1!$D$1&amp;'Phân công'!#REF!&amp;CHAR(10)&amp;Sheet1!$E$1&amp;'Phân công'!#REF!&amp;CHAR(10)&amp;Sheet1!$F$1&amp;'Phân công'!#REF!</f>
        <v>#REF!</v>
      </c>
      <c r="C105" s="56" t="e">
        <f>$G$1&amp;'Phân công'!#REF!&amp;CHAR(10)&amp;Sheet1!$H$1&amp;'Phân công'!#REF!&amp;CHAR(10)&amp;Sheet1!$I$1&amp;'Phân công'!#REF!&amp;CHAR(10)&amp;Sheet1!$J$1&amp;'Phân công'!#REF!&amp;CHAR(10)&amp;$K$1&amp;'Phân công'!#REF!</f>
        <v>#REF!</v>
      </c>
    </row>
    <row r="106" spans="1:3" ht="98.25" customHeight="1" x14ac:dyDescent="0.25">
      <c r="A106" s="56">
        <v>105</v>
      </c>
      <c r="B106" s="56" t="e">
        <f>$B$1&amp;'Phân công'!#REF!&amp;CHAR(10)&amp;Sheet1!$C$1&amp;'Phân công'!#REF!&amp;CHAR(10)&amp;Sheet1!$D$1&amp;'Phân công'!#REF!&amp;CHAR(10)&amp;Sheet1!$E$1&amp;'Phân công'!#REF!&amp;CHAR(10)&amp;Sheet1!$F$1&amp;'Phân công'!#REF!</f>
        <v>#REF!</v>
      </c>
      <c r="C106" s="56" t="e">
        <f>$G$1&amp;'Phân công'!#REF!&amp;CHAR(10)&amp;Sheet1!$H$1&amp;'Phân công'!#REF!&amp;CHAR(10)&amp;Sheet1!$I$1&amp;'Phân công'!#REF!&amp;CHAR(10)&amp;Sheet1!$J$1&amp;'Phân công'!#REF!&amp;CHAR(10)&amp;$K$1&amp;'Phân công'!#REF!</f>
        <v>#REF!</v>
      </c>
    </row>
    <row r="107" spans="1:3" ht="98.25" customHeight="1" x14ac:dyDescent="0.25">
      <c r="A107" s="56">
        <v>106</v>
      </c>
      <c r="B107" s="56" t="e">
        <f>$B$1&amp;'Phân công'!#REF!&amp;CHAR(10)&amp;Sheet1!$C$1&amp;'Phân công'!#REF!&amp;CHAR(10)&amp;Sheet1!$D$1&amp;'Phân công'!#REF!&amp;CHAR(10)&amp;Sheet1!$E$1&amp;'Phân công'!#REF!&amp;CHAR(10)&amp;Sheet1!$F$1&amp;'Phân công'!#REF!</f>
        <v>#REF!</v>
      </c>
      <c r="C107" s="56" t="e">
        <f>$G$1&amp;'Phân công'!#REF!&amp;CHAR(10)&amp;Sheet1!$H$1&amp;'Phân công'!#REF!&amp;CHAR(10)&amp;Sheet1!$I$1&amp;'Phân công'!#REF!&amp;CHAR(10)&amp;Sheet1!$J$1&amp;'Phân công'!#REF!&amp;CHAR(10)&amp;$K$1&amp;'Phân công'!#REF!</f>
        <v>#REF!</v>
      </c>
    </row>
    <row r="108" spans="1:3" ht="98.25" customHeight="1" x14ac:dyDescent="0.25">
      <c r="A108" s="56">
        <v>107</v>
      </c>
      <c r="B108" s="56" t="e">
        <f>$B$1&amp;'Phân công'!#REF!&amp;CHAR(10)&amp;Sheet1!$C$1&amp;'Phân công'!#REF!&amp;CHAR(10)&amp;Sheet1!$D$1&amp;'Phân công'!#REF!&amp;CHAR(10)&amp;Sheet1!$E$1&amp;'Phân công'!#REF!&amp;CHAR(10)&amp;Sheet1!$F$1&amp;'Phân công'!#REF!</f>
        <v>#REF!</v>
      </c>
      <c r="C108" s="56" t="e">
        <f>$G$1&amp;'Phân công'!#REF!&amp;CHAR(10)&amp;Sheet1!$H$1&amp;'Phân công'!#REF!&amp;CHAR(10)&amp;Sheet1!$I$1&amp;'Phân công'!#REF!&amp;CHAR(10)&amp;Sheet1!$J$1&amp;'Phân công'!#REF!&amp;CHAR(10)&amp;$K$1&amp;'Phân công'!#REF!</f>
        <v>#REF!</v>
      </c>
    </row>
    <row r="109" spans="1:3" ht="98.25" customHeight="1" x14ac:dyDescent="0.25">
      <c r="A109" s="56">
        <v>108</v>
      </c>
      <c r="B109" s="56" t="e">
        <f>$B$1&amp;'Phân công'!#REF!&amp;CHAR(10)&amp;Sheet1!$C$1&amp;'Phân công'!#REF!&amp;CHAR(10)&amp;Sheet1!$D$1&amp;'Phân công'!#REF!&amp;CHAR(10)&amp;Sheet1!$E$1&amp;'Phân công'!#REF!&amp;CHAR(10)&amp;Sheet1!$F$1&amp;'Phân công'!#REF!</f>
        <v>#REF!</v>
      </c>
      <c r="C109" s="56" t="e">
        <f>$G$1&amp;'Phân công'!#REF!&amp;CHAR(10)&amp;Sheet1!$H$1&amp;'Phân công'!#REF!&amp;CHAR(10)&amp;Sheet1!$I$1&amp;'Phân công'!#REF!&amp;CHAR(10)&amp;Sheet1!$J$1&amp;'Phân công'!#REF!&amp;CHAR(10)&amp;$K$1&amp;'Phân công'!#REF!</f>
        <v>#REF!</v>
      </c>
    </row>
    <row r="110" spans="1:3" ht="98.25" customHeight="1" x14ac:dyDescent="0.25">
      <c r="A110" s="56">
        <v>109</v>
      </c>
      <c r="B110" s="56" t="e">
        <f>$B$1&amp;'Phân công'!#REF!&amp;CHAR(10)&amp;Sheet1!$C$1&amp;'Phân công'!#REF!&amp;CHAR(10)&amp;Sheet1!$D$1&amp;'Phân công'!#REF!&amp;CHAR(10)&amp;Sheet1!$E$1&amp;'Phân công'!#REF!&amp;CHAR(10)&amp;Sheet1!$F$1&amp;'Phân công'!#REF!</f>
        <v>#REF!</v>
      </c>
      <c r="C110" s="56" t="e">
        <f>$G$1&amp;'Phân công'!#REF!&amp;CHAR(10)&amp;Sheet1!$H$1&amp;'Phân công'!#REF!&amp;CHAR(10)&amp;Sheet1!$I$1&amp;'Phân công'!#REF!&amp;CHAR(10)&amp;Sheet1!$J$1&amp;'Phân công'!#REF!&amp;CHAR(10)&amp;$K$1&amp;'Phân công'!#REF!</f>
        <v>#REF!</v>
      </c>
    </row>
    <row r="111" spans="1:3" ht="98.25" customHeight="1" x14ac:dyDescent="0.25">
      <c r="A111" s="56">
        <v>110</v>
      </c>
      <c r="B111" s="56" t="e">
        <f>$B$1&amp;'Phân công'!#REF!&amp;CHAR(10)&amp;Sheet1!$C$1&amp;'Phân công'!#REF!&amp;CHAR(10)&amp;Sheet1!$D$1&amp;'Phân công'!#REF!&amp;CHAR(10)&amp;Sheet1!$E$1&amp;'Phân công'!#REF!&amp;CHAR(10)&amp;Sheet1!$F$1&amp;'Phân công'!#REF!</f>
        <v>#REF!</v>
      </c>
      <c r="C111" s="56" t="e">
        <f>$G$1&amp;'Phân công'!#REF!&amp;CHAR(10)&amp;Sheet1!$H$1&amp;'Phân công'!#REF!&amp;CHAR(10)&amp;Sheet1!$I$1&amp;'Phân công'!#REF!&amp;CHAR(10)&amp;Sheet1!$J$1&amp;'Phân công'!#REF!&amp;CHAR(10)&amp;$K$1&amp;'Phân công'!#REF!</f>
        <v>#REF!</v>
      </c>
    </row>
    <row r="112" spans="1:3" ht="98.25" customHeight="1" x14ac:dyDescent="0.25">
      <c r="A112" s="56">
        <v>111</v>
      </c>
      <c r="B112" s="56" t="e">
        <f>$B$1&amp;'Phân công'!#REF!&amp;CHAR(10)&amp;Sheet1!$C$1&amp;'Phân công'!#REF!&amp;CHAR(10)&amp;Sheet1!$D$1&amp;'Phân công'!#REF!&amp;CHAR(10)&amp;Sheet1!$E$1&amp;'Phân công'!#REF!&amp;CHAR(10)&amp;Sheet1!$F$1&amp;'Phân công'!#REF!</f>
        <v>#REF!</v>
      </c>
      <c r="C112" s="56" t="e">
        <f>$G$1&amp;'Phân công'!#REF!&amp;CHAR(10)&amp;Sheet1!$H$1&amp;'Phân công'!#REF!&amp;CHAR(10)&amp;Sheet1!$I$1&amp;'Phân công'!#REF!&amp;CHAR(10)&amp;Sheet1!$J$1&amp;'Phân công'!#REF!&amp;CHAR(10)&amp;$K$1&amp;'Phân công'!#REF!</f>
        <v>#REF!</v>
      </c>
    </row>
    <row r="113" spans="1:3" ht="98.25" customHeight="1" x14ac:dyDescent="0.25">
      <c r="A113" s="56">
        <v>112</v>
      </c>
      <c r="B113" s="56" t="e">
        <f>$B$1&amp;'Phân công'!#REF!&amp;CHAR(10)&amp;Sheet1!$C$1&amp;'Phân công'!#REF!&amp;CHAR(10)&amp;Sheet1!$D$1&amp;'Phân công'!#REF!&amp;CHAR(10)&amp;Sheet1!$E$1&amp;'Phân công'!#REF!&amp;CHAR(10)&amp;Sheet1!$F$1&amp;'Phân công'!#REF!</f>
        <v>#REF!</v>
      </c>
      <c r="C113" s="56" t="e">
        <f>$G$1&amp;'Phân công'!#REF!&amp;CHAR(10)&amp;Sheet1!$H$1&amp;'Phân công'!#REF!&amp;CHAR(10)&amp;Sheet1!$I$1&amp;'Phân công'!#REF!&amp;CHAR(10)&amp;Sheet1!$J$1&amp;'Phân công'!#REF!&amp;CHAR(10)&amp;$K$1&amp;'Phân công'!#REF!</f>
        <v>#REF!</v>
      </c>
    </row>
    <row r="114" spans="1:3" ht="98.25" customHeight="1" x14ac:dyDescent="0.25">
      <c r="A114" s="56">
        <v>113</v>
      </c>
      <c r="B114" s="56" t="e">
        <f>$B$1&amp;'Phân công'!#REF!&amp;CHAR(10)&amp;Sheet1!$C$1&amp;'Phân công'!#REF!&amp;CHAR(10)&amp;Sheet1!$D$1&amp;'Phân công'!#REF!&amp;CHAR(10)&amp;Sheet1!$E$1&amp;'Phân công'!#REF!&amp;CHAR(10)&amp;Sheet1!$F$1&amp;'Phân công'!#REF!</f>
        <v>#REF!</v>
      </c>
      <c r="C114" s="56" t="e">
        <f>$G$1&amp;'Phân công'!#REF!&amp;CHAR(10)&amp;Sheet1!$H$1&amp;'Phân công'!#REF!&amp;CHAR(10)&amp;Sheet1!$I$1&amp;'Phân công'!#REF!&amp;CHAR(10)&amp;Sheet1!$J$1&amp;'Phân công'!#REF!&amp;CHAR(10)&amp;$K$1&amp;'Phân công'!#REF!</f>
        <v>#REF!</v>
      </c>
    </row>
    <row r="115" spans="1:3" ht="98.25" customHeight="1" x14ac:dyDescent="0.25">
      <c r="A115" s="56">
        <v>114</v>
      </c>
      <c r="B115" s="56" t="e">
        <f>$B$1&amp;'Phân công'!#REF!&amp;CHAR(10)&amp;Sheet1!$C$1&amp;'Phân công'!#REF!&amp;CHAR(10)&amp;Sheet1!$D$1&amp;'Phân công'!#REF!&amp;CHAR(10)&amp;Sheet1!$E$1&amp;'Phân công'!#REF!&amp;CHAR(10)&amp;Sheet1!$F$1&amp;'Phân công'!#REF!</f>
        <v>#REF!</v>
      </c>
      <c r="C115" s="56" t="e">
        <f>$G$1&amp;'Phân công'!#REF!&amp;CHAR(10)&amp;Sheet1!$H$1&amp;'Phân công'!#REF!&amp;CHAR(10)&amp;Sheet1!$I$1&amp;'Phân công'!#REF!&amp;CHAR(10)&amp;Sheet1!$J$1&amp;'Phân công'!#REF!&amp;CHAR(10)&amp;$K$1&amp;'Phân công'!#REF!</f>
        <v>#REF!</v>
      </c>
    </row>
    <row r="116" spans="1:3" ht="98.25" customHeight="1" x14ac:dyDescent="0.25">
      <c r="A116" s="56">
        <v>115</v>
      </c>
      <c r="B116" s="56" t="e">
        <f>$B$1&amp;'Phân công'!#REF!&amp;CHAR(10)&amp;Sheet1!$C$1&amp;'Phân công'!#REF!&amp;CHAR(10)&amp;Sheet1!$D$1&amp;'Phân công'!#REF!&amp;CHAR(10)&amp;Sheet1!$E$1&amp;'Phân công'!#REF!&amp;CHAR(10)&amp;Sheet1!$F$1&amp;'Phân công'!#REF!</f>
        <v>#REF!</v>
      </c>
      <c r="C116" s="56" t="e">
        <f>$G$1&amp;'Phân công'!#REF!&amp;CHAR(10)&amp;Sheet1!$H$1&amp;'Phân công'!#REF!&amp;CHAR(10)&amp;Sheet1!$I$1&amp;'Phân công'!#REF!&amp;CHAR(10)&amp;Sheet1!$J$1&amp;'Phân công'!#REF!&amp;CHAR(10)&amp;$K$1&amp;'Phân công'!#REF!</f>
        <v>#REF!</v>
      </c>
    </row>
    <row r="117" spans="1:3" ht="98.25" customHeight="1" x14ac:dyDescent="0.25">
      <c r="A117" s="56">
        <v>116</v>
      </c>
      <c r="B117" s="56" t="e">
        <f>$B$1&amp;'Phân công'!#REF!&amp;CHAR(10)&amp;Sheet1!$C$1&amp;'Phân công'!#REF!&amp;CHAR(10)&amp;Sheet1!$D$1&amp;'Phân công'!#REF!&amp;CHAR(10)&amp;Sheet1!$E$1&amp;'Phân công'!#REF!&amp;CHAR(10)&amp;Sheet1!$F$1&amp;'Phân công'!#REF!</f>
        <v>#REF!</v>
      </c>
      <c r="C117" s="56" t="e">
        <f>$G$1&amp;'Phân công'!#REF!&amp;CHAR(10)&amp;Sheet1!$H$1&amp;'Phân công'!#REF!&amp;CHAR(10)&amp;Sheet1!$I$1&amp;'Phân công'!#REF!&amp;CHAR(10)&amp;Sheet1!$J$1&amp;'Phân công'!#REF!&amp;CHAR(10)&amp;$K$1&amp;'Phân công'!#REF!</f>
        <v>#REF!</v>
      </c>
    </row>
    <row r="118" spans="1:3" ht="98.25" customHeight="1" x14ac:dyDescent="0.25">
      <c r="A118" s="56">
        <v>117</v>
      </c>
      <c r="B118" s="56" t="e">
        <f>$B$1&amp;'Phân công'!#REF!&amp;CHAR(10)&amp;Sheet1!$C$1&amp;'Phân công'!#REF!&amp;CHAR(10)&amp;Sheet1!$D$1&amp;'Phân công'!#REF!&amp;CHAR(10)&amp;Sheet1!$E$1&amp;'Phân công'!#REF!&amp;CHAR(10)&amp;Sheet1!$F$1&amp;'Phân công'!#REF!</f>
        <v>#REF!</v>
      </c>
      <c r="C118" s="56" t="e">
        <f>$G$1&amp;'Phân công'!#REF!&amp;CHAR(10)&amp;Sheet1!$H$1&amp;'Phân công'!#REF!&amp;CHAR(10)&amp;Sheet1!$I$1&amp;'Phân công'!#REF!&amp;CHAR(10)&amp;Sheet1!$J$1&amp;'Phân công'!#REF!&amp;CHAR(10)&amp;$K$1&amp;'Phân công'!#REF!</f>
        <v>#REF!</v>
      </c>
    </row>
    <row r="119" spans="1:3" ht="98.25" customHeight="1" x14ac:dyDescent="0.25">
      <c r="A119" s="56">
        <v>118</v>
      </c>
      <c r="B119" s="56" t="e">
        <f>$B$1&amp;'Phân công'!#REF!&amp;CHAR(10)&amp;Sheet1!$C$1&amp;'Phân công'!#REF!&amp;CHAR(10)&amp;Sheet1!$D$1&amp;'Phân công'!#REF!&amp;CHAR(10)&amp;Sheet1!$E$1&amp;'Phân công'!#REF!&amp;CHAR(10)&amp;Sheet1!$F$1&amp;'Phân công'!#REF!</f>
        <v>#REF!</v>
      </c>
      <c r="C119" s="56" t="e">
        <f>$G$1&amp;'Phân công'!#REF!&amp;CHAR(10)&amp;Sheet1!$H$1&amp;'Phân công'!#REF!&amp;CHAR(10)&amp;Sheet1!$I$1&amp;'Phân công'!#REF!&amp;CHAR(10)&amp;Sheet1!$J$1&amp;'Phân công'!#REF!&amp;CHAR(10)&amp;$K$1&amp;'Phân công'!#REF!</f>
        <v>#REF!</v>
      </c>
    </row>
    <row r="120" spans="1:3" ht="98.25" customHeight="1" x14ac:dyDescent="0.25">
      <c r="A120" s="56">
        <v>119</v>
      </c>
      <c r="B120" s="56" t="e">
        <f>$B$1&amp;'Phân công'!#REF!&amp;CHAR(10)&amp;Sheet1!$C$1&amp;'Phân công'!#REF!&amp;CHAR(10)&amp;Sheet1!$D$1&amp;'Phân công'!#REF!&amp;CHAR(10)&amp;Sheet1!$E$1&amp;'Phân công'!#REF!&amp;CHAR(10)&amp;Sheet1!$F$1&amp;'Phân công'!#REF!</f>
        <v>#REF!</v>
      </c>
      <c r="C120" s="56" t="e">
        <f>$G$1&amp;'Phân công'!#REF!&amp;CHAR(10)&amp;Sheet1!$H$1&amp;'Phân công'!#REF!&amp;CHAR(10)&amp;Sheet1!$I$1&amp;'Phân công'!#REF!&amp;CHAR(10)&amp;Sheet1!$J$1&amp;'Phân công'!#REF!&amp;CHAR(10)&amp;$K$1&amp;'Phân công'!#REF!</f>
        <v>#REF!</v>
      </c>
    </row>
    <row r="121" spans="1:3" ht="98.25" customHeight="1" x14ac:dyDescent="0.25">
      <c r="A121" s="56">
        <v>120</v>
      </c>
      <c r="B121" s="56" t="e">
        <f>$B$1&amp;'Phân công'!#REF!&amp;CHAR(10)&amp;Sheet1!$C$1&amp;'Phân công'!#REF!&amp;CHAR(10)&amp;Sheet1!$D$1&amp;'Phân công'!#REF!&amp;CHAR(10)&amp;Sheet1!$E$1&amp;'Phân công'!#REF!&amp;CHAR(10)&amp;Sheet1!$F$1&amp;'Phân công'!#REF!</f>
        <v>#REF!</v>
      </c>
      <c r="C121" s="56" t="e">
        <f>$G$1&amp;'Phân công'!#REF!&amp;CHAR(10)&amp;Sheet1!$H$1&amp;'Phân công'!#REF!&amp;CHAR(10)&amp;Sheet1!$I$1&amp;'Phân công'!#REF!&amp;CHAR(10)&amp;Sheet1!$J$1&amp;'Phân công'!#REF!&amp;CHAR(10)&amp;$K$1&amp;'Phân công'!#REF!</f>
        <v>#REF!</v>
      </c>
    </row>
    <row r="122" spans="1:3" ht="98.25" customHeight="1" x14ac:dyDescent="0.25">
      <c r="A122" s="56">
        <v>121</v>
      </c>
      <c r="B122" s="56" t="e">
        <f>$B$1&amp;'Phân công'!#REF!&amp;CHAR(10)&amp;Sheet1!$C$1&amp;'Phân công'!#REF!&amp;CHAR(10)&amp;Sheet1!$D$1&amp;'Phân công'!#REF!&amp;CHAR(10)&amp;Sheet1!$E$1&amp;'Phân công'!#REF!&amp;CHAR(10)&amp;Sheet1!$F$1&amp;'Phân công'!#REF!</f>
        <v>#REF!</v>
      </c>
      <c r="C122" s="56" t="e">
        <f>$G$1&amp;'Phân công'!#REF!&amp;CHAR(10)&amp;Sheet1!$H$1&amp;'Phân công'!#REF!&amp;CHAR(10)&amp;Sheet1!$I$1&amp;'Phân công'!#REF!&amp;CHAR(10)&amp;Sheet1!$J$1&amp;'Phân công'!#REF!&amp;CHAR(10)&amp;$K$1&amp;'Phân công'!#REF!</f>
        <v>#REF!</v>
      </c>
    </row>
    <row r="123" spans="1:3" ht="98.25" customHeight="1" x14ac:dyDescent="0.25">
      <c r="A123" s="56">
        <v>122</v>
      </c>
      <c r="B123" s="56" t="e">
        <f>$B$1&amp;'Phân công'!#REF!&amp;CHAR(10)&amp;Sheet1!$C$1&amp;'Phân công'!A70&amp;CHAR(10)&amp;Sheet1!$D$1&amp;'Phân công'!#REF!&amp;CHAR(10)&amp;Sheet1!$E$1&amp;'Phân công'!#REF!&amp;CHAR(10)&amp;Sheet1!$F$1&amp;'Phân công'!#REF!</f>
        <v>#REF!</v>
      </c>
      <c r="C123" s="56" t="e">
        <f>$G$1&amp;'Phân công'!#REF!&amp;CHAR(10)&amp;Sheet1!$H$1&amp;'Phân công'!#REF!&amp;CHAR(10)&amp;Sheet1!$I$1&amp;'Phân công'!#REF!&amp;CHAR(10)&amp;Sheet1!$J$1&amp;'Phân công'!#REF!&amp;CHAR(10)&amp;$K$1&amp;'Phân công'!#REF!</f>
        <v>#REF!</v>
      </c>
    </row>
    <row r="124" spans="1:3" ht="98.25" customHeight="1" x14ac:dyDescent="0.25">
      <c r="A124" s="56">
        <v>123</v>
      </c>
      <c r="B124" s="56" t="e">
        <f>$B$1&amp;'Phân công'!#REF!&amp;CHAR(10)&amp;Sheet1!$C$1&amp;'Phân công'!A71&amp;CHAR(10)&amp;Sheet1!$D$1&amp;'Phân công'!#REF!&amp;CHAR(10)&amp;Sheet1!$E$1&amp;'Phân công'!#REF!&amp;CHAR(10)&amp;Sheet1!$F$1&amp;'Phân công'!#REF!</f>
        <v>#REF!</v>
      </c>
      <c r="C124" s="56" t="e">
        <f>$G$1&amp;'Phân công'!#REF!&amp;CHAR(10)&amp;Sheet1!$H$1&amp;'Phân công'!#REF!&amp;CHAR(10)&amp;Sheet1!$I$1&amp;'Phân công'!#REF!&amp;CHAR(10)&amp;Sheet1!$J$1&amp;'Phân công'!#REF!&amp;CHAR(10)&amp;$K$1&amp;'Phân công'!#REF!</f>
        <v>#REF!</v>
      </c>
    </row>
    <row r="125" spans="1:3" ht="98.25" customHeight="1" x14ac:dyDescent="0.25">
      <c r="A125" s="56">
        <v>124</v>
      </c>
      <c r="B125" s="56" t="e">
        <f>$B$1&amp;'Phân công'!#REF!&amp;CHAR(10)&amp;Sheet1!$C$1&amp;'Phân công'!A72&amp;CHAR(10)&amp;Sheet1!$D$1&amp;'Phân công'!#REF!&amp;CHAR(10)&amp;Sheet1!$E$1&amp;'Phân công'!#REF!&amp;CHAR(10)&amp;Sheet1!$F$1&amp;'Phân công'!#REF!</f>
        <v>#REF!</v>
      </c>
      <c r="C125" s="56" t="e">
        <f>$G$1&amp;'Phân công'!#REF!&amp;CHAR(10)&amp;Sheet1!$H$1&amp;'Phân công'!#REF!&amp;CHAR(10)&amp;Sheet1!$I$1&amp;'Phân công'!#REF!&amp;CHAR(10)&amp;Sheet1!$J$1&amp;'Phân công'!#REF!&amp;CHAR(10)&amp;$K$1&amp;'Phân công'!#REF!</f>
        <v>#REF!</v>
      </c>
    </row>
    <row r="126" spans="1:3" ht="98.25" customHeight="1" x14ac:dyDescent="0.25">
      <c r="A126" s="56">
        <v>125</v>
      </c>
      <c r="B126" s="56" t="e">
        <f>$B$1&amp;'Phân công'!#REF!&amp;CHAR(10)&amp;Sheet1!$C$1&amp;'Phân công'!#REF!&amp;CHAR(10)&amp;Sheet1!$D$1&amp;'Phân công'!#REF!&amp;CHAR(10)&amp;Sheet1!$E$1&amp;'Phân công'!#REF!&amp;CHAR(10)&amp;Sheet1!$F$1&amp;'Phân công'!#REF!</f>
        <v>#REF!</v>
      </c>
      <c r="C126" s="56" t="e">
        <f>$G$1&amp;'Phân công'!#REF!&amp;CHAR(10)&amp;Sheet1!$H$1&amp;'Phân công'!#REF!&amp;CHAR(10)&amp;Sheet1!$I$1&amp;'Phân công'!#REF!&amp;CHAR(10)&amp;Sheet1!$J$1&amp;'Phân công'!#REF!&amp;CHAR(10)&amp;$K$1&amp;'Phân công'!#REF!</f>
        <v>#REF!</v>
      </c>
    </row>
    <row r="127" spans="1:3" ht="98.25" customHeight="1" x14ac:dyDescent="0.25">
      <c r="A127" s="56">
        <v>126</v>
      </c>
      <c r="B127" s="56" t="e">
        <f>$B$1&amp;'Phân công'!#REF!&amp;CHAR(10)&amp;Sheet1!$C$1&amp;'Phân công'!#REF!&amp;CHAR(10)&amp;Sheet1!$D$1&amp;'Phân công'!#REF!&amp;CHAR(10)&amp;Sheet1!$E$1&amp;'Phân công'!#REF!&amp;CHAR(10)&amp;Sheet1!$F$1&amp;'Phân công'!#REF!</f>
        <v>#REF!</v>
      </c>
      <c r="C127" s="56" t="e">
        <f>$G$1&amp;'Phân công'!#REF!&amp;CHAR(10)&amp;Sheet1!$H$1&amp;'Phân công'!#REF!&amp;CHAR(10)&amp;Sheet1!$I$1&amp;'Phân công'!#REF!&amp;CHAR(10)&amp;Sheet1!$J$1&amp;'Phân công'!#REF!&amp;CHAR(10)&amp;$K$1&amp;'Phân công'!#REF!</f>
        <v>#REF!</v>
      </c>
    </row>
    <row r="128" spans="1:3" ht="98.25" customHeight="1" x14ac:dyDescent="0.25">
      <c r="A128" s="56">
        <v>127</v>
      </c>
      <c r="B128" s="56" t="e">
        <f>$B$1&amp;'Phân công'!#REF!&amp;CHAR(10)&amp;Sheet1!$C$1&amp;'Phân công'!#REF!&amp;CHAR(10)&amp;Sheet1!$D$1&amp;'Phân công'!#REF!&amp;CHAR(10)&amp;Sheet1!$E$1&amp;'Phân công'!#REF!&amp;CHAR(10)&amp;Sheet1!$F$1&amp;'Phân công'!#REF!</f>
        <v>#REF!</v>
      </c>
      <c r="C128" s="56" t="e">
        <f>$G$1&amp;'Phân công'!#REF!&amp;CHAR(10)&amp;Sheet1!$H$1&amp;'Phân công'!#REF!&amp;CHAR(10)&amp;Sheet1!$I$1&amp;'Phân công'!#REF!&amp;CHAR(10)&amp;Sheet1!$J$1&amp;'Phân công'!#REF!&amp;CHAR(10)&amp;$K$1&amp;'Phân công'!#REF!</f>
        <v>#REF!</v>
      </c>
    </row>
    <row r="129" spans="1:3" ht="98.25" customHeight="1" x14ac:dyDescent="0.25">
      <c r="A129" s="56">
        <v>128</v>
      </c>
      <c r="B129" s="56" t="e">
        <f>$B$1&amp;'Phân công'!#REF!&amp;CHAR(10)&amp;Sheet1!$C$1&amp;'Phân công'!#REF!&amp;CHAR(10)&amp;Sheet1!$D$1&amp;'Phân công'!#REF!&amp;CHAR(10)&amp;Sheet1!$E$1&amp;'Phân công'!#REF!&amp;CHAR(10)&amp;Sheet1!$F$1&amp;'Phân công'!#REF!</f>
        <v>#REF!</v>
      </c>
      <c r="C129" s="56" t="e">
        <f>$G$1&amp;'Phân công'!#REF!&amp;CHAR(10)&amp;Sheet1!$H$1&amp;'Phân công'!#REF!&amp;CHAR(10)&amp;Sheet1!$I$1&amp;'Phân công'!#REF!&amp;CHAR(10)&amp;Sheet1!$J$1&amp;'Phân công'!#REF!&amp;CHAR(10)&amp;$K$1&amp;'Phân công'!#REF!</f>
        <v>#REF!</v>
      </c>
    </row>
    <row r="130" spans="1:3" ht="98.25" customHeight="1" x14ac:dyDescent="0.25">
      <c r="A130" s="56">
        <v>129</v>
      </c>
      <c r="B130" s="56" t="e">
        <f>$B$1&amp;'Phân công'!#REF!&amp;CHAR(10)&amp;Sheet1!$C$1&amp;'Phân công'!#REF!&amp;CHAR(10)&amp;Sheet1!$D$1&amp;'Phân công'!#REF!&amp;CHAR(10)&amp;Sheet1!$E$1&amp;'Phân công'!#REF!&amp;CHAR(10)&amp;Sheet1!$F$1&amp;'Phân công'!#REF!</f>
        <v>#REF!</v>
      </c>
      <c r="C130" s="56" t="e">
        <f>$G$1&amp;'Phân công'!#REF!&amp;CHAR(10)&amp;Sheet1!$H$1&amp;'Phân công'!#REF!&amp;CHAR(10)&amp;Sheet1!$I$1&amp;'Phân công'!#REF!&amp;CHAR(10)&amp;Sheet1!$J$1&amp;'Phân công'!#REF!&amp;CHAR(10)&amp;$K$1&amp;'Phân công'!#REF!</f>
        <v>#REF!</v>
      </c>
    </row>
    <row r="131" spans="1:3" ht="98.25" customHeight="1" x14ac:dyDescent="0.25">
      <c r="A131" s="56">
        <v>130</v>
      </c>
      <c r="B131" s="56" t="e">
        <f>$B$1&amp;'Phân công'!#REF!&amp;CHAR(10)&amp;Sheet1!$C$1&amp;'Phân công'!#REF!&amp;CHAR(10)&amp;Sheet1!$D$1&amp;'Phân công'!#REF!&amp;CHAR(10)&amp;Sheet1!$E$1&amp;'Phân công'!#REF!&amp;CHAR(10)&amp;Sheet1!$F$1&amp;'Phân công'!#REF!</f>
        <v>#REF!</v>
      </c>
      <c r="C131" s="56" t="e">
        <f>$G$1&amp;'Phân công'!#REF!&amp;CHAR(10)&amp;Sheet1!$H$1&amp;'Phân công'!#REF!&amp;CHAR(10)&amp;Sheet1!$I$1&amp;'Phân công'!#REF!&amp;CHAR(10)&amp;Sheet1!$J$1&amp;'Phân công'!#REF!&amp;CHAR(10)&amp;$K$1&amp;'Phân công'!#REF!</f>
        <v>#REF!</v>
      </c>
    </row>
    <row r="132" spans="1:3" ht="98.25" customHeight="1" x14ac:dyDescent="0.25">
      <c r="A132" s="56">
        <v>131</v>
      </c>
      <c r="B132" s="56" t="e">
        <f>$B$1&amp;'Phân công'!#REF!&amp;CHAR(10)&amp;Sheet1!$C$1&amp;'Phân công'!#REF!&amp;CHAR(10)&amp;Sheet1!$D$1&amp;'Phân công'!#REF!&amp;CHAR(10)&amp;Sheet1!$E$1&amp;'Phân công'!#REF!&amp;CHAR(10)&amp;Sheet1!$F$1&amp;'Phân công'!#REF!</f>
        <v>#REF!</v>
      </c>
      <c r="C132" s="56" t="e">
        <f>$G$1&amp;'Phân công'!#REF!&amp;CHAR(10)&amp;Sheet1!$H$1&amp;'Phân công'!#REF!&amp;CHAR(10)&amp;Sheet1!$I$1&amp;'Phân công'!#REF!&amp;CHAR(10)&amp;Sheet1!$J$1&amp;'Phân công'!#REF!&amp;CHAR(10)&amp;$K$1&amp;'Phân công'!#REF!</f>
        <v>#REF!</v>
      </c>
    </row>
    <row r="133" spans="1:3" ht="98.25" customHeight="1" x14ac:dyDescent="0.25">
      <c r="A133" s="56">
        <v>132</v>
      </c>
      <c r="B133" s="56" t="e">
        <f>$B$1&amp;'Phân công'!#REF!&amp;CHAR(10)&amp;Sheet1!$C$1&amp;'Phân công'!#REF!&amp;CHAR(10)&amp;Sheet1!$D$1&amp;'Phân công'!#REF!&amp;CHAR(10)&amp;Sheet1!$E$1&amp;'Phân công'!#REF!&amp;CHAR(10)&amp;Sheet1!$F$1&amp;'Phân công'!#REF!</f>
        <v>#REF!</v>
      </c>
      <c r="C133" s="56" t="e">
        <f>$G$1&amp;'Phân công'!#REF!&amp;CHAR(10)&amp;Sheet1!$H$1&amp;'Phân công'!#REF!&amp;CHAR(10)&amp;Sheet1!$I$1&amp;'Phân công'!#REF!&amp;CHAR(10)&amp;Sheet1!$J$1&amp;'Phân công'!#REF!&amp;CHAR(10)&amp;$K$1&amp;'Phân công'!#REF!</f>
        <v>#REF!</v>
      </c>
    </row>
    <row r="134" spans="1:3" ht="98.25" customHeight="1" x14ac:dyDescent="0.25">
      <c r="A134" s="56">
        <v>133</v>
      </c>
      <c r="B134" s="56" t="e">
        <f>$B$1&amp;'Phân công'!#REF!&amp;CHAR(10)&amp;Sheet1!$C$1&amp;'Phân công'!#REF!&amp;CHAR(10)&amp;Sheet1!$D$1&amp;'Phân công'!#REF!&amp;CHAR(10)&amp;Sheet1!$E$1&amp;'Phân công'!#REF!&amp;CHAR(10)&amp;Sheet1!$F$1&amp;'Phân công'!#REF!</f>
        <v>#REF!</v>
      </c>
      <c r="C134" s="56" t="e">
        <f>$G$1&amp;'Phân công'!#REF!&amp;CHAR(10)&amp;Sheet1!$H$1&amp;'Phân công'!#REF!&amp;CHAR(10)&amp;Sheet1!$I$1&amp;'Phân công'!#REF!&amp;CHAR(10)&amp;Sheet1!$J$1&amp;'Phân công'!#REF!&amp;CHAR(10)&amp;$K$1&amp;'Phân công'!#REF!</f>
        <v>#REF!</v>
      </c>
    </row>
    <row r="135" spans="1:3" ht="98.25" customHeight="1" x14ac:dyDescent="0.25">
      <c r="A135" s="56">
        <v>134</v>
      </c>
      <c r="B135" s="56" t="e">
        <f>$B$1&amp;'Phân công'!#REF!&amp;CHAR(10)&amp;Sheet1!$C$1&amp;'Phân công'!#REF!&amp;CHAR(10)&amp;Sheet1!$D$1&amp;'Phân công'!#REF!&amp;CHAR(10)&amp;Sheet1!$E$1&amp;'Phân công'!#REF!&amp;CHAR(10)&amp;Sheet1!$F$1&amp;'Phân công'!#REF!</f>
        <v>#REF!</v>
      </c>
      <c r="C135" s="56" t="e">
        <f>$G$1&amp;'Phân công'!#REF!&amp;CHAR(10)&amp;Sheet1!$H$1&amp;'Phân công'!#REF!&amp;CHAR(10)&amp;Sheet1!$I$1&amp;'Phân công'!#REF!&amp;CHAR(10)&amp;Sheet1!$J$1&amp;'Phân công'!#REF!&amp;CHAR(10)&amp;$K$1&amp;'Phân công'!#REF!</f>
        <v>#REF!</v>
      </c>
    </row>
    <row r="136" spans="1:3" ht="98.25" customHeight="1" x14ac:dyDescent="0.25">
      <c r="A136" s="56">
        <v>135</v>
      </c>
      <c r="B136" s="56" t="e">
        <f>$B$1&amp;'Phân công'!#REF!&amp;CHAR(10)&amp;Sheet1!$C$1&amp;'Phân công'!#REF!&amp;CHAR(10)&amp;Sheet1!$D$1&amp;'Phân công'!#REF!&amp;CHAR(10)&amp;Sheet1!$E$1&amp;'Phân công'!#REF!&amp;CHAR(10)&amp;Sheet1!$F$1&amp;'Phân công'!#REF!</f>
        <v>#REF!</v>
      </c>
      <c r="C136" s="56" t="e">
        <f>$G$1&amp;'Phân công'!#REF!&amp;CHAR(10)&amp;Sheet1!$H$1&amp;'Phân công'!#REF!&amp;CHAR(10)&amp;Sheet1!$I$1&amp;'Phân công'!#REF!&amp;CHAR(10)&amp;Sheet1!$J$1&amp;'Phân công'!#REF!&amp;CHAR(10)&amp;$K$1&amp;'Phân công'!#REF!</f>
        <v>#REF!</v>
      </c>
    </row>
    <row r="137" spans="1:3" ht="98.25" customHeight="1" x14ac:dyDescent="0.25">
      <c r="A137" s="56"/>
      <c r="B137" s="56" t="e">
        <f>$B$1&amp;'Phân công'!#REF!&amp;CHAR(10)&amp;Sheet1!$C$1&amp;'Phân công'!#REF!&amp;CHAR(10)&amp;Sheet1!$D$1&amp;'Phân công'!#REF!&amp;CHAR(10)&amp;Sheet1!$E$1&amp;'Phân công'!#REF!&amp;CHAR(10)&amp;Sheet1!$F$1&amp;'Phân công'!#REF!</f>
        <v>#REF!</v>
      </c>
      <c r="C137" s="56" t="e">
        <f>$G$1&amp;'Phân công'!#REF!&amp;CHAR(10)&amp;Sheet1!$H$1&amp;'Phân công'!#REF!&amp;CHAR(10)&amp;Sheet1!$I$1&amp;'Phân công'!#REF!&amp;CHAR(10)&amp;Sheet1!$J$1&amp;'Phân công'!#REF!&amp;CHAR(10)&amp;$K$1&amp;'Phân công'!#REF!</f>
        <v>#REF!</v>
      </c>
    </row>
    <row r="138" spans="1:3" ht="98.25" customHeight="1" x14ac:dyDescent="0.25">
      <c r="A138" s="56"/>
      <c r="B138" s="56" t="e">
        <f>$B$1&amp;'Phân công'!#REF!&amp;CHAR(10)&amp;Sheet1!$C$1&amp;'Phân công'!#REF!&amp;CHAR(10)&amp;Sheet1!$D$1&amp;'Phân công'!#REF!&amp;CHAR(10)&amp;Sheet1!$E$1&amp;'Phân công'!#REF!&amp;CHAR(10)&amp;Sheet1!$F$1&amp;'Phân công'!#REF!</f>
        <v>#REF!</v>
      </c>
      <c r="C138" s="56" t="e">
        <f>$G$1&amp;'Phân công'!#REF!&amp;CHAR(10)&amp;Sheet1!$H$1&amp;'Phân công'!#REF!&amp;CHAR(10)&amp;Sheet1!$I$1&amp;'Phân công'!#REF!&amp;CHAR(10)&amp;Sheet1!$J$1&amp;'Phân công'!#REF!&amp;CHAR(10)&amp;$K$1&amp;'Phân công'!#REF!</f>
        <v>#REF!</v>
      </c>
    </row>
    <row r="139" spans="1:3" ht="12.75" customHeight="1" x14ac:dyDescent="0.25">
      <c r="A139" s="56"/>
      <c r="B139" s="56"/>
    </row>
    <row r="140" spans="1:3" ht="12.75" customHeight="1" x14ac:dyDescent="0.25">
      <c r="A140" s="56"/>
      <c r="B140" s="56"/>
    </row>
    <row r="141" spans="1:3" ht="12.75" customHeight="1" x14ac:dyDescent="0.25">
      <c r="A141" s="56"/>
      <c r="B141" s="56"/>
    </row>
    <row r="142" spans="1:3" ht="12.75" customHeight="1" x14ac:dyDescent="0.25">
      <c r="A142" s="56"/>
      <c r="B142" s="56"/>
    </row>
    <row r="143" spans="1:3" ht="12.75" customHeight="1" x14ac:dyDescent="0.25">
      <c r="A143" s="56"/>
      <c r="B143" s="56"/>
    </row>
    <row r="144" spans="1:3" ht="12.75" customHeight="1" x14ac:dyDescent="0.25">
      <c r="A144" s="56"/>
      <c r="B144" s="56"/>
    </row>
    <row r="145" spans="1:2" ht="12.75" customHeight="1" x14ac:dyDescent="0.25">
      <c r="A145" s="56"/>
      <c r="B145" s="56"/>
    </row>
    <row r="146" spans="1:2" ht="12.75" customHeight="1" x14ac:dyDescent="0.25">
      <c r="A146" s="56"/>
      <c r="B146" s="56"/>
    </row>
    <row r="147" spans="1:2" ht="12.75" customHeight="1" x14ac:dyDescent="0.25">
      <c r="A147" s="56"/>
      <c r="B147" s="56"/>
    </row>
    <row r="148" spans="1:2" ht="12.75" customHeight="1" x14ac:dyDescent="0.25">
      <c r="A148" s="56"/>
      <c r="B148" s="56"/>
    </row>
    <row r="149" spans="1:2" ht="12.75" customHeight="1" x14ac:dyDescent="0.25">
      <c r="A149" s="56"/>
      <c r="B149" s="56"/>
    </row>
    <row r="150" spans="1:2" ht="12.75" customHeight="1" x14ac:dyDescent="0.25"/>
    <row r="151" spans="1:2" ht="12.75" customHeight="1" x14ac:dyDescent="0.25"/>
    <row r="152" spans="1:2" ht="12.75" customHeight="1" x14ac:dyDescent="0.25"/>
    <row r="153" spans="1:2" ht="12.75" customHeight="1" x14ac:dyDescent="0.25"/>
    <row r="154" spans="1:2" ht="12.75" customHeight="1" x14ac:dyDescent="0.25"/>
    <row r="155" spans="1:2" ht="12.75" customHeight="1" x14ac:dyDescent="0.25"/>
    <row r="156" spans="1:2" ht="12.75" customHeight="1" x14ac:dyDescent="0.25"/>
    <row r="157" spans="1:2" ht="12.75" customHeight="1" x14ac:dyDescent="0.25"/>
    <row r="158" spans="1:2" ht="12.75" customHeight="1" x14ac:dyDescent="0.25"/>
    <row r="159" spans="1:2" ht="12.75" customHeight="1" x14ac:dyDescent="0.25"/>
    <row r="160" spans="1: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2026-03-07T08:22:22Z</dcterms:modified>
</cp:coreProperties>
</file>